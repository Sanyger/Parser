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ority_new_objects" sheetId="2" state="visible" r:id="rId2"/>
    <sheet xmlns:r="http://schemas.openxmlformats.org/officeDocument/2006/relationships" name="price_control" sheetId="3" state="visible" r:id="rId3"/>
    <sheet xmlns:r="http://schemas.openxmlformats.org/officeDocument/2006/relationships" name="review_queue" sheetId="4" state="visible" r:id="rId4"/>
    <sheet xmlns:r="http://schemas.openxmlformats.org/officeDocument/2006/relationships" name="enriched_top_n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1313</v>
      </c>
    </row>
    <row r="3">
      <c r="A3" t="inlineStr">
        <is>
          <t>new_objects_total</t>
        </is>
      </c>
      <c r="B3" t="n">
        <v>989</v>
      </c>
    </row>
    <row r="4">
      <c r="A4" t="inlineStr">
        <is>
          <t>new_objects_top200</t>
        </is>
      </c>
      <c r="B4" t="n">
        <v>150</v>
      </c>
    </row>
    <row r="5">
      <c r="A5" t="inlineStr">
        <is>
          <t>new_objects_pro_yes</t>
        </is>
      </c>
      <c r="B5" t="n">
        <v>184</v>
      </c>
    </row>
    <row r="6">
      <c r="A6" t="inlineStr">
        <is>
          <t>price_alert_our_higher</t>
        </is>
      </c>
      <c r="B6" t="n">
        <v>94</v>
      </c>
    </row>
    <row r="7">
      <c r="A7" t="inlineStr">
        <is>
          <t>review_queue_total</t>
        </is>
      </c>
      <c r="B7" t="n">
        <v>238</v>
      </c>
    </row>
    <row r="8">
      <c r="A8" t="inlineStr">
        <is>
          <t>enriched_top_rows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position_global</t>
        </is>
      </c>
      <c r="B1" t="inlineStr">
        <is>
          <t>page_num</t>
        </is>
      </c>
      <c r="C1" t="inlineStr">
        <is>
          <t>page_pos</t>
        </is>
      </c>
      <c r="D1" t="inlineStr">
        <is>
          <t>competitor_listing_id</t>
        </is>
      </c>
      <c r="E1" t="inlineStr">
        <is>
          <t>district</t>
        </is>
      </c>
      <c r="F1" t="inlineStr">
        <is>
          <t>address</t>
        </is>
      </c>
      <c r="G1" t="inlineStr">
        <is>
          <t>area_m2</t>
        </is>
      </c>
      <c r="H1" t="inlineStr">
        <is>
          <t>price_rub</t>
        </is>
      </c>
      <c r="I1" t="inlineStr">
        <is>
          <t>our_best_price_rub</t>
        </is>
      </c>
      <c r="J1" t="inlineStr">
        <is>
          <t>price_alert</t>
        </is>
      </c>
      <c r="K1" t="inlineStr">
        <is>
          <t>price_diff_rub</t>
        </is>
      </c>
      <c r="L1" t="inlineStr">
        <is>
          <t>price_diff_pct</t>
        </is>
      </c>
      <c r="M1" t="inlineStr">
        <is>
          <t>price_scope</t>
        </is>
      </c>
      <c r="N1" t="inlineStr">
        <is>
          <t>pro_mark</t>
        </is>
      </c>
      <c r="O1" t="inlineStr">
        <is>
          <t>pro_note</t>
        </is>
      </c>
      <c r="P1" t="inlineStr">
        <is>
          <t>competitor_link</t>
        </is>
      </c>
      <c r="Q1" t="inlineStr">
        <is>
          <t>our_best_link</t>
        </is>
      </c>
      <c r="R1" t="inlineStr">
        <is>
          <t>result</t>
        </is>
      </c>
      <c r="S1" t="inlineStr">
        <is>
          <t>matched_count</t>
        </is>
      </c>
      <c r="T1" t="inlineStr">
        <is>
          <t>reason</t>
        </is>
      </c>
      <c r="U1" t="inlineStr">
        <is>
          <t>position_global_num</t>
        </is>
      </c>
      <c r="V1" t="inlineStr">
        <is>
          <t>page_num_num</t>
        </is>
      </c>
      <c r="W1" t="inlineStr">
        <is>
          <t>page_pos_num</t>
        </is>
      </c>
      <c r="X1" t="inlineStr">
        <is>
          <t>competitor_price_num</t>
        </is>
      </c>
      <c r="Y1" t="inlineStr">
        <is>
          <t>our_price_num</t>
        </is>
      </c>
      <c r="Z1" t="inlineStr">
        <is>
          <t>price_diff_num</t>
        </is>
      </c>
      <c r="AA1" t="inlineStr">
        <is>
          <t>competitor_url</t>
        </is>
      </c>
      <c r="AB1" t="inlineStr">
        <is>
          <t>priority_tier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Гатчинский муниципальный район</t>
        </is>
      </c>
      <c r="F2" t="inlineStr">
        <is>
          <t>25 Октября пр-кт, 37а</t>
        </is>
      </c>
      <c r="G2" t="n">
        <v>230</v>
      </c>
      <c r="H2" t="inlineStr">
        <is>
          <t>10 000 000</t>
        </is>
      </c>
      <c r="I2" t="inlineStr"/>
      <c r="J2" t="inlineStr"/>
      <c r="K2" t="inlineStr"/>
      <c r="L2" t="inlineStr"/>
      <c r="M2" t="inlineStr"/>
      <c r="N2" t="inlineStr">
        <is>
          <t>no</t>
        </is>
      </c>
      <c r="O2" t="inlineStr">
        <is>
          <t>none</t>
        </is>
      </c>
      <c r="P2">
        <f>HYPERLINK("https://knru.ru/catalog/25-oktyabrya-pr-kt-37a/","ссылка")</f>
        <v/>
      </c>
      <c r="Q2" t="inlineStr"/>
      <c r="R2" t="inlineStr">
        <is>
          <t>Нет у нас</t>
        </is>
      </c>
      <c r="S2" t="n">
        <v>0</v>
      </c>
      <c r="T2" t="inlineStr">
        <is>
          <t>Совпадений по улице+дому не найдено</t>
        </is>
      </c>
      <c r="U2" t="n">
        <v>1</v>
      </c>
      <c r="V2" t="n">
        <v>1</v>
      </c>
      <c r="W2" t="n">
        <v>1</v>
      </c>
      <c r="X2" t="n">
        <v>10000000</v>
      </c>
      <c r="Y2" t="inlineStr"/>
      <c r="Z2" t="inlineStr"/>
      <c r="AA2" t="inlineStr">
        <is>
          <t>https://knru.ru/catalog/25-oktyabrya-pr-kt-37a/</t>
        </is>
      </c>
      <c r="AB2" t="inlineStr">
        <is>
          <t>A</t>
        </is>
      </c>
    </row>
    <row r="3">
      <c r="A3" t="n">
        <v>3</v>
      </c>
      <c r="B3" t="n">
        <v>1</v>
      </c>
      <c r="C3" t="n">
        <v>3</v>
      </c>
      <c r="D3" t="inlineStr"/>
      <c r="E3" t="inlineStr">
        <is>
          <t>Курортный</t>
        </is>
      </c>
      <c r="F3" t="inlineStr">
        <is>
          <t>Отдыха ул, 6 А</t>
        </is>
      </c>
      <c r="G3" t="n">
        <v>26647</v>
      </c>
      <c r="H3" t="inlineStr">
        <is>
          <t>1 700 000 000</t>
        </is>
      </c>
      <c r="I3" t="inlineStr"/>
      <c r="J3" t="inlineStr"/>
      <c r="K3" t="inlineStr"/>
      <c r="L3" t="inlineStr"/>
      <c r="M3" t="inlineStr"/>
      <c r="N3" t="inlineStr">
        <is>
          <t>no</t>
        </is>
      </c>
      <c r="O3" t="inlineStr">
        <is>
          <t>none</t>
        </is>
      </c>
      <c r="P3">
        <f>HYPERLINK("https://knru.ru/catalog/otdykha-ul-6-a/","ссылка")</f>
        <v/>
      </c>
      <c r="Q3" t="inlineStr"/>
      <c r="R3" t="inlineStr">
        <is>
          <t>Нет у нас</t>
        </is>
      </c>
      <c r="S3" t="n">
        <v>0</v>
      </c>
      <c r="T3" t="inlineStr">
        <is>
          <t>Совпадений по улице+дому не найдено</t>
        </is>
      </c>
      <c r="U3" t="n">
        <v>3</v>
      </c>
      <c r="V3" t="n">
        <v>1</v>
      </c>
      <c r="W3" t="n">
        <v>3</v>
      </c>
      <c r="X3" t="n">
        <v>1700000000</v>
      </c>
      <c r="Y3" t="inlineStr"/>
      <c r="Z3" t="inlineStr"/>
      <c r="AA3" t="inlineStr">
        <is>
          <t>https://knru.ru/catalog/otdykha-ul-6-a/</t>
        </is>
      </c>
      <c r="AB3" t="inlineStr">
        <is>
          <t>A</t>
        </is>
      </c>
    </row>
    <row r="4">
      <c r="A4" t="n">
        <v>6</v>
      </c>
      <c r="B4" t="n">
        <v>1</v>
      </c>
      <c r="C4" t="n">
        <v>6</v>
      </c>
      <c r="D4" t="n">
        <v>50</v>
      </c>
      <c r="E4" t="inlineStr">
        <is>
          <t>Василеостровский</t>
        </is>
      </c>
      <c r="F4" t="inlineStr">
        <is>
          <t>13-я В.О. линия, 50</t>
        </is>
      </c>
      <c r="G4" t="n">
        <v>1000</v>
      </c>
      <c r="H4" t="inlineStr">
        <is>
          <t>482 196 523</t>
        </is>
      </c>
      <c r="I4" t="inlineStr"/>
      <c r="J4" t="inlineStr"/>
      <c r="K4" t="inlineStr"/>
      <c r="L4" t="inlineStr"/>
      <c r="M4" t="inlineStr"/>
      <c r="N4" t="inlineStr">
        <is>
          <t>no</t>
        </is>
      </c>
      <c r="O4" t="inlineStr">
        <is>
          <t>none</t>
        </is>
      </c>
      <c r="P4">
        <f>HYPERLINK("https://knru.ru/catalog/13-ya-v-o-liniya-50/","ссылка")</f>
        <v/>
      </c>
      <c r="Q4" t="inlineStr"/>
      <c r="R4" t="inlineStr">
        <is>
          <t>Нет у нас</t>
        </is>
      </c>
      <c r="S4" t="n">
        <v>0</v>
      </c>
      <c r="T4" t="inlineStr">
        <is>
          <t>Совпадений по улице+дому не найдено</t>
        </is>
      </c>
      <c r="U4" t="n">
        <v>6</v>
      </c>
      <c r="V4" t="n">
        <v>1</v>
      </c>
      <c r="W4" t="n">
        <v>6</v>
      </c>
      <c r="X4" t="n">
        <v>482196523</v>
      </c>
      <c r="Y4" t="inlineStr"/>
      <c r="Z4" t="inlineStr"/>
      <c r="AA4" t="inlineStr">
        <is>
          <t>https://knru.ru/catalog/13-ya-v-o-liniya-50/</t>
        </is>
      </c>
      <c r="AB4" t="inlineStr">
        <is>
          <t>A</t>
        </is>
      </c>
    </row>
    <row r="5">
      <c r="A5" t="n">
        <v>7</v>
      </c>
      <c r="B5" t="n">
        <v>1</v>
      </c>
      <c r="C5" t="n">
        <v>7</v>
      </c>
      <c r="D5" t="n">
        <v>1407189380</v>
      </c>
      <c r="E5" t="inlineStr">
        <is>
          <t>Адмиралтейский</t>
        </is>
      </c>
      <c r="F5" t="inlineStr">
        <is>
          <t>Московский пр-кт, 73к3 А</t>
        </is>
      </c>
      <c r="G5" t="n">
        <v>299</v>
      </c>
      <c r="H5" t="inlineStr">
        <is>
          <t>8 500 000</t>
        </is>
      </c>
      <c r="I5" t="inlineStr"/>
      <c r="J5" t="inlineStr"/>
      <c r="K5" t="inlineStr"/>
      <c r="L5" t="inlineStr"/>
      <c r="M5" t="inlineStr"/>
      <c r="N5" t="inlineStr">
        <is>
          <t>no</t>
        </is>
      </c>
      <c r="O5" t="inlineStr">
        <is>
          <t>none</t>
        </is>
      </c>
      <c r="P5">
        <f>HYPERLINK("https://knru.ru/catalog/moskovskiy-pr-d-73-k-3-1407189380/","ссылка")</f>
        <v/>
      </c>
      <c r="Q5" t="inlineStr"/>
      <c r="R5" t="inlineStr">
        <is>
          <t>Нет у нас</t>
        </is>
      </c>
      <c r="S5" t="n">
        <v>0</v>
      </c>
      <c r="T5" t="inlineStr">
        <is>
          <t>Совпадений по улице+дому не найдено</t>
        </is>
      </c>
      <c r="U5" t="n">
        <v>7</v>
      </c>
      <c r="V5" t="n">
        <v>1</v>
      </c>
      <c r="W5" t="n">
        <v>7</v>
      </c>
      <c r="X5" t="n">
        <v>8500000</v>
      </c>
      <c r="Y5" t="inlineStr"/>
      <c r="Z5" t="inlineStr"/>
      <c r="AA5" t="inlineStr">
        <is>
          <t>https://knru.ru/catalog/moskovskiy-pr-d-73-k-3-1407189380/</t>
        </is>
      </c>
      <c r="AB5" t="inlineStr">
        <is>
          <t>A</t>
        </is>
      </c>
    </row>
    <row r="6">
      <c r="A6" t="n">
        <v>8</v>
      </c>
      <c r="B6" t="n">
        <v>1</v>
      </c>
      <c r="C6" t="n">
        <v>8</v>
      </c>
      <c r="D6" t="n">
        <v>5</v>
      </c>
      <c r="E6" t="inlineStr">
        <is>
          <t>Чкаловский</t>
        </is>
      </c>
      <c r="F6" t="inlineStr">
        <is>
          <t>Леонова ул, 5</t>
        </is>
      </c>
      <c r="G6" t="n">
        <v>707</v>
      </c>
      <c r="H6" t="inlineStr">
        <is>
          <t>77 700 000</t>
        </is>
      </c>
      <c r="I6" t="inlineStr"/>
      <c r="J6" t="inlineStr"/>
      <c r="K6" t="inlineStr"/>
      <c r="L6" t="inlineStr"/>
      <c r="M6" t="inlineStr"/>
      <c r="N6" t="inlineStr">
        <is>
          <t>no</t>
        </is>
      </c>
      <c r="O6" t="inlineStr">
        <is>
          <t>none</t>
        </is>
      </c>
      <c r="P6">
        <f>HYPERLINK("https://knru.ru/catalog/zamyatin-per-d-5/","ссылка")</f>
        <v/>
      </c>
      <c r="Q6" t="inlineStr"/>
      <c r="R6" t="inlineStr">
        <is>
          <t>Нет у нас</t>
        </is>
      </c>
      <c r="S6" t="n">
        <v>0</v>
      </c>
      <c r="T6" t="inlineStr">
        <is>
          <t>Совпадений по улице+дому не найдено</t>
        </is>
      </c>
      <c r="U6" t="n">
        <v>8</v>
      </c>
      <c r="V6" t="n">
        <v>1</v>
      </c>
      <c r="W6" t="n">
        <v>8</v>
      </c>
      <c r="X6" t="n">
        <v>77700000</v>
      </c>
      <c r="Y6" t="inlineStr"/>
      <c r="Z6" t="inlineStr"/>
      <c r="AA6" t="inlineStr">
        <is>
          <t>https://knru.ru/catalog/zamyatin-per-d-5/</t>
        </is>
      </c>
      <c r="AB6" t="inlineStr">
        <is>
          <t>A</t>
        </is>
      </c>
    </row>
    <row r="7">
      <c r="A7" t="n">
        <v>9</v>
      </c>
      <c r="B7" t="n">
        <v>1</v>
      </c>
      <c r="C7" t="n">
        <v>9</v>
      </c>
      <c r="D7" t="n">
        <v>1545894825</v>
      </c>
      <c r="E7" t="inlineStr">
        <is>
          <t>Центральный</t>
        </is>
      </c>
      <c r="F7" t="inlineStr">
        <is>
          <t>Лиговский пр-кт, 56Б</t>
        </is>
      </c>
      <c r="G7" t="n">
        <v>86.09999999999999</v>
      </c>
      <c r="H7" t="inlineStr">
        <is>
          <t>21 525 000</t>
        </is>
      </c>
      <c r="I7" t="inlineStr"/>
      <c r="J7" t="inlineStr"/>
      <c r="K7" t="inlineStr"/>
      <c r="L7" t="inlineStr"/>
      <c r="M7" t="inlineStr"/>
      <c r="N7" t="inlineStr">
        <is>
          <t>no</t>
        </is>
      </c>
      <c r="O7" t="inlineStr">
        <is>
          <t>none</t>
        </is>
      </c>
      <c r="P7">
        <f>HYPERLINK("https://knru.ru/catalog/ligovskiy-pr-d-56-1545894825/","ссылка")</f>
        <v/>
      </c>
      <c r="Q7" t="inlineStr"/>
      <c r="R7" t="inlineStr">
        <is>
          <t>Нет у нас</t>
        </is>
      </c>
      <c r="S7" t="n">
        <v>0</v>
      </c>
      <c r="T7" t="inlineStr">
        <is>
          <t>Совпадений по улице+дому не найдено</t>
        </is>
      </c>
      <c r="U7" t="n">
        <v>9</v>
      </c>
      <c r="V7" t="n">
        <v>1</v>
      </c>
      <c r="W7" t="n">
        <v>9</v>
      </c>
      <c r="X7" t="n">
        <v>21525000</v>
      </c>
      <c r="Y7" t="inlineStr"/>
      <c r="Z7" t="inlineStr"/>
      <c r="AA7" t="inlineStr">
        <is>
          <t>https://knru.ru/catalog/ligovskiy-pr-d-56-1545894825/</t>
        </is>
      </c>
      <c r="AB7" t="inlineStr">
        <is>
          <t>A</t>
        </is>
      </c>
    </row>
    <row r="8">
      <c r="A8" t="n">
        <v>10</v>
      </c>
      <c r="B8" t="n">
        <v>1</v>
      </c>
      <c r="C8" t="n">
        <v>10</v>
      </c>
      <c r="D8" t="n">
        <v>414833084</v>
      </c>
      <c r="E8" t="inlineStr">
        <is>
          <t>Центральный</t>
        </is>
      </c>
      <c r="F8" t="inlineStr">
        <is>
          <t>Лиговский пр-кт, 56Б</t>
        </is>
      </c>
      <c r="G8" t="n">
        <v>52.5</v>
      </c>
      <c r="H8" t="inlineStr">
        <is>
          <t>14 962 500</t>
        </is>
      </c>
      <c r="I8" t="inlineStr"/>
      <c r="J8" t="inlineStr"/>
      <c r="K8" t="inlineStr"/>
      <c r="L8" t="inlineStr"/>
      <c r="M8" t="inlineStr"/>
      <c r="N8" t="inlineStr">
        <is>
          <t>no</t>
        </is>
      </c>
      <c r="O8" t="inlineStr">
        <is>
          <t>none</t>
        </is>
      </c>
      <c r="P8">
        <f>HYPERLINK("https://knru.ru/catalog/ligovskiy-pr-d-56-414833084/","ссылка")</f>
        <v/>
      </c>
      <c r="Q8" t="inlineStr"/>
      <c r="R8" t="inlineStr">
        <is>
          <t>Нет у нас</t>
        </is>
      </c>
      <c r="S8" t="n">
        <v>0</v>
      </c>
      <c r="T8" t="inlineStr">
        <is>
          <t>Совпадений по улице+дому не найдено</t>
        </is>
      </c>
      <c r="U8" t="n">
        <v>10</v>
      </c>
      <c r="V8" t="n">
        <v>1</v>
      </c>
      <c r="W8" t="n">
        <v>10</v>
      </c>
      <c r="X8" t="n">
        <v>14962500</v>
      </c>
      <c r="Y8" t="inlineStr"/>
      <c r="Z8" t="inlineStr"/>
      <c r="AA8" t="inlineStr">
        <is>
          <t>https://knru.ru/catalog/ligovskiy-pr-d-56-414833084/</t>
        </is>
      </c>
      <c r="AB8" t="inlineStr">
        <is>
          <t>A</t>
        </is>
      </c>
    </row>
    <row r="9">
      <c r="A9" t="n">
        <v>11</v>
      </c>
      <c r="B9" t="n">
        <v>1</v>
      </c>
      <c r="C9" t="n">
        <v>11</v>
      </c>
      <c r="D9" t="n">
        <v>56</v>
      </c>
      <c r="E9" t="inlineStr">
        <is>
          <t>Центральный</t>
        </is>
      </c>
      <c r="F9" t="inlineStr">
        <is>
          <t>Лиговский пр-кт, 56Б</t>
        </is>
      </c>
      <c r="G9" t="n">
        <v>82.7</v>
      </c>
      <c r="H9" t="inlineStr">
        <is>
          <t>20 675 000</t>
        </is>
      </c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none</t>
        </is>
      </c>
      <c r="P9">
        <f>HYPERLINK("https://knru.ru/catalog/ligovskiy-pr-d-56/","ссылка")</f>
        <v/>
      </c>
      <c r="Q9" t="inlineStr"/>
      <c r="R9" t="inlineStr">
        <is>
          <t>Нет у нас</t>
        </is>
      </c>
      <c r="S9" t="n">
        <v>0</v>
      </c>
      <c r="T9" t="inlineStr">
        <is>
          <t>Совпадений по улице+дому не найдено</t>
        </is>
      </c>
      <c r="U9" t="n">
        <v>11</v>
      </c>
      <c r="V9" t="n">
        <v>1</v>
      </c>
      <c r="W9" t="n">
        <v>11</v>
      </c>
      <c r="X9" t="n">
        <v>20675000</v>
      </c>
      <c r="Y9" t="inlineStr"/>
      <c r="Z9" t="inlineStr"/>
      <c r="AA9" t="inlineStr">
        <is>
          <t>https://knru.ru/catalog/ligovskiy-pr-d-56/</t>
        </is>
      </c>
      <c r="AB9" t="inlineStr">
        <is>
          <t>A</t>
        </is>
      </c>
    </row>
    <row r="10">
      <c r="A10" t="n">
        <v>12</v>
      </c>
      <c r="B10" t="n">
        <v>1</v>
      </c>
      <c r="C10" t="n">
        <v>12</v>
      </c>
      <c r="D10" t="n">
        <v>1</v>
      </c>
      <c r="E10" t="inlineStr"/>
      <c r="F10" t="inlineStr">
        <is>
          <t>Маршала Блюхера пр-кт, 74к2 стр 1</t>
        </is>
      </c>
      <c r="G10" t="n">
        <v>2364</v>
      </c>
      <c r="H10" t="inlineStr">
        <is>
          <t>283 680 000</t>
        </is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none</t>
        </is>
      </c>
      <c r="P10">
        <f>HYPERLINK("https://knru.ru/catalog/marshala-blyukhera-pr-kt-74k2-str-1/","ссылка")</f>
        <v/>
      </c>
      <c r="Q10" t="inlineStr"/>
      <c r="R10" t="inlineStr">
        <is>
          <t>Нет у нас</t>
        </is>
      </c>
      <c r="S10" t="n">
        <v>0</v>
      </c>
      <c r="T10" t="inlineStr">
        <is>
          <t>Совпадений по улице+дому не найдено</t>
        </is>
      </c>
      <c r="U10" t="n">
        <v>12</v>
      </c>
      <c r="V10" t="n">
        <v>1</v>
      </c>
      <c r="W10" t="n">
        <v>12</v>
      </c>
      <c r="X10" t="n">
        <v>283680000</v>
      </c>
      <c r="Y10" t="inlineStr"/>
      <c r="Z10" t="inlineStr"/>
      <c r="AA10" t="inlineStr">
        <is>
          <t>https://knru.ru/catalog/marshala-blyukhera-pr-kt-74k2-str-1/</t>
        </is>
      </c>
      <c r="AB10" t="inlineStr">
        <is>
          <t>A</t>
        </is>
      </c>
    </row>
    <row r="11">
      <c r="A11" t="n">
        <v>14</v>
      </c>
      <c r="B11" t="n">
        <v>1</v>
      </c>
      <c r="C11" t="n">
        <v>14</v>
      </c>
      <c r="D11" t="n">
        <v>60966936</v>
      </c>
      <c r="E11" t="inlineStr">
        <is>
          <t>Петродворцовый</t>
        </is>
      </c>
      <c r="F11" t="inlineStr">
        <is>
          <t>проспект Будённого, 18к4</t>
        </is>
      </c>
      <c r="G11" t="n">
        <v>244</v>
      </c>
      <c r="H11" t="inlineStr">
        <is>
          <t>80 520 000</t>
        </is>
      </c>
      <c r="I11" t="inlineStr"/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none</t>
        </is>
      </c>
      <c r="P11">
        <f>HYPERLINK("https://knru.ru/catalog/prospekt-budyennogo-18k4-60966936/","ссылка")</f>
        <v/>
      </c>
      <c r="Q11" t="inlineStr"/>
      <c r="R11" t="inlineStr">
        <is>
          <t>Нет у нас</t>
        </is>
      </c>
      <c r="S11" t="n">
        <v>0</v>
      </c>
      <c r="T11" t="inlineStr">
        <is>
          <t>Совпадений по улице+дому не найдено</t>
        </is>
      </c>
      <c r="U11" t="n">
        <v>14</v>
      </c>
      <c r="V11" t="n">
        <v>1</v>
      </c>
      <c r="W11" t="n">
        <v>14</v>
      </c>
      <c r="X11" t="n">
        <v>80520000</v>
      </c>
      <c r="Y11" t="inlineStr"/>
      <c r="Z11" t="inlineStr"/>
      <c r="AA11" t="inlineStr">
        <is>
          <t>https://knru.ru/catalog/prospekt-budyennogo-18k4-60966936/</t>
        </is>
      </c>
      <c r="AB11" t="inlineStr">
        <is>
          <t>A</t>
        </is>
      </c>
    </row>
    <row r="12">
      <c r="A12" t="n">
        <v>15</v>
      </c>
      <c r="B12" t="n">
        <v>1</v>
      </c>
      <c r="C12" t="n">
        <v>15</v>
      </c>
      <c r="D12" t="inlineStr"/>
      <c r="E12" t="inlineStr">
        <is>
          <t>Петродворцовый</t>
        </is>
      </c>
      <c r="F12" t="inlineStr">
        <is>
          <t>проспект Будённого, 18к4</t>
        </is>
      </c>
      <c r="G12" t="n">
        <v>93</v>
      </c>
      <c r="H12" t="inlineStr">
        <is>
          <t>32 550 000</t>
        </is>
      </c>
      <c r="I12" t="inlineStr"/>
      <c r="J12" t="inlineStr"/>
      <c r="K12" t="inlineStr"/>
      <c r="L12" t="inlineStr"/>
      <c r="M12" t="inlineStr"/>
      <c r="N12" t="inlineStr">
        <is>
          <t>no</t>
        </is>
      </c>
      <c r="O12" t="inlineStr">
        <is>
          <t>none</t>
        </is>
      </c>
      <c r="P12">
        <f>HYPERLINK("https://knru.ru/catalog/prospekt-budyennogo-18k4/","ссылка")</f>
        <v/>
      </c>
      <c r="Q12" t="inlineStr"/>
      <c r="R12" t="inlineStr">
        <is>
          <t>Нет у нас</t>
        </is>
      </c>
      <c r="S12" t="n">
        <v>0</v>
      </c>
      <c r="T12" t="inlineStr">
        <is>
          <t>Совпадений по улице+дому не найдено</t>
        </is>
      </c>
      <c r="U12" t="n">
        <v>15</v>
      </c>
      <c r="V12" t="n">
        <v>1</v>
      </c>
      <c r="W12" t="n">
        <v>15</v>
      </c>
      <c r="X12" t="n">
        <v>32550000</v>
      </c>
      <c r="Y12" t="inlineStr"/>
      <c r="Z12" t="inlineStr"/>
      <c r="AA12" t="inlineStr">
        <is>
          <t>https://knru.ru/catalog/prospekt-budyennogo-18k4/</t>
        </is>
      </c>
      <c r="AB12" t="inlineStr">
        <is>
          <t>A</t>
        </is>
      </c>
    </row>
    <row r="13">
      <c r="A13" t="n">
        <v>16</v>
      </c>
      <c r="B13" t="n">
        <v>1</v>
      </c>
      <c r="C13" t="n">
        <v>16</v>
      </c>
      <c r="D13" t="n">
        <v>468742874</v>
      </c>
      <c r="E13" t="inlineStr">
        <is>
          <t>Центральный</t>
        </is>
      </c>
      <c r="F13" t="inlineStr">
        <is>
          <t>Чайковского ул, 12а Л</t>
        </is>
      </c>
      <c r="G13" t="n">
        <v>724</v>
      </c>
      <c r="H13" t="inlineStr">
        <is>
          <t>175 000 000</t>
        </is>
      </c>
      <c r="I13" t="inlineStr"/>
      <c r="J13" t="inlineStr"/>
      <c r="K13" t="inlineStr"/>
      <c r="L13" t="inlineStr"/>
      <c r="M13" t="inlineStr"/>
      <c r="N13" t="inlineStr">
        <is>
          <t>no</t>
        </is>
      </c>
      <c r="O13" t="inlineStr">
        <is>
          <t>none</t>
        </is>
      </c>
      <c r="P13">
        <f>HYPERLINK("https://knru.ru/catalog/chaykovskogo-ul-12a-l-468742874/","ссылка")</f>
        <v/>
      </c>
      <c r="Q13" t="inlineStr"/>
      <c r="R13" t="inlineStr">
        <is>
          <t>Нет у нас</t>
        </is>
      </c>
      <c r="S13" t="n">
        <v>0</v>
      </c>
      <c r="T13" t="inlineStr">
        <is>
          <t>Совпадений по улице+дому не найдено</t>
        </is>
      </c>
      <c r="U13" t="n">
        <v>16</v>
      </c>
      <c r="V13" t="n">
        <v>1</v>
      </c>
      <c r="W13" t="n">
        <v>16</v>
      </c>
      <c r="X13" t="n">
        <v>175000000</v>
      </c>
      <c r="Y13" t="inlineStr"/>
      <c r="Z13" t="inlineStr"/>
      <c r="AA13" t="inlineStr">
        <is>
          <t>https://knru.ru/catalog/chaykovskogo-ul-12a-l-468742874/</t>
        </is>
      </c>
      <c r="AB13" t="inlineStr">
        <is>
          <t>A</t>
        </is>
      </c>
    </row>
    <row r="14">
      <c r="A14" t="n">
        <v>17</v>
      </c>
      <c r="B14" t="n">
        <v>1</v>
      </c>
      <c r="C14" t="n">
        <v>17</v>
      </c>
      <c r="D14" t="inlineStr"/>
      <c r="E14" t="inlineStr">
        <is>
          <t>Центральный</t>
        </is>
      </c>
      <c r="F14" t="inlineStr">
        <is>
          <t>Чайковского ул, 12а Л</t>
        </is>
      </c>
      <c r="G14" t="n">
        <v>192</v>
      </c>
      <c r="H14" t="inlineStr">
        <is>
          <t>41 000 000</t>
        </is>
      </c>
      <c r="I14" t="inlineStr"/>
      <c r="J14" t="inlineStr"/>
      <c r="K14" t="inlineStr"/>
      <c r="L14" t="inlineStr"/>
      <c r="M14" t="inlineStr"/>
      <c r="N14" t="inlineStr">
        <is>
          <t>no</t>
        </is>
      </c>
      <c r="O14" t="inlineStr">
        <is>
          <t>none</t>
        </is>
      </c>
      <c r="P14">
        <f>HYPERLINK("https://knru.ru/catalog/chaykovskogo-ul-12a-l/","ссылка")</f>
        <v/>
      </c>
      <c r="Q14" t="inlineStr"/>
      <c r="R14" t="inlineStr">
        <is>
          <t>Нет у нас</t>
        </is>
      </c>
      <c r="S14" t="n">
        <v>0</v>
      </c>
      <c r="T14" t="inlineStr">
        <is>
          <t>Совпадений по улице+дому не найдено</t>
        </is>
      </c>
      <c r="U14" t="n">
        <v>17</v>
      </c>
      <c r="V14" t="n">
        <v>1</v>
      </c>
      <c r="W14" t="n">
        <v>17</v>
      </c>
      <c r="X14" t="n">
        <v>41000000</v>
      </c>
      <c r="Y14" t="inlineStr"/>
      <c r="Z14" t="inlineStr"/>
      <c r="AA14" t="inlineStr">
        <is>
          <t>https://knru.ru/catalog/chaykovskogo-ul-12a-l/</t>
        </is>
      </c>
      <c r="AB14" t="inlineStr">
        <is>
          <t>A</t>
        </is>
      </c>
    </row>
    <row r="15">
      <c r="A15" t="n">
        <v>24</v>
      </c>
      <c r="B15" t="n">
        <v>1</v>
      </c>
      <c r="C15" t="n">
        <v>24</v>
      </c>
      <c r="D15" t="n">
        <v>11</v>
      </c>
      <c r="E15" t="inlineStr">
        <is>
          <t>Петроградский</t>
        </is>
      </c>
      <c r="F15" t="inlineStr">
        <is>
          <t>Каменноостровский пр-кт, 11 А</t>
        </is>
      </c>
      <c r="G15" t="n">
        <v>1178</v>
      </c>
      <c r="H15" t="inlineStr">
        <is>
          <t>450 000 000</t>
        </is>
      </c>
      <c r="I15" t="inlineStr"/>
      <c r="J15" t="inlineStr"/>
      <c r="K15" t="inlineStr"/>
      <c r="L15" t="inlineStr"/>
      <c r="M15" t="inlineStr"/>
      <c r="N15" t="inlineStr">
        <is>
          <t>no</t>
        </is>
      </c>
      <c r="O15" t="inlineStr">
        <is>
          <t>none</t>
        </is>
      </c>
      <c r="P15">
        <f>HYPERLINK("https://knru.ru/catalog/kamennoostrovskiy-pr-kt-d-11/","ссылка")</f>
        <v/>
      </c>
      <c r="Q15" t="inlineStr"/>
      <c r="R15" t="inlineStr">
        <is>
          <t>Нет у нас</t>
        </is>
      </c>
      <c r="S15" t="n">
        <v>0</v>
      </c>
      <c r="T15" t="inlineStr">
        <is>
          <t>Совпадений по улице+дому не найдено</t>
        </is>
      </c>
      <c r="U15" t="n">
        <v>24</v>
      </c>
      <c r="V15" t="n">
        <v>1</v>
      </c>
      <c r="W15" t="n">
        <v>24</v>
      </c>
      <c r="X15" t="n">
        <v>450000000</v>
      </c>
      <c r="Y15" t="inlineStr"/>
      <c r="Z15" t="inlineStr"/>
      <c r="AA15" t="inlineStr">
        <is>
          <t>https://knru.ru/catalog/kamennoostrovskiy-pr-kt-d-11/</t>
        </is>
      </c>
      <c r="AB15" t="inlineStr">
        <is>
          <t>A</t>
        </is>
      </c>
    </row>
    <row r="16">
      <c r="A16" t="n">
        <v>25</v>
      </c>
      <c r="B16" t="n">
        <v>2</v>
      </c>
      <c r="C16" t="n">
        <v>1</v>
      </c>
      <c r="D16" t="n">
        <v>1718420734</v>
      </c>
      <c r="E16" t="inlineStr">
        <is>
          <t>Василеостровский</t>
        </is>
      </c>
      <c r="F16" t="inlineStr">
        <is>
          <t>9-я В.О. линия, 32</t>
        </is>
      </c>
      <c r="G16" t="n">
        <v>190</v>
      </c>
      <c r="H16" t="inlineStr">
        <is>
          <t>95 000 000</t>
        </is>
      </c>
      <c r="I16" t="inlineStr"/>
      <c r="J16" t="inlineStr"/>
      <c r="K16" t="inlineStr"/>
      <c r="L16" t="inlineStr"/>
      <c r="M16" t="inlineStr"/>
      <c r="N16" t="inlineStr">
        <is>
          <t>no</t>
        </is>
      </c>
      <c r="O16" t="inlineStr">
        <is>
          <t>none</t>
        </is>
      </c>
      <c r="P16">
        <f>HYPERLINK("https://knru.ru/catalog/9-ya-v-o-liniya-32-1718420734/","ссылка")</f>
        <v/>
      </c>
      <c r="Q16" t="inlineStr"/>
      <c r="R16" t="inlineStr">
        <is>
          <t>Нет у нас</t>
        </is>
      </c>
      <c r="S16" t="n">
        <v>0</v>
      </c>
      <c r="T16" t="inlineStr">
        <is>
          <t>Совпадений по улице+дому не найдено</t>
        </is>
      </c>
      <c r="U16" t="n">
        <v>25</v>
      </c>
      <c r="V16" t="n">
        <v>2</v>
      </c>
      <c r="W16" t="n">
        <v>1</v>
      </c>
      <c r="X16" t="n">
        <v>95000000</v>
      </c>
      <c r="Y16" t="inlineStr"/>
      <c r="Z16" t="inlineStr"/>
      <c r="AA16" t="inlineStr">
        <is>
          <t>https://knru.ru/catalog/9-ya-v-o-liniya-32-1718420734/</t>
        </is>
      </c>
      <c r="AB16" t="inlineStr">
        <is>
          <t>A</t>
        </is>
      </c>
    </row>
    <row r="17">
      <c r="A17" t="n">
        <v>28</v>
      </c>
      <c r="B17" t="n">
        <v>2</v>
      </c>
      <c r="C17" t="n">
        <v>4</v>
      </c>
      <c r="D17" t="n">
        <v>43</v>
      </c>
      <c r="E17" t="inlineStr">
        <is>
          <t>Адмиралтейский</t>
        </is>
      </c>
      <c r="F17" t="inlineStr">
        <is>
          <t>Московский пр-кт, 43</t>
        </is>
      </c>
      <c r="G17" t="n">
        <v>17</v>
      </c>
      <c r="H17" t="inlineStr">
        <is>
          <t>7 000 000</t>
        </is>
      </c>
      <c r="I17" t="inlineStr"/>
      <c r="J17" t="inlineStr"/>
      <c r="K17" t="inlineStr"/>
      <c r="L17" t="inlineStr"/>
      <c r="M17" t="inlineStr"/>
      <c r="N17" t="inlineStr">
        <is>
          <t>no</t>
        </is>
      </c>
      <c r="O17" t="inlineStr">
        <is>
          <t>none</t>
        </is>
      </c>
      <c r="P17">
        <f>HYPERLINK("https://knru.ru/catalog/moskovskiy-pr-kt-43/","ссылка")</f>
        <v/>
      </c>
      <c r="Q17" t="inlineStr"/>
      <c r="R17" t="inlineStr">
        <is>
          <t>Нет у нас</t>
        </is>
      </c>
      <c r="S17" t="n">
        <v>0</v>
      </c>
      <c r="T17" t="inlineStr">
        <is>
          <t>Совпадений по улице+дому не найдено</t>
        </is>
      </c>
      <c r="U17" t="n">
        <v>28</v>
      </c>
      <c r="V17" t="n">
        <v>2</v>
      </c>
      <c r="W17" t="n">
        <v>4</v>
      </c>
      <c r="X17" t="n">
        <v>7000000</v>
      </c>
      <c r="Y17" t="inlineStr"/>
      <c r="Z17" t="inlineStr"/>
      <c r="AA17" t="inlineStr">
        <is>
          <t>https://knru.ru/catalog/moskovskiy-pr-kt-43/</t>
        </is>
      </c>
      <c r="AB17" t="inlineStr">
        <is>
          <t>A</t>
        </is>
      </c>
    </row>
    <row r="18">
      <c r="A18" t="n">
        <v>36</v>
      </c>
      <c r="B18" t="n">
        <v>2</v>
      </c>
      <c r="C18" t="n">
        <v>12</v>
      </c>
      <c r="D18" t="n">
        <v>16</v>
      </c>
      <c r="E18" t="inlineStr">
        <is>
          <t>Приморский</t>
        </is>
      </c>
      <c r="F18" t="inlineStr">
        <is>
          <t>1-я Никитинская ул, 16</t>
        </is>
      </c>
      <c r="G18" t="n">
        <v>4500</v>
      </c>
      <c r="H18" t="inlineStr">
        <is>
          <t>850 000 000</t>
        </is>
      </c>
      <c r="I18" t="inlineStr"/>
      <c r="J18" t="inlineStr"/>
      <c r="K18" t="inlineStr"/>
      <c r="L18" t="inlineStr"/>
      <c r="M18" t="inlineStr"/>
      <c r="N18" t="inlineStr">
        <is>
          <t>no</t>
        </is>
      </c>
      <c r="O18" t="inlineStr">
        <is>
          <t>none</t>
        </is>
      </c>
      <c r="P18">
        <f>HYPERLINK("https://knru.ru/catalog/1-ya-nikitinskaya-ul-16/","ссылка")</f>
        <v/>
      </c>
      <c r="Q18" t="inlineStr"/>
      <c r="R18" t="inlineStr">
        <is>
          <t>Нет у нас</t>
        </is>
      </c>
      <c r="S18" t="n">
        <v>0</v>
      </c>
      <c r="T18" t="inlineStr">
        <is>
          <t>Совпадений по улице+дому не найдено</t>
        </is>
      </c>
      <c r="U18" t="n">
        <v>36</v>
      </c>
      <c r="V18" t="n">
        <v>2</v>
      </c>
      <c r="W18" t="n">
        <v>12</v>
      </c>
      <c r="X18" t="n">
        <v>850000000</v>
      </c>
      <c r="Y18" t="inlineStr"/>
      <c r="Z18" t="inlineStr"/>
      <c r="AA18" t="inlineStr">
        <is>
          <t>https://knru.ru/catalog/1-ya-nikitinskaya-ul-16/</t>
        </is>
      </c>
      <c r="AB18" t="inlineStr">
        <is>
          <t>A</t>
        </is>
      </c>
    </row>
    <row r="19">
      <c r="A19" t="n">
        <v>41</v>
      </c>
      <c r="B19" t="n">
        <v>2</v>
      </c>
      <c r="C19" t="n">
        <v>17</v>
      </c>
      <c r="D19" t="n">
        <v>29</v>
      </c>
      <c r="E19" t="inlineStr">
        <is>
          <t>Адмиралтейский</t>
        </is>
      </c>
      <c r="F19" t="inlineStr">
        <is>
          <t>Казанская ул, 29</t>
        </is>
      </c>
      <c r="G19" t="n">
        <v>140</v>
      </c>
      <c r="H19" t="inlineStr">
        <is>
          <t>5 500 000</t>
        </is>
      </c>
      <c r="I19" t="inlineStr"/>
      <c r="J19" t="inlineStr"/>
      <c r="K19" t="inlineStr"/>
      <c r="L19" t="inlineStr"/>
      <c r="M19" t="inlineStr"/>
      <c r="N19" t="inlineStr">
        <is>
          <t>no</t>
        </is>
      </c>
      <c r="O19" t="inlineStr">
        <is>
          <t>none</t>
        </is>
      </c>
      <c r="P19">
        <f>HYPERLINK("https://knru.ru/catalog/kazanskaya-ul-29/","ссылка")</f>
        <v/>
      </c>
      <c r="Q19" t="inlineStr"/>
      <c r="R19" t="inlineStr">
        <is>
          <t>Нет у нас</t>
        </is>
      </c>
      <c r="S19" t="n">
        <v>0</v>
      </c>
      <c r="T19" t="inlineStr">
        <is>
          <t>Совпадений по улице+дому не найдено</t>
        </is>
      </c>
      <c r="U19" t="n">
        <v>41</v>
      </c>
      <c r="V19" t="n">
        <v>2</v>
      </c>
      <c r="W19" t="n">
        <v>17</v>
      </c>
      <c r="X19" t="n">
        <v>5500000</v>
      </c>
      <c r="Y19" t="inlineStr"/>
      <c r="Z19" t="inlineStr"/>
      <c r="AA19" t="inlineStr">
        <is>
          <t>https://knru.ru/catalog/kazanskaya-ul-29/</t>
        </is>
      </c>
      <c r="AB19" t="inlineStr">
        <is>
          <t>A</t>
        </is>
      </c>
    </row>
    <row r="20">
      <c r="A20" t="n">
        <v>42</v>
      </c>
      <c r="B20" t="n">
        <v>2</v>
      </c>
      <c r="C20" t="n">
        <v>18</v>
      </c>
      <c r="D20" t="inlineStr"/>
      <c r="E20" t="inlineStr">
        <is>
          <t>Невский</t>
        </is>
      </c>
      <c r="F20" t="inlineStr">
        <is>
          <t>Дыбенко ул, 1к2</t>
        </is>
      </c>
      <c r="G20" t="n">
        <v>500</v>
      </c>
      <c r="H20" t="inlineStr">
        <is>
          <t>90 000 000</t>
        </is>
      </c>
      <c r="I20" t="inlineStr"/>
      <c r="J20" t="inlineStr"/>
      <c r="K20" t="inlineStr"/>
      <c r="L20" t="inlineStr"/>
      <c r="M20" t="inlineStr"/>
      <c r="N20" t="inlineStr">
        <is>
          <t>no</t>
        </is>
      </c>
      <c r="O20" t="inlineStr">
        <is>
          <t>none</t>
        </is>
      </c>
      <c r="P20">
        <f>HYPERLINK("https://knru.ru/catalog/dybenko-ul-1k2/","ссылка")</f>
        <v/>
      </c>
      <c r="Q20" t="inlineStr"/>
      <c r="R20" t="inlineStr">
        <is>
          <t>Нет у нас</t>
        </is>
      </c>
      <c r="S20" t="n">
        <v>0</v>
      </c>
      <c r="T20" t="inlineStr">
        <is>
          <t>Совпадений по улице+дому не найдено</t>
        </is>
      </c>
      <c r="U20" t="n">
        <v>42</v>
      </c>
      <c r="V20" t="n">
        <v>2</v>
      </c>
      <c r="W20" t="n">
        <v>18</v>
      </c>
      <c r="X20" t="n">
        <v>90000000</v>
      </c>
      <c r="Y20" t="inlineStr"/>
      <c r="Z20" t="inlineStr"/>
      <c r="AA20" t="inlineStr">
        <is>
          <t>https://knru.ru/catalog/dybenko-ul-1k2/</t>
        </is>
      </c>
      <c r="AB20" t="inlineStr">
        <is>
          <t>A</t>
        </is>
      </c>
    </row>
    <row r="21">
      <c r="A21" t="n">
        <v>45</v>
      </c>
      <c r="B21" t="n">
        <v>2</v>
      </c>
      <c r="C21" t="n">
        <v>21</v>
      </c>
      <c r="D21" t="n">
        <v>6</v>
      </c>
      <c r="E21" t="inlineStr">
        <is>
          <t>Приморский</t>
        </is>
      </c>
      <c r="F21" t="inlineStr">
        <is>
          <t>Торфяная дор, 17к6</t>
        </is>
      </c>
      <c r="G21" t="n">
        <v>2290</v>
      </c>
      <c r="H21" t="inlineStr">
        <is>
          <t>180 000 000</t>
        </is>
      </c>
      <c r="I21" t="inlineStr"/>
      <c r="J21" t="inlineStr"/>
      <c r="K21" t="inlineStr"/>
      <c r="L21" t="inlineStr"/>
      <c r="M21" t="inlineStr"/>
      <c r="N21" t="inlineStr">
        <is>
          <t>no</t>
        </is>
      </c>
      <c r="O21" t="inlineStr">
        <is>
          <t>none</t>
        </is>
      </c>
      <c r="P21">
        <f>HYPERLINK("https://knru.ru/catalog/torfyanaya-doroga-d-17k-6/","ссылка")</f>
        <v/>
      </c>
      <c r="Q21" t="inlineStr"/>
      <c r="R21" t="inlineStr">
        <is>
          <t>Нет у нас</t>
        </is>
      </c>
      <c r="S21" t="n">
        <v>0</v>
      </c>
      <c r="T21" t="inlineStr">
        <is>
          <t>Совпадений по улице+дому не найдено</t>
        </is>
      </c>
      <c r="U21" t="n">
        <v>45</v>
      </c>
      <c r="V21" t="n">
        <v>2</v>
      </c>
      <c r="W21" t="n">
        <v>21</v>
      </c>
      <c r="X21" t="n">
        <v>180000000</v>
      </c>
      <c r="Y21" t="inlineStr"/>
      <c r="Z21" t="inlineStr"/>
      <c r="AA21" t="inlineStr">
        <is>
          <t>https://knru.ru/catalog/torfyanaya-doroga-d-17k-6/</t>
        </is>
      </c>
      <c r="AB21" t="inlineStr">
        <is>
          <t>A</t>
        </is>
      </c>
    </row>
    <row r="22">
      <c r="A22" t="n">
        <v>46</v>
      </c>
      <c r="B22" t="n">
        <v>2</v>
      </c>
      <c r="C22" t="n">
        <v>22</v>
      </c>
      <c r="D22" t="n">
        <v>4</v>
      </c>
      <c r="E22" t="inlineStr">
        <is>
          <t>Петроградский</t>
        </is>
      </c>
      <c r="F22" t="inlineStr">
        <is>
          <t>Большая Разночинная ул, 4</t>
        </is>
      </c>
      <c r="G22" t="n">
        <v>82</v>
      </c>
      <c r="H22" t="inlineStr">
        <is>
          <t>6 000 000</t>
        </is>
      </c>
      <c r="I22" t="inlineStr"/>
      <c r="J22" t="inlineStr"/>
      <c r="K22" t="inlineStr"/>
      <c r="L22" t="inlineStr"/>
      <c r="M22" t="inlineStr"/>
      <c r="N22" t="inlineStr">
        <is>
          <t>no</t>
        </is>
      </c>
      <c r="O22" t="inlineStr">
        <is>
          <t>none</t>
        </is>
      </c>
      <c r="P22">
        <f>HYPERLINK("https://knru.ru/catalog/bolshaya-raznochinnaya-ul-4/","ссылка")</f>
        <v/>
      </c>
      <c r="Q22" t="inlineStr"/>
      <c r="R22" t="inlineStr">
        <is>
          <t>Нет у нас</t>
        </is>
      </c>
      <c r="S22" t="n">
        <v>0</v>
      </c>
      <c r="T22" t="inlineStr">
        <is>
          <t>Совпадений по улице+дому не найдено</t>
        </is>
      </c>
      <c r="U22" t="n">
        <v>46</v>
      </c>
      <c r="V22" t="n">
        <v>2</v>
      </c>
      <c r="W22" t="n">
        <v>22</v>
      </c>
      <c r="X22" t="n">
        <v>6000000</v>
      </c>
      <c r="Y22" t="inlineStr"/>
      <c r="Z22" t="inlineStr"/>
      <c r="AA22" t="inlineStr">
        <is>
          <t>https://knru.ru/catalog/bolshaya-raznochinnaya-ul-4/</t>
        </is>
      </c>
      <c r="AB22" t="inlineStr">
        <is>
          <t>A</t>
        </is>
      </c>
    </row>
    <row r="23">
      <c r="A23" t="n">
        <v>48</v>
      </c>
      <c r="B23" t="n">
        <v>2</v>
      </c>
      <c r="C23" t="n">
        <v>24</v>
      </c>
      <c r="D23" t="inlineStr"/>
      <c r="E23" t="inlineStr">
        <is>
          <t>Адмиралтейский</t>
        </is>
      </c>
      <c r="F23" t="inlineStr">
        <is>
          <t>Александра Блока ул, 5</t>
        </is>
      </c>
      <c r="G23" t="n">
        <v>106.8</v>
      </c>
      <c r="H23" t="inlineStr">
        <is>
          <t>46 992 000</t>
        </is>
      </c>
      <c r="I23" t="inlineStr"/>
      <c r="J23" t="inlineStr"/>
      <c r="K23" t="inlineStr"/>
      <c r="L23" t="inlineStr"/>
      <c r="M23" t="inlineStr"/>
      <c r="N23" t="inlineStr">
        <is>
          <t>no</t>
        </is>
      </c>
      <c r="O23" t="inlineStr">
        <is>
          <t>none</t>
        </is>
      </c>
      <c r="P23">
        <f>HYPERLINK("https://knru.ru/catalog/ostrov-pervykh/","ссылка")</f>
        <v/>
      </c>
      <c r="Q23" t="inlineStr"/>
      <c r="R23" t="inlineStr">
        <is>
          <t>Нет у нас</t>
        </is>
      </c>
      <c r="S23" t="n">
        <v>0</v>
      </c>
      <c r="T23" t="inlineStr">
        <is>
          <t>Совпадений по улице+дому не найдено</t>
        </is>
      </c>
      <c r="U23" t="n">
        <v>48</v>
      </c>
      <c r="V23" t="n">
        <v>2</v>
      </c>
      <c r="W23" t="n">
        <v>24</v>
      </c>
      <c r="X23" t="n">
        <v>46992000</v>
      </c>
      <c r="Y23" t="inlineStr"/>
      <c r="Z23" t="inlineStr"/>
      <c r="AA23" t="inlineStr">
        <is>
          <t>https://knru.ru/catalog/ostrov-pervykh/</t>
        </is>
      </c>
      <c r="AB23" t="inlineStr">
        <is>
          <t>A</t>
        </is>
      </c>
    </row>
    <row r="24">
      <c r="A24" t="n">
        <v>50</v>
      </c>
      <c r="B24" t="n">
        <v>3</v>
      </c>
      <c r="C24" t="n">
        <v>2</v>
      </c>
      <c r="D24" t="n">
        <v>2075826791</v>
      </c>
      <c r="E24" t="inlineStr">
        <is>
          <t>Красногвардейский</t>
        </is>
      </c>
      <c r="F24" t="inlineStr">
        <is>
          <t>Ириновский пр-кт, 38</t>
        </is>
      </c>
      <c r="G24" t="n">
        <v>79</v>
      </c>
      <c r="H24" t="inlineStr">
        <is>
          <t>27 646 500</t>
        </is>
      </c>
      <c r="I24" t="inlineStr"/>
      <c r="J24" t="inlineStr"/>
      <c r="K24" t="inlineStr"/>
      <c r="L24" t="inlineStr"/>
      <c r="M24" t="inlineStr"/>
      <c r="N24" t="inlineStr">
        <is>
          <t>no</t>
        </is>
      </c>
      <c r="O24" t="inlineStr">
        <is>
          <t>none</t>
        </is>
      </c>
      <c r="P24">
        <f>HYPERLINK("https://knru.ru/catalog/irinovskiy-pr-d-38-2075826791/","ссылка")</f>
        <v/>
      </c>
      <c r="Q24" t="inlineStr"/>
      <c r="R24" t="inlineStr">
        <is>
          <t>Нет у нас</t>
        </is>
      </c>
      <c r="S24" t="n">
        <v>0</v>
      </c>
      <c r="T24" t="inlineStr">
        <is>
          <t>Совпадений по улице+дому не найдено</t>
        </is>
      </c>
      <c r="U24" t="n">
        <v>50</v>
      </c>
      <c r="V24" t="n">
        <v>3</v>
      </c>
      <c r="W24" t="n">
        <v>2</v>
      </c>
      <c r="X24" t="n">
        <v>27646500</v>
      </c>
      <c r="Y24" t="inlineStr"/>
      <c r="Z24" t="inlineStr"/>
      <c r="AA24" t="inlineStr">
        <is>
          <t>https://knru.ru/catalog/irinovskiy-pr-d-38-2075826791/</t>
        </is>
      </c>
      <c r="AB24" t="inlineStr">
        <is>
          <t>A</t>
        </is>
      </c>
    </row>
    <row r="25">
      <c r="A25" t="n">
        <v>52</v>
      </c>
      <c r="B25" t="n">
        <v>3</v>
      </c>
      <c r="C25" t="n">
        <v>4</v>
      </c>
      <c r="D25" t="n">
        <v>627284695</v>
      </c>
      <c r="E25" t="inlineStr">
        <is>
          <t>Фрунзенский</t>
        </is>
      </c>
      <c r="F25" t="inlineStr">
        <is>
          <t>Бухарестская ул, 39к1</t>
        </is>
      </c>
      <c r="G25" t="n">
        <v>28.1</v>
      </c>
      <c r="H25" t="inlineStr">
        <is>
          <t>17 000 000</t>
        </is>
      </c>
      <c r="I25" t="inlineStr"/>
      <c r="J25" t="inlineStr"/>
      <c r="K25" t="inlineStr"/>
      <c r="L25" t="inlineStr"/>
      <c r="M25" t="inlineStr"/>
      <c r="N25" t="inlineStr">
        <is>
          <t>no</t>
        </is>
      </c>
      <c r="O25" t="inlineStr">
        <is>
          <t>none</t>
        </is>
      </c>
      <c r="P25">
        <f>HYPERLINK("https://knru.ru/catalog/bukharestskaya-ul-39k1-627284695/","ссылка")</f>
        <v/>
      </c>
      <c r="Q25" t="inlineStr"/>
      <c r="R25" t="inlineStr">
        <is>
          <t>Нет у нас</t>
        </is>
      </c>
      <c r="S25" t="n">
        <v>0</v>
      </c>
      <c r="T25" t="inlineStr">
        <is>
          <t>Совпадений по улице+дому не найдено</t>
        </is>
      </c>
      <c r="U25" t="n">
        <v>52</v>
      </c>
      <c r="V25" t="n">
        <v>3</v>
      </c>
      <c r="W25" t="n">
        <v>4</v>
      </c>
      <c r="X25" t="n">
        <v>17000000</v>
      </c>
      <c r="Y25" t="inlineStr"/>
      <c r="Z25" t="inlineStr"/>
      <c r="AA25" t="inlineStr">
        <is>
          <t>https://knru.ru/catalog/bukharestskaya-ul-39k1-627284695/</t>
        </is>
      </c>
      <c r="AB25" t="inlineStr">
        <is>
          <t>A</t>
        </is>
      </c>
    </row>
    <row r="26">
      <c r="A26" t="n">
        <v>53</v>
      </c>
      <c r="B26" t="n">
        <v>3</v>
      </c>
      <c r="C26" t="n">
        <v>5</v>
      </c>
      <c r="D26" t="inlineStr"/>
      <c r="E26" t="inlineStr">
        <is>
          <t>Петроградский</t>
        </is>
      </c>
      <c r="F26" t="inlineStr">
        <is>
          <t>Реки Малой Невки наб, 33а</t>
        </is>
      </c>
      <c r="G26" t="n">
        <v>1465.5</v>
      </c>
      <c r="H26" t="inlineStr">
        <is>
          <t>600 000 000</t>
        </is>
      </c>
      <c r="I26" t="inlineStr"/>
      <c r="J26" t="inlineStr"/>
      <c r="K26" t="inlineStr"/>
      <c r="L26" t="inlineStr"/>
      <c r="M26" t="inlineStr"/>
      <c r="N26" t="inlineStr">
        <is>
          <t>no</t>
        </is>
      </c>
      <c r="O26" t="inlineStr">
        <is>
          <t>none</t>
        </is>
      </c>
      <c r="P26">
        <f>HYPERLINK("https://knru.ru/catalog/reki-maloy-nevki-nab-33a/","ссылка")</f>
        <v/>
      </c>
      <c r="Q26" t="inlineStr"/>
      <c r="R26" t="inlineStr">
        <is>
          <t>Нет у нас</t>
        </is>
      </c>
      <c r="S26" t="n">
        <v>0</v>
      </c>
      <c r="T26" t="inlineStr">
        <is>
          <t>Совпадений по улице+дому не найдено</t>
        </is>
      </c>
      <c r="U26" t="n">
        <v>53</v>
      </c>
      <c r="V26" t="n">
        <v>3</v>
      </c>
      <c r="W26" t="n">
        <v>5</v>
      </c>
      <c r="X26" t="n">
        <v>600000000</v>
      </c>
      <c r="Y26" t="inlineStr"/>
      <c r="Z26" t="inlineStr"/>
      <c r="AA26" t="inlineStr">
        <is>
          <t>https://knru.ru/catalog/reki-maloy-nevki-nab-33a/</t>
        </is>
      </c>
      <c r="AB26" t="inlineStr">
        <is>
          <t>A</t>
        </is>
      </c>
    </row>
    <row r="27">
      <c r="A27" t="n">
        <v>54</v>
      </c>
      <c r="B27" t="n">
        <v>3</v>
      </c>
      <c r="C27" t="n">
        <v>6</v>
      </c>
      <c r="D27" t="inlineStr"/>
      <c r="E27" t="inlineStr">
        <is>
          <t>Адмиралтейский</t>
        </is>
      </c>
      <c r="F27" t="inlineStr">
        <is>
          <t>Серпуховская ул, 37 Б</t>
        </is>
      </c>
      <c r="G27" t="n">
        <v>1322.6</v>
      </c>
      <c r="H27" t="inlineStr">
        <is>
          <t>240 000 000</t>
        </is>
      </c>
      <c r="I27" t="inlineStr"/>
      <c r="J27" t="inlineStr"/>
      <c r="K27" t="inlineStr"/>
      <c r="L27" t="inlineStr"/>
      <c r="M27" t="inlineStr"/>
      <c r="N27" t="inlineStr">
        <is>
          <t>no</t>
        </is>
      </c>
      <c r="O27" t="inlineStr">
        <is>
          <t>none</t>
        </is>
      </c>
      <c r="P27">
        <f>HYPERLINK("https://knru.ru/catalog/serpukhovskaya-ul-37-b/","ссылка")</f>
        <v/>
      </c>
      <c r="Q27" t="inlineStr"/>
      <c r="R27" t="inlineStr">
        <is>
          <t>Нет у нас</t>
        </is>
      </c>
      <c r="S27" t="n">
        <v>0</v>
      </c>
      <c r="T27" t="inlineStr">
        <is>
          <t>Совпадений по улице+дому не найдено</t>
        </is>
      </c>
      <c r="U27" t="n">
        <v>54</v>
      </c>
      <c r="V27" t="n">
        <v>3</v>
      </c>
      <c r="W27" t="n">
        <v>6</v>
      </c>
      <c r="X27" t="n">
        <v>240000000</v>
      </c>
      <c r="Y27" t="inlineStr"/>
      <c r="Z27" t="inlineStr"/>
      <c r="AA27" t="inlineStr">
        <is>
          <t>https://knru.ru/catalog/serpukhovskaya-ul-37-b/</t>
        </is>
      </c>
      <c r="AB27" t="inlineStr">
        <is>
          <t>A</t>
        </is>
      </c>
    </row>
    <row r="28">
      <c r="A28" t="n">
        <v>55</v>
      </c>
      <c r="B28" t="n">
        <v>3</v>
      </c>
      <c r="C28" t="n">
        <v>7</v>
      </c>
      <c r="D28" t="inlineStr"/>
      <c r="E28" t="inlineStr">
        <is>
          <t>Адмиралтейский</t>
        </is>
      </c>
      <c r="F28" t="inlineStr">
        <is>
          <t>Реки Пряжки наб, 7а</t>
        </is>
      </c>
      <c r="G28" t="n">
        <v>94.5</v>
      </c>
      <c r="H28" t="inlineStr">
        <is>
          <t>76 000 000</t>
        </is>
      </c>
      <c r="I28" t="inlineStr"/>
      <c r="J28" t="inlineStr"/>
      <c r="K28" t="inlineStr"/>
      <c r="L28" t="inlineStr"/>
      <c r="M28" t="inlineStr"/>
      <c r="N28" t="inlineStr">
        <is>
          <t>no</t>
        </is>
      </c>
      <c r="O28" t="inlineStr">
        <is>
          <t>none</t>
        </is>
      </c>
      <c r="P28">
        <f>HYPERLINK("https://knru.ru/catalog/reki-pryazhki-nab-7a/","ссылка")</f>
        <v/>
      </c>
      <c r="Q28" t="inlineStr"/>
      <c r="R28" t="inlineStr">
        <is>
          <t>Нет у нас</t>
        </is>
      </c>
      <c r="S28" t="n">
        <v>0</v>
      </c>
      <c r="T28" t="inlineStr">
        <is>
          <t>Совпадений по улице+дому не найдено</t>
        </is>
      </c>
      <c r="U28" t="n">
        <v>55</v>
      </c>
      <c r="V28" t="n">
        <v>3</v>
      </c>
      <c r="W28" t="n">
        <v>7</v>
      </c>
      <c r="X28" t="n">
        <v>76000000</v>
      </c>
      <c r="Y28" t="inlineStr"/>
      <c r="Z28" t="inlineStr"/>
      <c r="AA28" t="inlineStr">
        <is>
          <t>https://knru.ru/catalog/reki-pryazhki-nab-7a/</t>
        </is>
      </c>
      <c r="AB28" t="inlineStr">
        <is>
          <t>A</t>
        </is>
      </c>
    </row>
    <row r="29">
      <c r="A29" t="n">
        <v>58</v>
      </c>
      <c r="B29" t="n">
        <v>3</v>
      </c>
      <c r="C29" t="n">
        <v>10</v>
      </c>
      <c r="D29" t="n">
        <v>62</v>
      </c>
      <c r="E29" t="inlineStr">
        <is>
          <t>Кировский</t>
        </is>
      </c>
      <c r="F29" t="inlineStr">
        <is>
          <t>Стачек пр-кт, 62</t>
        </is>
      </c>
      <c r="G29" t="n">
        <v>45.1</v>
      </c>
      <c r="H29" t="inlineStr">
        <is>
          <t>10 598 500</t>
        </is>
      </c>
      <c r="I29" t="inlineStr"/>
      <c r="J29" t="inlineStr"/>
      <c r="K29" t="inlineStr"/>
      <c r="L29" t="inlineStr"/>
      <c r="M29" t="inlineStr"/>
      <c r="N29" t="inlineStr">
        <is>
          <t>no</t>
        </is>
      </c>
      <c r="O29" t="inlineStr">
        <is>
          <t>none</t>
        </is>
      </c>
      <c r="P29">
        <f>HYPERLINK("https://knru.ru/catalog/stachek-pr-kt-62/","ссылка")</f>
        <v/>
      </c>
      <c r="Q29" t="inlineStr"/>
      <c r="R29" t="inlineStr">
        <is>
          <t>Нет у нас</t>
        </is>
      </c>
      <c r="S29" t="n">
        <v>0</v>
      </c>
      <c r="T29" t="inlineStr">
        <is>
          <t>Совпадений по улице+дому не найдено</t>
        </is>
      </c>
      <c r="U29" t="n">
        <v>58</v>
      </c>
      <c r="V29" t="n">
        <v>3</v>
      </c>
      <c r="W29" t="n">
        <v>10</v>
      </c>
      <c r="X29" t="n">
        <v>10598500</v>
      </c>
      <c r="Y29" t="inlineStr"/>
      <c r="Z29" t="inlineStr"/>
      <c r="AA29" t="inlineStr">
        <is>
          <t>https://knru.ru/catalog/stachek-pr-kt-62/</t>
        </is>
      </c>
      <c r="AB29" t="inlineStr">
        <is>
          <t>A</t>
        </is>
      </c>
    </row>
    <row r="30">
      <c r="A30" t="n">
        <v>68</v>
      </c>
      <c r="B30" t="n">
        <v>3</v>
      </c>
      <c r="C30" t="n">
        <v>20</v>
      </c>
      <c r="D30" t="n">
        <v>83</v>
      </c>
      <c r="E30" t="inlineStr">
        <is>
          <t>Калининский</t>
        </is>
      </c>
      <c r="F30" t="inlineStr">
        <is>
          <t>Полюстровский пр-кт, 83 И</t>
        </is>
      </c>
      <c r="G30" t="n">
        <v>6902</v>
      </c>
      <c r="H30" t="inlineStr">
        <is>
          <t>300 000 000</t>
        </is>
      </c>
      <c r="I30" t="inlineStr"/>
      <c r="J30" t="inlineStr"/>
      <c r="K30" t="inlineStr"/>
      <c r="L30" t="inlineStr"/>
      <c r="M30" t="inlineStr"/>
      <c r="N30" t="inlineStr">
        <is>
          <t>no</t>
        </is>
      </c>
      <c r="O30" t="inlineStr">
        <is>
          <t>none</t>
        </is>
      </c>
      <c r="P30">
        <f>HYPERLINK("https://knru.ru/catalog/polyustrovskiy-pr-kt-d-83/","ссылка")</f>
        <v/>
      </c>
      <c r="Q30" t="inlineStr"/>
      <c r="R30" t="inlineStr">
        <is>
          <t>Нет у нас</t>
        </is>
      </c>
      <c r="S30" t="n">
        <v>0</v>
      </c>
      <c r="T30" t="inlineStr">
        <is>
          <t>Совпадений по улице+дому не найдено</t>
        </is>
      </c>
      <c r="U30" t="n">
        <v>68</v>
      </c>
      <c r="V30" t="n">
        <v>3</v>
      </c>
      <c r="W30" t="n">
        <v>20</v>
      </c>
      <c r="X30" t="n">
        <v>300000000</v>
      </c>
      <c r="Y30" t="inlineStr"/>
      <c r="Z30" t="inlineStr"/>
      <c r="AA30" t="inlineStr">
        <is>
          <t>https://knru.ru/catalog/polyustrovskiy-pr-kt-d-83/</t>
        </is>
      </c>
      <c r="AB30" t="inlineStr">
        <is>
          <t>A</t>
        </is>
      </c>
    </row>
    <row r="31">
      <c r="A31" t="n">
        <v>69</v>
      </c>
      <c r="B31" t="n">
        <v>3</v>
      </c>
      <c r="C31" t="n">
        <v>21</v>
      </c>
      <c r="D31" t="n">
        <v>102148619</v>
      </c>
      <c r="E31" t="inlineStr"/>
      <c r="F31" t="inlineStr">
        <is>
          <t>Мурманское шоссе 12-й км, 2А</t>
        </is>
      </c>
      <c r="G31" t="n">
        <v>2880</v>
      </c>
      <c r="H31" t="inlineStr">
        <is>
          <t>285 120 000</t>
        </is>
      </c>
      <c r="I31" t="inlineStr"/>
      <c r="J31" t="inlineStr"/>
      <c r="K31" t="inlineStr"/>
      <c r="L31" t="inlineStr"/>
      <c r="M31" t="inlineStr"/>
      <c r="N31" t="inlineStr">
        <is>
          <t>no</t>
        </is>
      </c>
      <c r="O31" t="inlineStr">
        <is>
          <t>none</t>
        </is>
      </c>
      <c r="P31">
        <f>HYPERLINK("https://knru.ru/catalog/murmanskoe-shosse-12-y-km-2a-102148619/","ссылка")</f>
        <v/>
      </c>
      <c r="Q31" t="inlineStr"/>
      <c r="R31" t="inlineStr">
        <is>
          <t>Нет у нас</t>
        </is>
      </c>
      <c r="S31" t="n">
        <v>0</v>
      </c>
      <c r="T31" t="inlineStr">
        <is>
          <t>Совпадений по улице+дому не найдено</t>
        </is>
      </c>
      <c r="U31" t="n">
        <v>69</v>
      </c>
      <c r="V31" t="n">
        <v>3</v>
      </c>
      <c r="W31" t="n">
        <v>21</v>
      </c>
      <c r="X31" t="n">
        <v>285120000</v>
      </c>
      <c r="Y31" t="inlineStr"/>
      <c r="Z31" t="inlineStr"/>
      <c r="AA31" t="inlineStr">
        <is>
          <t>https://knru.ru/catalog/murmanskoe-shosse-12-y-km-2a-102148619/</t>
        </is>
      </c>
      <c r="AB31" t="inlineStr">
        <is>
          <t>A</t>
        </is>
      </c>
    </row>
    <row r="32">
      <c r="A32" t="n">
        <v>70</v>
      </c>
      <c r="B32" t="n">
        <v>3</v>
      </c>
      <c r="C32" t="n">
        <v>22</v>
      </c>
      <c r="D32" t="n">
        <v>770059651</v>
      </c>
      <c r="E32" t="inlineStr"/>
      <c r="F32" t="inlineStr">
        <is>
          <t>Мурманское шоссе 12-й км, 2А</t>
        </is>
      </c>
      <c r="G32" t="n">
        <v>1440</v>
      </c>
      <c r="H32" t="inlineStr">
        <is>
          <t>142 560 000</t>
        </is>
      </c>
      <c r="I32" t="inlineStr"/>
      <c r="J32" t="inlineStr"/>
      <c r="K32" t="inlineStr"/>
      <c r="L32" t="inlineStr"/>
      <c r="M32" t="inlineStr"/>
      <c r="N32" t="inlineStr">
        <is>
          <t>no</t>
        </is>
      </c>
      <c r="O32" t="inlineStr">
        <is>
          <t>none</t>
        </is>
      </c>
      <c r="P32">
        <f>HYPERLINK("https://knru.ru/catalog/murmanskoe-shosse-12-y-km-2a-770059651/","ссылка")</f>
        <v/>
      </c>
      <c r="Q32" t="inlineStr"/>
      <c r="R32" t="inlineStr">
        <is>
          <t>Нет у нас</t>
        </is>
      </c>
      <c r="S32" t="n">
        <v>0</v>
      </c>
      <c r="T32" t="inlineStr">
        <is>
          <t>Совпадений по улице+дому не найдено</t>
        </is>
      </c>
      <c r="U32" t="n">
        <v>70</v>
      </c>
      <c r="V32" t="n">
        <v>3</v>
      </c>
      <c r="W32" t="n">
        <v>22</v>
      </c>
      <c r="X32" t="n">
        <v>142560000</v>
      </c>
      <c r="Y32" t="inlineStr"/>
      <c r="Z32" t="inlineStr"/>
      <c r="AA32" t="inlineStr">
        <is>
          <t>https://knru.ru/catalog/murmanskoe-shosse-12-y-km-2a-770059651/</t>
        </is>
      </c>
      <c r="AB32" t="inlineStr">
        <is>
          <t>A</t>
        </is>
      </c>
    </row>
    <row r="33">
      <c r="A33" t="n">
        <v>71</v>
      </c>
      <c r="B33" t="n">
        <v>3</v>
      </c>
      <c r="C33" t="n">
        <v>23</v>
      </c>
      <c r="D33" t="n">
        <v>30</v>
      </c>
      <c r="E33" t="inlineStr"/>
      <c r="F33" t="inlineStr">
        <is>
          <t>Швецова ул, 30</t>
        </is>
      </c>
      <c r="G33" t="n">
        <v>893</v>
      </c>
      <c r="H33" t="inlineStr">
        <is>
          <t>77 000 000</t>
        </is>
      </c>
      <c r="I33" t="inlineStr"/>
      <c r="J33" t="inlineStr"/>
      <c r="K33" t="inlineStr"/>
      <c r="L33" t="inlineStr"/>
      <c r="M33" t="inlineStr"/>
      <c r="N33" t="inlineStr">
        <is>
          <t>no</t>
        </is>
      </c>
      <c r="O33" t="inlineStr">
        <is>
          <t>none</t>
        </is>
      </c>
      <c r="P33">
        <f>HYPERLINK("https://knru.ru/catalog/shvetsova-ul-30/","ссылка")</f>
        <v/>
      </c>
      <c r="Q33" t="inlineStr"/>
      <c r="R33" t="inlineStr">
        <is>
          <t>Нет у нас</t>
        </is>
      </c>
      <c r="S33" t="n">
        <v>0</v>
      </c>
      <c r="T33" t="inlineStr">
        <is>
          <t>Совпадений по улице+дому не найдено</t>
        </is>
      </c>
      <c r="U33" t="n">
        <v>71</v>
      </c>
      <c r="V33" t="n">
        <v>3</v>
      </c>
      <c r="W33" t="n">
        <v>23</v>
      </c>
      <c r="X33" t="n">
        <v>77000000</v>
      </c>
      <c r="Y33" t="inlineStr"/>
      <c r="Z33" t="inlineStr"/>
      <c r="AA33" t="inlineStr">
        <is>
          <t>https://knru.ru/catalog/shvetsova-ul-30/</t>
        </is>
      </c>
      <c r="AB33" t="inlineStr">
        <is>
          <t>A</t>
        </is>
      </c>
    </row>
    <row r="34">
      <c r="A34" t="n">
        <v>72</v>
      </c>
      <c r="B34" t="n">
        <v>3</v>
      </c>
      <c r="C34" t="n">
        <v>24</v>
      </c>
      <c r="D34" t="inlineStr"/>
      <c r="E34" t="inlineStr">
        <is>
          <t>Красногвардейский</t>
        </is>
      </c>
      <c r="F34" t="inlineStr">
        <is>
          <t>Республиканская ул, 8А</t>
        </is>
      </c>
      <c r="G34" t="n">
        <v>728.4</v>
      </c>
      <c r="H34" t="inlineStr">
        <is>
          <t>158 000 000</t>
        </is>
      </c>
      <c r="I34" t="inlineStr"/>
      <c r="J34" t="inlineStr"/>
      <c r="K34" t="inlineStr"/>
      <c r="L34" t="inlineStr"/>
      <c r="M34" t="inlineStr"/>
      <c r="N34" t="inlineStr">
        <is>
          <t>no</t>
        </is>
      </c>
      <c r="O34" t="inlineStr">
        <is>
          <t>none</t>
        </is>
      </c>
      <c r="P34">
        <f>HYPERLINK("https://knru.ru/catalog/respublikanskaya-ul-8a/","ссылка")</f>
        <v/>
      </c>
      <c r="Q34" t="inlineStr"/>
      <c r="R34" t="inlineStr">
        <is>
          <t>Нет у нас</t>
        </is>
      </c>
      <c r="S34" t="n">
        <v>0</v>
      </c>
      <c r="T34" t="inlineStr">
        <is>
          <t>Совпадений по улице+дому не найдено</t>
        </is>
      </c>
      <c r="U34" t="n">
        <v>72</v>
      </c>
      <c r="V34" t="n">
        <v>3</v>
      </c>
      <c r="W34" t="n">
        <v>24</v>
      </c>
      <c r="X34" t="n">
        <v>158000000</v>
      </c>
      <c r="Y34" t="inlineStr"/>
      <c r="Z34" t="inlineStr"/>
      <c r="AA34" t="inlineStr">
        <is>
          <t>https://knru.ru/catalog/respublikanskaya-ul-8a/</t>
        </is>
      </c>
      <c r="AB34" t="inlineStr">
        <is>
          <t>A</t>
        </is>
      </c>
    </row>
    <row r="35">
      <c r="A35" t="n">
        <v>75</v>
      </c>
      <c r="B35" t="n">
        <v>4</v>
      </c>
      <c r="C35" t="n">
        <v>3</v>
      </c>
      <c r="D35" t="n">
        <v>17</v>
      </c>
      <c r="E35" t="inlineStr">
        <is>
          <t>Всеволожский</t>
        </is>
      </c>
      <c r="F35" t="inlineStr">
        <is>
          <t>Воронцовский б-р, 17</t>
        </is>
      </c>
      <c r="G35" t="n">
        <v>149</v>
      </c>
      <c r="H35" t="inlineStr">
        <is>
          <t>62 000 000</t>
        </is>
      </c>
      <c r="I35" t="inlineStr"/>
      <c r="J35" t="inlineStr"/>
      <c r="K35" t="inlineStr"/>
      <c r="L35" t="inlineStr"/>
      <c r="M35" t="inlineStr"/>
      <c r="N35" t="inlineStr">
        <is>
          <t>no</t>
        </is>
      </c>
      <c r="O35" t="inlineStr">
        <is>
          <t>none</t>
        </is>
      </c>
      <c r="P35">
        <f>HYPERLINK("https://knru.ru/catalog/vorontsovskiy-b-r-17/","ссылка")</f>
        <v/>
      </c>
      <c r="Q35" t="inlineStr"/>
      <c r="R35" t="inlineStr">
        <is>
          <t>Нет у нас</t>
        </is>
      </c>
      <c r="S35" t="n">
        <v>0</v>
      </c>
      <c r="T35" t="inlineStr">
        <is>
          <t>Совпадений по улице+дому не найдено</t>
        </is>
      </c>
      <c r="U35" t="n">
        <v>75</v>
      </c>
      <c r="V35" t="n">
        <v>4</v>
      </c>
      <c r="W35" t="n">
        <v>3</v>
      </c>
      <c r="X35" t="n">
        <v>62000000</v>
      </c>
      <c r="Y35" t="inlineStr"/>
      <c r="Z35" t="inlineStr"/>
      <c r="AA35" t="inlineStr">
        <is>
          <t>https://knru.ru/catalog/vorontsovskiy-b-r-17/</t>
        </is>
      </c>
      <c r="AB35" t="inlineStr">
        <is>
          <t>A</t>
        </is>
      </c>
    </row>
    <row r="36">
      <c r="A36" t="n">
        <v>77</v>
      </c>
      <c r="B36" t="n">
        <v>4</v>
      </c>
      <c r="C36" t="n">
        <v>5</v>
      </c>
      <c r="D36" t="n">
        <v>1415112271</v>
      </c>
      <c r="E36" t="inlineStr">
        <is>
          <t>Красногвардейский</t>
        </is>
      </c>
      <c r="F36" t="inlineStr">
        <is>
          <t>Гранитная ул, 42 А</t>
        </is>
      </c>
      <c r="G36" t="n">
        <v>1339.7</v>
      </c>
      <c r="H36" t="inlineStr">
        <is>
          <t>385 819 200</t>
        </is>
      </c>
      <c r="I36" t="inlineStr"/>
      <c r="J36" t="inlineStr"/>
      <c r="K36" t="inlineStr"/>
      <c r="L36" t="inlineStr"/>
      <c r="M36" t="inlineStr"/>
      <c r="N36" t="inlineStr">
        <is>
          <t>no</t>
        </is>
      </c>
      <c r="O36" t="inlineStr">
        <is>
          <t>none</t>
        </is>
      </c>
      <c r="P36">
        <f>HYPERLINK("https://knru.ru/catalog/ul-granitnaya-1415112271/","ссылка")</f>
        <v/>
      </c>
      <c r="Q36" t="inlineStr"/>
      <c r="R36" t="inlineStr">
        <is>
          <t>Нет у нас</t>
        </is>
      </c>
      <c r="S36" t="n">
        <v>0</v>
      </c>
      <c r="T36" t="inlineStr">
        <is>
          <t>Совпадений по улице+дому не найдено</t>
        </is>
      </c>
      <c r="U36" t="n">
        <v>77</v>
      </c>
      <c r="V36" t="n">
        <v>4</v>
      </c>
      <c r="W36" t="n">
        <v>5</v>
      </c>
      <c r="X36" t="n">
        <v>385819200</v>
      </c>
      <c r="Y36" t="inlineStr"/>
      <c r="Z36" t="inlineStr"/>
      <c r="AA36" t="inlineStr">
        <is>
          <t>https://knru.ru/catalog/ul-granitnaya-1415112271/</t>
        </is>
      </c>
      <c r="AB36" t="inlineStr">
        <is>
          <t>A</t>
        </is>
      </c>
    </row>
    <row r="37">
      <c r="A37" t="n">
        <v>78</v>
      </c>
      <c r="B37" t="n">
        <v>4</v>
      </c>
      <c r="C37" t="n">
        <v>6</v>
      </c>
      <c r="D37" t="n">
        <v>1764319219</v>
      </c>
      <c r="E37" t="inlineStr">
        <is>
          <t>Петроградский</t>
        </is>
      </c>
      <c r="F37" t="inlineStr">
        <is>
          <t>Добролюбова пр-кт, 18а А</t>
        </is>
      </c>
      <c r="G37" t="n">
        <v>414</v>
      </c>
      <c r="H37" t="inlineStr">
        <is>
          <t>148 212 000</t>
        </is>
      </c>
      <c r="I37" t="inlineStr"/>
      <c r="J37" t="inlineStr"/>
      <c r="K37" t="inlineStr"/>
      <c r="L37" t="inlineStr"/>
      <c r="M37" t="inlineStr"/>
      <c r="N37" t="inlineStr">
        <is>
          <t>no</t>
        </is>
      </c>
      <c r="O37" t="inlineStr">
        <is>
          <t>none</t>
        </is>
      </c>
      <c r="P37">
        <f>HYPERLINK("https://knru.ru/catalog/ul-dobrolyubova-d-18a-1764319219/","ссылка")</f>
        <v/>
      </c>
      <c r="Q37" t="inlineStr"/>
      <c r="R37" t="inlineStr">
        <is>
          <t>Нет у нас</t>
        </is>
      </c>
      <c r="S37" t="n">
        <v>0</v>
      </c>
      <c r="T37" t="inlineStr">
        <is>
          <t>Совпадений по улице+дому не найдено</t>
        </is>
      </c>
      <c r="U37" t="n">
        <v>78</v>
      </c>
      <c r="V37" t="n">
        <v>4</v>
      </c>
      <c r="W37" t="n">
        <v>6</v>
      </c>
      <c r="X37" t="n">
        <v>148212000</v>
      </c>
      <c r="Y37" t="inlineStr"/>
      <c r="Z37" t="inlineStr"/>
      <c r="AA37" t="inlineStr">
        <is>
          <t>https://knru.ru/catalog/ul-dobrolyubova-d-18a-1764319219/</t>
        </is>
      </c>
      <c r="AB37" t="inlineStr">
        <is>
          <t>A</t>
        </is>
      </c>
    </row>
    <row r="38">
      <c r="A38" t="n">
        <v>79</v>
      </c>
      <c r="B38" t="n">
        <v>4</v>
      </c>
      <c r="C38" t="n">
        <v>7</v>
      </c>
      <c r="D38" t="n">
        <v>523729843</v>
      </c>
      <c r="E38" t="inlineStr">
        <is>
          <t>Петроградский</t>
        </is>
      </c>
      <c r="F38" t="inlineStr">
        <is>
          <t>Добролюбова пр-кт, 18а А</t>
        </is>
      </c>
      <c r="G38" t="n">
        <v>414</v>
      </c>
      <c r="H38" t="inlineStr">
        <is>
          <t>148 212 000</t>
        </is>
      </c>
      <c r="I38" t="inlineStr"/>
      <c r="J38" t="inlineStr"/>
      <c r="K38" t="inlineStr"/>
      <c r="L38" t="inlineStr"/>
      <c r="M38" t="inlineStr"/>
      <c r="N38" t="inlineStr">
        <is>
          <t>no</t>
        </is>
      </c>
      <c r="O38" t="inlineStr">
        <is>
          <t>none</t>
        </is>
      </c>
      <c r="P38">
        <f>HYPERLINK("https://knru.ru/catalog/ul-dobrolyubova-d-18a-523729843/","ссылка")</f>
        <v/>
      </c>
      <c r="Q38" t="inlineStr"/>
      <c r="R38" t="inlineStr">
        <is>
          <t>Нет у нас</t>
        </is>
      </c>
      <c r="S38" t="n">
        <v>0</v>
      </c>
      <c r="T38" t="inlineStr">
        <is>
          <t>Совпадений по улице+дому не найдено</t>
        </is>
      </c>
      <c r="U38" t="n">
        <v>79</v>
      </c>
      <c r="V38" t="n">
        <v>4</v>
      </c>
      <c r="W38" t="n">
        <v>7</v>
      </c>
      <c r="X38" t="n">
        <v>148212000</v>
      </c>
      <c r="Y38" t="inlineStr"/>
      <c r="Z38" t="inlineStr"/>
      <c r="AA38" t="inlineStr">
        <is>
          <t>https://knru.ru/catalog/ul-dobrolyubova-d-18a-523729843/</t>
        </is>
      </c>
      <c r="AB38" t="inlineStr">
        <is>
          <t>A</t>
        </is>
      </c>
    </row>
    <row r="39">
      <c r="A39" t="n">
        <v>80</v>
      </c>
      <c r="B39" t="n">
        <v>4</v>
      </c>
      <c r="C39" t="n">
        <v>8</v>
      </c>
      <c r="D39" t="n">
        <v>1256883616</v>
      </c>
      <c r="E39" t="inlineStr">
        <is>
          <t>Приморский</t>
        </is>
      </c>
      <c r="F39" t="inlineStr">
        <is>
          <t>Ланское ш, 65литераА</t>
        </is>
      </c>
      <c r="G39" t="n">
        <v>49</v>
      </c>
      <c r="H39" t="inlineStr">
        <is>
          <t>26 000 000</t>
        </is>
      </c>
      <c r="I39" t="inlineStr"/>
      <c r="J39" t="inlineStr"/>
      <c r="K39" t="inlineStr"/>
      <c r="L39" t="inlineStr"/>
      <c r="M39" t="inlineStr"/>
      <c r="N39" t="inlineStr">
        <is>
          <t>no</t>
        </is>
      </c>
      <c r="O39" t="inlineStr">
        <is>
          <t>none</t>
        </is>
      </c>
      <c r="P39">
        <f>HYPERLINK("https://knru.ru/catalog/lanskoe-sh-65literaa-1256883616/","ссылка")</f>
        <v/>
      </c>
      <c r="Q39" t="inlineStr"/>
      <c r="R39" t="inlineStr">
        <is>
          <t>Нет у нас</t>
        </is>
      </c>
      <c r="S39" t="n">
        <v>0</v>
      </c>
      <c r="T39" t="inlineStr">
        <is>
          <t>Совпадений по улице+дому не найдено</t>
        </is>
      </c>
      <c r="U39" t="n">
        <v>80</v>
      </c>
      <c r="V39" t="n">
        <v>4</v>
      </c>
      <c r="W39" t="n">
        <v>8</v>
      </c>
      <c r="X39" t="n">
        <v>26000000</v>
      </c>
      <c r="Y39" t="inlineStr"/>
      <c r="Z39" t="inlineStr"/>
      <c r="AA39" t="inlineStr">
        <is>
          <t>https://knru.ru/catalog/lanskoe-sh-65literaa-1256883616/</t>
        </is>
      </c>
      <c r="AB39" t="inlineStr">
        <is>
          <t>A</t>
        </is>
      </c>
    </row>
    <row r="40">
      <c r="A40" t="n">
        <v>81</v>
      </c>
      <c r="B40" t="n">
        <v>4</v>
      </c>
      <c r="C40" t="n">
        <v>9</v>
      </c>
      <c r="D40" t="n">
        <v>365118082</v>
      </c>
      <c r="E40" t="inlineStr">
        <is>
          <t>Приморский</t>
        </is>
      </c>
      <c r="F40" t="inlineStr">
        <is>
          <t>Ланское ш, 65литераА</t>
        </is>
      </c>
      <c r="G40" t="n">
        <v>137</v>
      </c>
      <c r="H40" t="inlineStr">
        <is>
          <t>43 000 000</t>
        </is>
      </c>
      <c r="I40" t="inlineStr"/>
      <c r="J40" t="inlineStr"/>
      <c r="K40" t="inlineStr"/>
      <c r="L40" t="inlineStr"/>
      <c r="M40" t="inlineStr"/>
      <c r="N40" t="inlineStr">
        <is>
          <t>no</t>
        </is>
      </c>
      <c r="O40" t="inlineStr">
        <is>
          <t>none</t>
        </is>
      </c>
      <c r="P40">
        <f>HYPERLINK("https://knru.ru/catalog/lanskoe-sh-65literaa-365118082/","ссылка")</f>
        <v/>
      </c>
      <c r="Q40" t="inlineStr"/>
      <c r="R40" t="inlineStr">
        <is>
          <t>Нет у нас</t>
        </is>
      </c>
      <c r="S40" t="n">
        <v>0</v>
      </c>
      <c r="T40" t="inlineStr">
        <is>
          <t>Совпадений по улице+дому не найдено</t>
        </is>
      </c>
      <c r="U40" t="n">
        <v>81</v>
      </c>
      <c r="V40" t="n">
        <v>4</v>
      </c>
      <c r="W40" t="n">
        <v>9</v>
      </c>
      <c r="X40" t="n">
        <v>43000000</v>
      </c>
      <c r="Y40" t="inlineStr"/>
      <c r="Z40" t="inlineStr"/>
      <c r="AA40" t="inlineStr">
        <is>
          <t>https://knru.ru/catalog/lanskoe-sh-65literaa-365118082/</t>
        </is>
      </c>
      <c r="AB40" t="inlineStr">
        <is>
          <t>A</t>
        </is>
      </c>
    </row>
    <row r="41">
      <c r="A41" t="n">
        <v>82</v>
      </c>
      <c r="B41" t="n">
        <v>4</v>
      </c>
      <c r="C41" t="n">
        <v>10</v>
      </c>
      <c r="D41" t="inlineStr"/>
      <c r="E41" t="inlineStr">
        <is>
          <t>Приморский</t>
        </is>
      </c>
      <c r="F41" t="inlineStr">
        <is>
          <t>Ланское ш, 65литераА</t>
        </is>
      </c>
      <c r="G41" t="n">
        <v>190</v>
      </c>
      <c r="H41" t="inlineStr">
        <is>
          <t>49 000 000</t>
        </is>
      </c>
      <c r="I41" t="inlineStr"/>
      <c r="J41" t="inlineStr"/>
      <c r="K41" t="inlineStr"/>
      <c r="L41" t="inlineStr"/>
      <c r="M41" t="inlineStr"/>
      <c r="N41" t="inlineStr">
        <is>
          <t>no</t>
        </is>
      </c>
      <c r="O41" t="inlineStr">
        <is>
          <t>none</t>
        </is>
      </c>
      <c r="P41">
        <f>HYPERLINK("https://knru.ru/catalog/lanskoe-sh-65literaa/","ссылка")</f>
        <v/>
      </c>
      <c r="Q41" t="inlineStr"/>
      <c r="R41" t="inlineStr">
        <is>
          <t>Нет у нас</t>
        </is>
      </c>
      <c r="S41" t="n">
        <v>0</v>
      </c>
      <c r="T41" t="inlineStr">
        <is>
          <t>Совпадений по улице+дому не найдено</t>
        </is>
      </c>
      <c r="U41" t="n">
        <v>82</v>
      </c>
      <c r="V41" t="n">
        <v>4</v>
      </c>
      <c r="W41" t="n">
        <v>10</v>
      </c>
      <c r="X41" t="n">
        <v>49000000</v>
      </c>
      <c r="Y41" t="inlineStr"/>
      <c r="Z41" t="inlineStr"/>
      <c r="AA41" t="inlineStr">
        <is>
          <t>https://knru.ru/catalog/lanskoe-sh-65literaa/</t>
        </is>
      </c>
      <c r="AB41" t="inlineStr">
        <is>
          <t>A</t>
        </is>
      </c>
    </row>
    <row r="42">
      <c r="A42" t="n">
        <v>83</v>
      </c>
      <c r="B42" t="n">
        <v>4</v>
      </c>
      <c r="C42" t="n">
        <v>11</v>
      </c>
      <c r="D42" t="n">
        <v>1000425339</v>
      </c>
      <c r="E42" t="inlineStr"/>
      <c r="F42" t="inlineStr">
        <is>
          <t>Новоселье п.</t>
        </is>
      </c>
      <c r="G42" t="n">
        <v>99.8</v>
      </c>
      <c r="H42" t="inlineStr">
        <is>
          <t>24 960 000</t>
        </is>
      </c>
      <c r="I42" t="inlineStr"/>
      <c r="J42" t="inlineStr"/>
      <c r="K42" t="inlineStr"/>
      <c r="L42" t="inlineStr"/>
      <c r="M42" t="inlineStr"/>
      <c r="N42" t="inlineStr">
        <is>
          <t>no</t>
        </is>
      </c>
      <c r="O42" t="inlineStr">
        <is>
          <t>none</t>
        </is>
      </c>
      <c r="P42">
        <f>HYPERLINK("https://knru.ru/catalog/novosele-p-1000425339/","ссылка")</f>
        <v/>
      </c>
      <c r="Q42" t="inlineStr"/>
      <c r="R42" t="inlineStr">
        <is>
          <t>Нет у нас</t>
        </is>
      </c>
      <c r="S42" t="n">
        <v>0</v>
      </c>
      <c r="T42" t="inlineStr">
        <is>
          <t>Совпадений по улице+дому не найдено</t>
        </is>
      </c>
      <c r="U42" t="n">
        <v>83</v>
      </c>
      <c r="V42" t="n">
        <v>4</v>
      </c>
      <c r="W42" t="n">
        <v>11</v>
      </c>
      <c r="X42" t="n">
        <v>24960000</v>
      </c>
      <c r="Y42" t="inlineStr"/>
      <c r="Z42" t="inlineStr"/>
      <c r="AA42" t="inlineStr">
        <is>
          <t>https://knru.ru/catalog/novosele-p-1000425339/</t>
        </is>
      </c>
      <c r="AB42" t="inlineStr">
        <is>
          <t>A</t>
        </is>
      </c>
    </row>
    <row r="43">
      <c r="A43" t="n">
        <v>84</v>
      </c>
      <c r="B43" t="n">
        <v>4</v>
      </c>
      <c r="C43" t="n">
        <v>12</v>
      </c>
      <c r="D43" t="n">
        <v>58418339</v>
      </c>
      <c r="E43" t="inlineStr"/>
      <c r="F43" t="inlineStr">
        <is>
          <t>Новоселье п.</t>
        </is>
      </c>
      <c r="G43" t="n">
        <v>94.8</v>
      </c>
      <c r="H43" t="inlineStr">
        <is>
          <t>23 692 500</t>
        </is>
      </c>
      <c r="I43" t="inlineStr"/>
      <c r="J43" t="inlineStr"/>
      <c r="K43" t="inlineStr"/>
      <c r="L43" t="inlineStr"/>
      <c r="M43" t="inlineStr"/>
      <c r="N43" t="inlineStr">
        <is>
          <t>no</t>
        </is>
      </c>
      <c r="O43" t="inlineStr">
        <is>
          <t>none</t>
        </is>
      </c>
      <c r="P43">
        <f>HYPERLINK("https://knru.ru/catalog/novosele-p-58418339/","ссылка")</f>
        <v/>
      </c>
      <c r="Q43" t="inlineStr"/>
      <c r="R43" t="inlineStr">
        <is>
          <t>Нет у нас</t>
        </is>
      </c>
      <c r="S43" t="n">
        <v>0</v>
      </c>
      <c r="T43" t="inlineStr">
        <is>
          <t>Совпадений по улице+дому не найдено</t>
        </is>
      </c>
      <c r="U43" t="n">
        <v>84</v>
      </c>
      <c r="V43" t="n">
        <v>4</v>
      </c>
      <c r="W43" t="n">
        <v>12</v>
      </c>
      <c r="X43" t="n">
        <v>23692500</v>
      </c>
      <c r="Y43" t="inlineStr"/>
      <c r="Z43" t="inlineStr"/>
      <c r="AA43" t="inlineStr">
        <is>
          <t>https://knru.ru/catalog/novosele-p-58418339/</t>
        </is>
      </c>
      <c r="AB43" t="inlineStr">
        <is>
          <t>A</t>
        </is>
      </c>
    </row>
    <row r="44">
      <c r="A44" t="n">
        <v>85</v>
      </c>
      <c r="B44" t="n">
        <v>4</v>
      </c>
      <c r="C44" t="n">
        <v>13</v>
      </c>
      <c r="D44" t="n">
        <v>999756178</v>
      </c>
      <c r="E44" t="inlineStr"/>
      <c r="F44" t="inlineStr">
        <is>
          <t>Янино-1 уч-к</t>
        </is>
      </c>
      <c r="G44" t="n">
        <v>88.3</v>
      </c>
      <c r="H44" t="inlineStr">
        <is>
          <t>15 830 397</t>
        </is>
      </c>
      <c r="I44" t="inlineStr"/>
      <c r="J44" t="inlineStr"/>
      <c r="K44" t="inlineStr"/>
      <c r="L44" t="inlineStr"/>
      <c r="M44" t="inlineStr"/>
      <c r="N44" t="inlineStr">
        <is>
          <t>no</t>
        </is>
      </c>
      <c r="O44" t="inlineStr">
        <is>
          <t>none</t>
        </is>
      </c>
      <c r="P44">
        <f>HYPERLINK("https://knru.ru/catalog/yanino-1-uch-k-999756178/","ссылка")</f>
        <v/>
      </c>
      <c r="Q44" t="inlineStr"/>
      <c r="R44" t="inlineStr">
        <is>
          <t>Нет у нас</t>
        </is>
      </c>
      <c r="S44" t="n">
        <v>0</v>
      </c>
      <c r="T44" t="inlineStr">
        <is>
          <t>Совпадений по улице+дому не найдено</t>
        </is>
      </c>
      <c r="U44" t="n">
        <v>85</v>
      </c>
      <c r="V44" t="n">
        <v>4</v>
      </c>
      <c r="W44" t="n">
        <v>13</v>
      </c>
      <c r="X44" t="n">
        <v>15830397</v>
      </c>
      <c r="Y44" t="inlineStr"/>
      <c r="Z44" t="inlineStr"/>
      <c r="AA44" t="inlineStr">
        <is>
          <t>https://knru.ru/catalog/yanino-1-uch-k-999756178/</t>
        </is>
      </c>
      <c r="AB44" t="inlineStr">
        <is>
          <t>A</t>
        </is>
      </c>
    </row>
    <row r="45">
      <c r="A45" t="n">
        <v>86</v>
      </c>
      <c r="B45" t="n">
        <v>4</v>
      </c>
      <c r="C45" t="n">
        <v>14</v>
      </c>
      <c r="D45" t="inlineStr"/>
      <c r="E45" t="inlineStr"/>
      <c r="F45" t="inlineStr">
        <is>
          <t>Янино-1 уч-к</t>
        </is>
      </c>
      <c r="G45" t="n">
        <v>64.09999999999999</v>
      </c>
      <c r="H45" t="inlineStr">
        <is>
          <t>12 629 166</t>
        </is>
      </c>
      <c r="I45" t="inlineStr"/>
      <c r="J45" t="inlineStr"/>
      <c r="K45" t="inlineStr"/>
      <c r="L45" t="inlineStr"/>
      <c r="M45" t="inlineStr"/>
      <c r="N45" t="inlineStr">
        <is>
          <t>no</t>
        </is>
      </c>
      <c r="O45" t="inlineStr">
        <is>
          <t>none</t>
        </is>
      </c>
      <c r="P45">
        <f>HYPERLINK("https://knru.ru/catalog/yanino-1-uch-k/","ссылка")</f>
        <v/>
      </c>
      <c r="Q45" t="inlineStr"/>
      <c r="R45" t="inlineStr">
        <is>
          <t>Нет у нас</t>
        </is>
      </c>
      <c r="S45" t="n">
        <v>0</v>
      </c>
      <c r="T45" t="inlineStr">
        <is>
          <t>Совпадений по улице+дому не найдено</t>
        </is>
      </c>
      <c r="U45" t="n">
        <v>86</v>
      </c>
      <c r="V45" t="n">
        <v>4</v>
      </c>
      <c r="W45" t="n">
        <v>14</v>
      </c>
      <c r="X45" t="n">
        <v>12629166</v>
      </c>
      <c r="Y45" t="inlineStr"/>
      <c r="Z45" t="inlineStr"/>
      <c r="AA45" t="inlineStr">
        <is>
          <t>https://knru.ru/catalog/yanino-1-uch-k/</t>
        </is>
      </c>
      <c r="AB45" t="inlineStr">
        <is>
          <t>A</t>
        </is>
      </c>
    </row>
    <row r="46">
      <c r="A46" t="n">
        <v>87</v>
      </c>
      <c r="B46" t="n">
        <v>4</v>
      </c>
      <c r="C46" t="n">
        <v>15</v>
      </c>
      <c r="D46" t="n">
        <v>2069245488</v>
      </c>
      <c r="E46" t="inlineStr"/>
      <c r="F46" t="inlineStr">
        <is>
          <t>Новоселье п.</t>
        </is>
      </c>
      <c r="G46" t="n">
        <v>72.90000000000001</v>
      </c>
      <c r="H46" t="inlineStr">
        <is>
          <t>14 582 000</t>
        </is>
      </c>
      <c r="I46" t="inlineStr"/>
      <c r="J46" t="inlineStr"/>
      <c r="K46" t="inlineStr"/>
      <c r="L46" t="inlineStr"/>
      <c r="M46" t="inlineStr"/>
      <c r="N46" t="inlineStr">
        <is>
          <t>no</t>
        </is>
      </c>
      <c r="O46" t="inlineStr">
        <is>
          <t>none</t>
        </is>
      </c>
      <c r="P46">
        <f>HYPERLINK("https://knru.ru/catalog/novosele-p-2069245488/","ссылка")</f>
        <v/>
      </c>
      <c r="Q46" t="inlineStr"/>
      <c r="R46" t="inlineStr">
        <is>
          <t>Нет у нас</t>
        </is>
      </c>
      <c r="S46" t="n">
        <v>0</v>
      </c>
      <c r="T46" t="inlineStr">
        <is>
          <t>Совпадений по улице+дому не найдено</t>
        </is>
      </c>
      <c r="U46" t="n">
        <v>87</v>
      </c>
      <c r="V46" t="n">
        <v>4</v>
      </c>
      <c r="W46" t="n">
        <v>15</v>
      </c>
      <c r="X46" t="n">
        <v>14582000</v>
      </c>
      <c r="Y46" t="inlineStr"/>
      <c r="Z46" t="inlineStr"/>
      <c r="AA46" t="inlineStr">
        <is>
          <t>https://knru.ru/catalog/novosele-p-2069245488/</t>
        </is>
      </c>
      <c r="AB46" t="inlineStr">
        <is>
          <t>A</t>
        </is>
      </c>
    </row>
    <row r="47">
      <c r="A47" t="n">
        <v>88</v>
      </c>
      <c r="B47" t="n">
        <v>4</v>
      </c>
      <c r="C47" t="n">
        <v>16</v>
      </c>
      <c r="D47" t="inlineStr"/>
      <c r="E47" t="inlineStr"/>
      <c r="F47" t="inlineStr">
        <is>
          <t>Новоселье п.</t>
        </is>
      </c>
      <c r="G47" t="n">
        <v>67.09999999999999</v>
      </c>
      <c r="H47" t="inlineStr">
        <is>
          <t>13 412 000</t>
        </is>
      </c>
      <c r="I47" t="inlineStr"/>
      <c r="J47" t="inlineStr"/>
      <c r="K47" t="inlineStr"/>
      <c r="L47" t="inlineStr"/>
      <c r="M47" t="inlineStr"/>
      <c r="N47" t="inlineStr">
        <is>
          <t>no</t>
        </is>
      </c>
      <c r="O47" t="inlineStr">
        <is>
          <t>none</t>
        </is>
      </c>
      <c r="P47">
        <f>HYPERLINK("https://knru.ru/catalog/novosele-p/","ссылка")</f>
        <v/>
      </c>
      <c r="Q47" t="inlineStr"/>
      <c r="R47" t="inlineStr">
        <is>
          <t>Нет у нас</t>
        </is>
      </c>
      <c r="S47" t="n">
        <v>0</v>
      </c>
      <c r="T47" t="inlineStr">
        <is>
          <t>Совпадений по улице+дому не найдено</t>
        </is>
      </c>
      <c r="U47" t="n">
        <v>88</v>
      </c>
      <c r="V47" t="n">
        <v>4</v>
      </c>
      <c r="W47" t="n">
        <v>16</v>
      </c>
      <c r="X47" t="n">
        <v>13412000</v>
      </c>
      <c r="Y47" t="inlineStr"/>
      <c r="Z47" t="inlineStr"/>
      <c r="AA47" t="inlineStr">
        <is>
          <t>https://knru.ru/catalog/novosele-p/</t>
        </is>
      </c>
      <c r="AB47" t="inlineStr">
        <is>
          <t>A</t>
        </is>
      </c>
    </row>
    <row r="48">
      <c r="A48" t="n">
        <v>89</v>
      </c>
      <c r="B48" t="n">
        <v>4</v>
      </c>
      <c r="C48" t="n">
        <v>17</v>
      </c>
      <c r="D48" t="n">
        <v>2</v>
      </c>
      <c r="E48" t="inlineStr">
        <is>
          <t>Лаголово</t>
        </is>
      </c>
      <c r="F48" t="inlineStr">
        <is>
          <t>Лаголово дер., 2</t>
        </is>
      </c>
      <c r="G48" t="n">
        <v>18.9</v>
      </c>
      <c r="H48" t="inlineStr">
        <is>
          <t>8 492 148</t>
        </is>
      </c>
      <c r="I48" t="inlineStr"/>
      <c r="J48" t="inlineStr"/>
      <c r="K48" t="inlineStr"/>
      <c r="L48" t="inlineStr"/>
      <c r="M48" t="inlineStr"/>
      <c r="N48" t="inlineStr">
        <is>
          <t>yes</t>
        </is>
      </c>
      <c r="O48" t="inlineStr">
        <is>
          <t>pixel_heuristic</t>
        </is>
      </c>
      <c r="P48">
        <f>HYPERLINK("https://knru.ru/catalog/lagolovo-der-2/","ссылка")</f>
        <v/>
      </c>
      <c r="Q48" t="inlineStr"/>
      <c r="R48" t="inlineStr">
        <is>
          <t>Нет у нас</t>
        </is>
      </c>
      <c r="S48" t="n">
        <v>0</v>
      </c>
      <c r="T48" t="inlineStr">
        <is>
          <t>Совпадений по улице+дому не найдено</t>
        </is>
      </c>
      <c r="U48" t="n">
        <v>89</v>
      </c>
      <c r="V48" t="n">
        <v>4</v>
      </c>
      <c r="W48" t="n">
        <v>17</v>
      </c>
      <c r="X48" t="n">
        <v>8492148</v>
      </c>
      <c r="Y48" t="inlineStr"/>
      <c r="Z48" t="inlineStr"/>
      <c r="AA48" t="inlineStr">
        <is>
          <t>https://knru.ru/catalog/lagolovo-der-2/</t>
        </is>
      </c>
      <c r="AB48" t="inlineStr">
        <is>
          <t>A+</t>
        </is>
      </c>
    </row>
    <row r="49">
      <c r="A49" t="n">
        <v>90</v>
      </c>
      <c r="B49" t="n">
        <v>4</v>
      </c>
      <c r="C49" t="n">
        <v>18</v>
      </c>
      <c r="D49" t="n">
        <v>1942649527</v>
      </c>
      <c r="E49" t="inlineStr"/>
      <c r="F49" t="inlineStr">
        <is>
          <t>Лаголово дер.</t>
        </is>
      </c>
      <c r="G49" t="n">
        <v>85.09999999999999</v>
      </c>
      <c r="H49" t="inlineStr">
        <is>
          <t>14 516 358</t>
        </is>
      </c>
      <c r="I49" t="inlineStr"/>
      <c r="J49" t="inlineStr"/>
      <c r="K49" t="inlineStr"/>
      <c r="L49" t="inlineStr"/>
      <c r="M49" t="inlineStr"/>
      <c r="N49" t="inlineStr">
        <is>
          <t>yes</t>
        </is>
      </c>
      <c r="O49" t="inlineStr">
        <is>
          <t>pixel_heuristic</t>
        </is>
      </c>
      <c r="P49">
        <f>HYPERLINK("https://knru.ru/catalog/lagolovo-der-1942649527/","ссылка")</f>
        <v/>
      </c>
      <c r="Q49" t="inlineStr"/>
      <c r="R49" t="inlineStr">
        <is>
          <t>Нет у нас</t>
        </is>
      </c>
      <c r="S49" t="n">
        <v>0</v>
      </c>
      <c r="T49" t="inlineStr">
        <is>
          <t>Совпадений по улице+дому не найдено</t>
        </is>
      </c>
      <c r="U49" t="n">
        <v>90</v>
      </c>
      <c r="V49" t="n">
        <v>4</v>
      </c>
      <c r="W49" t="n">
        <v>18</v>
      </c>
      <c r="X49" t="n">
        <v>14516358</v>
      </c>
      <c r="Y49" t="inlineStr"/>
      <c r="Z49" t="inlineStr"/>
      <c r="AA49" t="inlineStr">
        <is>
          <t>https://knru.ru/catalog/lagolovo-der-1942649527/</t>
        </is>
      </c>
      <c r="AB49" t="inlineStr">
        <is>
          <t>A+</t>
        </is>
      </c>
    </row>
    <row r="50">
      <c r="A50" t="n">
        <v>91</v>
      </c>
      <c r="B50" t="n">
        <v>4</v>
      </c>
      <c r="C50" t="n">
        <v>19</v>
      </c>
      <c r="D50" t="n">
        <v>294204414</v>
      </c>
      <c r="E50" t="inlineStr"/>
      <c r="F50" t="inlineStr">
        <is>
          <t>Лаголово дер.</t>
        </is>
      </c>
      <c r="G50" t="n">
        <v>43.2</v>
      </c>
      <c r="H50" t="inlineStr">
        <is>
          <t>9 035 280</t>
        </is>
      </c>
      <c r="I50" t="inlineStr"/>
      <c r="J50" t="inlineStr"/>
      <c r="K50" t="inlineStr"/>
      <c r="L50" t="inlineStr"/>
      <c r="M50" t="inlineStr"/>
      <c r="N50" t="inlineStr">
        <is>
          <t>yes</t>
        </is>
      </c>
      <c r="O50" t="inlineStr">
        <is>
          <t>pixel_heuristic</t>
        </is>
      </c>
      <c r="P50">
        <f>HYPERLINK("https://knru.ru/catalog/lagolovo-der-294204414/","ссылка")</f>
        <v/>
      </c>
      <c r="Q50" t="inlineStr"/>
      <c r="R50" t="inlineStr">
        <is>
          <t>Нет у нас</t>
        </is>
      </c>
      <c r="S50" t="n">
        <v>0</v>
      </c>
      <c r="T50" t="inlineStr">
        <is>
          <t>Совпадений по улице+дому не найдено</t>
        </is>
      </c>
      <c r="U50" t="n">
        <v>91</v>
      </c>
      <c r="V50" t="n">
        <v>4</v>
      </c>
      <c r="W50" t="n">
        <v>19</v>
      </c>
      <c r="X50" t="n">
        <v>9035280</v>
      </c>
      <c r="Y50" t="inlineStr"/>
      <c r="Z50" t="inlineStr"/>
      <c r="AA50" t="inlineStr">
        <is>
          <t>https://knru.ru/catalog/lagolovo-der-294204414/</t>
        </is>
      </c>
      <c r="AB50" t="inlineStr">
        <is>
          <t>A+</t>
        </is>
      </c>
    </row>
    <row r="51">
      <c r="A51" t="n">
        <v>92</v>
      </c>
      <c r="B51" t="n">
        <v>4</v>
      </c>
      <c r="C51" t="n">
        <v>20</v>
      </c>
      <c r="D51" t="n">
        <v>446154511</v>
      </c>
      <c r="E51" t="inlineStr"/>
      <c r="F51" t="inlineStr">
        <is>
          <t>Лаголово дер.</t>
        </is>
      </c>
      <c r="G51" t="n">
        <v>57.8</v>
      </c>
      <c r="H51" t="inlineStr">
        <is>
          <t>12 088 870</t>
        </is>
      </c>
      <c r="I51" t="inlineStr"/>
      <c r="J51" t="inlineStr"/>
      <c r="K51" t="inlineStr"/>
      <c r="L51" t="inlineStr"/>
      <c r="M51" t="inlineStr"/>
      <c r="N51" t="inlineStr">
        <is>
          <t>yes</t>
        </is>
      </c>
      <c r="O51" t="inlineStr">
        <is>
          <t>pixel_heuristic</t>
        </is>
      </c>
      <c r="P51">
        <f>HYPERLINK("https://knru.ru/catalog/lagolovo-der-446154511/","ссылка")</f>
        <v/>
      </c>
      <c r="Q51" t="inlineStr"/>
      <c r="R51" t="inlineStr">
        <is>
          <t>Нет у нас</t>
        </is>
      </c>
      <c r="S51" t="n">
        <v>0</v>
      </c>
      <c r="T51" t="inlineStr">
        <is>
          <t>Совпадений по улице+дому не найдено</t>
        </is>
      </c>
      <c r="U51" t="n">
        <v>92</v>
      </c>
      <c r="V51" t="n">
        <v>4</v>
      </c>
      <c r="W51" t="n">
        <v>20</v>
      </c>
      <c r="X51" t="n">
        <v>12088870</v>
      </c>
      <c r="Y51" t="inlineStr"/>
      <c r="Z51" t="inlineStr"/>
      <c r="AA51" t="inlineStr">
        <is>
          <t>https://knru.ru/catalog/lagolovo-der-446154511/</t>
        </is>
      </c>
      <c r="AB51" t="inlineStr">
        <is>
          <t>A+</t>
        </is>
      </c>
    </row>
    <row r="52">
      <c r="A52" t="n">
        <v>93</v>
      </c>
      <c r="B52" t="n">
        <v>4</v>
      </c>
      <c r="C52" t="n">
        <v>21</v>
      </c>
      <c r="D52" t="n">
        <v>1593116526</v>
      </c>
      <c r="E52" t="inlineStr"/>
      <c r="F52" t="inlineStr">
        <is>
          <t>Мурино г.</t>
        </is>
      </c>
      <c r="G52" t="n">
        <v>54.7</v>
      </c>
      <c r="H52" t="inlineStr">
        <is>
          <t>14 799 228</t>
        </is>
      </c>
      <c r="I52" t="inlineStr"/>
      <c r="J52" t="inlineStr"/>
      <c r="K52" t="inlineStr"/>
      <c r="L52" t="inlineStr"/>
      <c r="M52" t="inlineStr"/>
      <c r="N52" t="inlineStr">
        <is>
          <t>yes</t>
        </is>
      </c>
      <c r="O52" t="inlineStr">
        <is>
          <t>pixel_heuristic</t>
        </is>
      </c>
      <c r="P52">
        <f>HYPERLINK("https://knru.ru/catalog/murino-g-1593116526/","ссылка")</f>
        <v/>
      </c>
      <c r="Q52" t="inlineStr"/>
      <c r="R52" t="inlineStr">
        <is>
          <t>Нет у нас</t>
        </is>
      </c>
      <c r="S52" t="n">
        <v>0</v>
      </c>
      <c r="T52" t="inlineStr">
        <is>
          <t>Совпадений по улице+дому не найдено</t>
        </is>
      </c>
      <c r="U52" t="n">
        <v>93</v>
      </c>
      <c r="V52" t="n">
        <v>4</v>
      </c>
      <c r="W52" t="n">
        <v>21</v>
      </c>
      <c r="X52" t="n">
        <v>14799228</v>
      </c>
      <c r="Y52" t="inlineStr"/>
      <c r="Z52" t="inlineStr"/>
      <c r="AA52" t="inlineStr">
        <is>
          <t>https://knru.ru/catalog/murino-g-1593116526/</t>
        </is>
      </c>
      <c r="AB52" t="inlineStr">
        <is>
          <t>A+</t>
        </is>
      </c>
    </row>
    <row r="53">
      <c r="A53" t="n">
        <v>94</v>
      </c>
      <c r="B53" t="n">
        <v>4</v>
      </c>
      <c r="C53" t="n">
        <v>22</v>
      </c>
      <c r="D53" t="n">
        <v>1177869988</v>
      </c>
      <c r="E53" t="inlineStr"/>
      <c r="F53" t="inlineStr">
        <is>
          <t>Мурино г.</t>
        </is>
      </c>
      <c r="G53" t="n">
        <v>73.8</v>
      </c>
      <c r="H53" t="inlineStr">
        <is>
          <t>18 334 666</t>
        </is>
      </c>
      <c r="I53" t="inlineStr"/>
      <c r="J53" t="inlineStr"/>
      <c r="K53" t="inlineStr"/>
      <c r="L53" t="inlineStr"/>
      <c r="M53" t="inlineStr"/>
      <c r="N53" t="inlineStr">
        <is>
          <t>yes</t>
        </is>
      </c>
      <c r="O53" t="inlineStr">
        <is>
          <t>pixel_heuristic</t>
        </is>
      </c>
      <c r="P53">
        <f>HYPERLINK("https://knru.ru/catalog/murino-g-1177869988/","ссылка")</f>
        <v/>
      </c>
      <c r="Q53" t="inlineStr"/>
      <c r="R53" t="inlineStr">
        <is>
          <t>Нет у нас</t>
        </is>
      </c>
      <c r="S53" t="n">
        <v>0</v>
      </c>
      <c r="T53" t="inlineStr">
        <is>
          <t>Совпадений по улице+дому не найдено</t>
        </is>
      </c>
      <c r="U53" t="n">
        <v>94</v>
      </c>
      <c r="V53" t="n">
        <v>4</v>
      </c>
      <c r="W53" t="n">
        <v>22</v>
      </c>
      <c r="X53" t="n">
        <v>18334666</v>
      </c>
      <c r="Y53" t="inlineStr"/>
      <c r="Z53" t="inlineStr"/>
      <c r="AA53" t="inlineStr">
        <is>
          <t>https://knru.ru/catalog/murino-g-1177869988/</t>
        </is>
      </c>
      <c r="AB53" t="inlineStr">
        <is>
          <t>A+</t>
        </is>
      </c>
    </row>
    <row r="54">
      <c r="A54" t="n">
        <v>95</v>
      </c>
      <c r="B54" t="n">
        <v>4</v>
      </c>
      <c r="C54" t="n">
        <v>23</v>
      </c>
      <c r="D54" t="n">
        <v>937451214</v>
      </c>
      <c r="E54" t="inlineStr"/>
      <c r="F54" t="inlineStr">
        <is>
          <t>Скотное дер.</t>
        </is>
      </c>
      <c r="G54" t="n">
        <v>88.8</v>
      </c>
      <c r="H54" t="inlineStr">
        <is>
          <t>13 326 000</t>
        </is>
      </c>
      <c r="I54" t="inlineStr"/>
      <c r="J54" t="inlineStr"/>
      <c r="K54" t="inlineStr"/>
      <c r="L54" t="inlineStr"/>
      <c r="M54" t="inlineStr"/>
      <c r="N54" t="inlineStr">
        <is>
          <t>yes</t>
        </is>
      </c>
      <c r="O54" t="inlineStr">
        <is>
          <t>pixel_heuristic</t>
        </is>
      </c>
      <c r="P54">
        <f>HYPERLINK("https://knru.ru/catalog/skotnoe-der-937451214/","ссылка")</f>
        <v/>
      </c>
      <c r="Q54" t="inlineStr"/>
      <c r="R54" t="inlineStr">
        <is>
          <t>Нет у нас</t>
        </is>
      </c>
      <c r="S54" t="n">
        <v>0</v>
      </c>
      <c r="T54" t="inlineStr">
        <is>
          <t>Совпадений по улице+дому не найдено</t>
        </is>
      </c>
      <c r="U54" t="n">
        <v>95</v>
      </c>
      <c r="V54" t="n">
        <v>4</v>
      </c>
      <c r="W54" t="n">
        <v>23</v>
      </c>
      <c r="X54" t="n">
        <v>13326000</v>
      </c>
      <c r="Y54" t="inlineStr"/>
      <c r="Z54" t="inlineStr"/>
      <c r="AA54" t="inlineStr">
        <is>
          <t>https://knru.ru/catalog/skotnoe-der-937451214/</t>
        </is>
      </c>
      <c r="AB54" t="inlineStr">
        <is>
          <t>A+</t>
        </is>
      </c>
    </row>
    <row r="55">
      <c r="A55" t="n">
        <v>96</v>
      </c>
      <c r="B55" t="n">
        <v>4</v>
      </c>
      <c r="C55" t="n">
        <v>24</v>
      </c>
      <c r="D55" t="n">
        <v>228419543</v>
      </c>
      <c r="E55" t="inlineStr"/>
      <c r="F55" t="inlineStr">
        <is>
          <t>Скотное дер.</t>
        </is>
      </c>
      <c r="G55" t="n">
        <v>50.9</v>
      </c>
      <c r="H55" t="inlineStr">
        <is>
          <t>7 627 500</t>
        </is>
      </c>
      <c r="I55" t="inlineStr"/>
      <c r="J55" t="inlineStr"/>
      <c r="K55" t="inlineStr"/>
      <c r="L55" t="inlineStr"/>
      <c r="M55" t="inlineStr"/>
      <c r="N55" t="inlineStr">
        <is>
          <t>yes</t>
        </is>
      </c>
      <c r="O55" t="inlineStr">
        <is>
          <t>pixel_heuristic</t>
        </is>
      </c>
      <c r="P55">
        <f>HYPERLINK("https://knru.ru/catalog/skotnoe-der-228419543/","ссылка")</f>
        <v/>
      </c>
      <c r="Q55" t="inlineStr"/>
      <c r="R55" t="inlineStr">
        <is>
          <t>Нет у нас</t>
        </is>
      </c>
      <c r="S55" t="n">
        <v>0</v>
      </c>
      <c r="T55" t="inlineStr">
        <is>
          <t>Совпадений по улице+дому не найдено</t>
        </is>
      </c>
      <c r="U55" t="n">
        <v>96</v>
      </c>
      <c r="V55" t="n">
        <v>4</v>
      </c>
      <c r="W55" t="n">
        <v>24</v>
      </c>
      <c r="X55" t="n">
        <v>7627500</v>
      </c>
      <c r="Y55" t="inlineStr"/>
      <c r="Z55" t="inlineStr"/>
      <c r="AA55" t="inlineStr">
        <is>
          <t>https://knru.ru/catalog/skotnoe-der-228419543/</t>
        </is>
      </c>
      <c r="AB55" t="inlineStr">
        <is>
          <t>A+</t>
        </is>
      </c>
    </row>
    <row r="56">
      <c r="A56" t="n">
        <v>97</v>
      </c>
      <c r="B56" t="n">
        <v>5</v>
      </c>
      <c r="C56" t="n">
        <v>1</v>
      </c>
      <c r="D56" t="n">
        <v>1645303019</v>
      </c>
      <c r="E56" t="inlineStr"/>
      <c r="F56" t="inlineStr">
        <is>
          <t>Скотное дер.</t>
        </is>
      </c>
      <c r="G56" t="n">
        <v>64.2</v>
      </c>
      <c r="H56" t="inlineStr">
        <is>
          <t>9 625 500</t>
        </is>
      </c>
      <c r="I56" t="inlineStr"/>
      <c r="J56" t="inlineStr"/>
      <c r="K56" t="inlineStr"/>
      <c r="L56" t="inlineStr"/>
      <c r="M56" t="inlineStr"/>
      <c r="N56" t="inlineStr">
        <is>
          <t>yes</t>
        </is>
      </c>
      <c r="O56" t="inlineStr">
        <is>
          <t>pixel_heuristic</t>
        </is>
      </c>
      <c r="P56">
        <f>HYPERLINK("https://knru.ru/catalog/skotnoe-der-1645303019/","ссылка")</f>
        <v/>
      </c>
      <c r="Q56" t="inlineStr"/>
      <c r="R56" t="inlineStr">
        <is>
          <t>Нет у нас</t>
        </is>
      </c>
      <c r="S56" t="n">
        <v>0</v>
      </c>
      <c r="T56" t="inlineStr">
        <is>
          <t>Совпадений по улице+дому не найдено</t>
        </is>
      </c>
      <c r="U56" t="n">
        <v>97</v>
      </c>
      <c r="V56" t="n">
        <v>5</v>
      </c>
      <c r="W56" t="n">
        <v>1</v>
      </c>
      <c r="X56" t="n">
        <v>9625500</v>
      </c>
      <c r="Y56" t="inlineStr"/>
      <c r="Z56" t="inlineStr"/>
      <c r="AA56" t="inlineStr">
        <is>
          <t>https://knru.ru/catalog/skotnoe-der-1645303019/</t>
        </is>
      </c>
      <c r="AB56" t="inlineStr">
        <is>
          <t>A+</t>
        </is>
      </c>
    </row>
    <row r="57">
      <c r="A57" t="n">
        <v>98</v>
      </c>
      <c r="B57" t="n">
        <v>5</v>
      </c>
      <c r="C57" t="n">
        <v>2</v>
      </c>
      <c r="D57" t="n">
        <v>689151577</v>
      </c>
      <c r="E57" t="inlineStr"/>
      <c r="F57" t="inlineStr">
        <is>
          <t>Скотное дер.</t>
        </is>
      </c>
      <c r="G57" t="n">
        <v>43.7</v>
      </c>
      <c r="H57" t="inlineStr">
        <is>
          <t>7 040 530</t>
        </is>
      </c>
      <c r="I57" t="inlineStr"/>
      <c r="J57" t="inlineStr"/>
      <c r="K57" t="inlineStr"/>
      <c r="L57" t="inlineStr"/>
      <c r="M57" t="inlineStr"/>
      <c r="N57" t="inlineStr">
        <is>
          <t>yes</t>
        </is>
      </c>
      <c r="O57" t="inlineStr">
        <is>
          <t>pixel_heuristic</t>
        </is>
      </c>
      <c r="P57">
        <f>HYPERLINK("https://knru.ru/catalog/skotnoe-der-689151577/","ссылка")</f>
        <v/>
      </c>
      <c r="Q57" t="inlineStr"/>
      <c r="R57" t="inlineStr">
        <is>
          <t>Нет у нас</t>
        </is>
      </c>
      <c r="S57" t="n">
        <v>0</v>
      </c>
      <c r="T57" t="inlineStr">
        <is>
          <t>Совпадений по улице+дому не найдено</t>
        </is>
      </c>
      <c r="U57" t="n">
        <v>98</v>
      </c>
      <c r="V57" t="n">
        <v>5</v>
      </c>
      <c r="W57" t="n">
        <v>2</v>
      </c>
      <c r="X57" t="n">
        <v>7040530</v>
      </c>
      <c r="Y57" t="inlineStr"/>
      <c r="Z57" t="inlineStr"/>
      <c r="AA57" t="inlineStr">
        <is>
          <t>https://knru.ru/catalog/skotnoe-der-689151577/</t>
        </is>
      </c>
      <c r="AB57" t="inlineStr">
        <is>
          <t>A+</t>
        </is>
      </c>
    </row>
    <row r="58">
      <c r="A58" t="n">
        <v>99</v>
      </c>
      <c r="B58" t="n">
        <v>5</v>
      </c>
      <c r="C58" t="n">
        <v>3</v>
      </c>
      <c r="D58" t="n">
        <v>858587370</v>
      </c>
      <c r="E58" t="inlineStr"/>
      <c r="F58" t="inlineStr">
        <is>
          <t>Скотное дер.</t>
        </is>
      </c>
      <c r="G58" t="n">
        <v>82.3</v>
      </c>
      <c r="H58" t="inlineStr">
        <is>
          <t>12 348 000</t>
        </is>
      </c>
      <c r="I58" t="inlineStr"/>
      <c r="J58" t="inlineStr"/>
      <c r="K58" t="inlineStr"/>
      <c r="L58" t="inlineStr"/>
      <c r="M58" t="inlineStr"/>
      <c r="N58" t="inlineStr">
        <is>
          <t>yes</t>
        </is>
      </c>
      <c r="O58" t="inlineStr">
        <is>
          <t>pixel_heuristic</t>
        </is>
      </c>
      <c r="P58">
        <f>HYPERLINK("https://knru.ru/catalog/skotnoe-der-858587370/","ссылка")</f>
        <v/>
      </c>
      <c r="Q58" t="inlineStr"/>
      <c r="R58" t="inlineStr">
        <is>
          <t>Нет у нас</t>
        </is>
      </c>
      <c r="S58" t="n">
        <v>0</v>
      </c>
      <c r="T58" t="inlineStr">
        <is>
          <t>Совпадений по улице+дому не найдено</t>
        </is>
      </c>
      <c r="U58" t="n">
        <v>99</v>
      </c>
      <c r="V58" t="n">
        <v>5</v>
      </c>
      <c r="W58" t="n">
        <v>3</v>
      </c>
      <c r="X58" t="n">
        <v>12348000</v>
      </c>
      <c r="Y58" t="inlineStr"/>
      <c r="Z58" t="inlineStr"/>
      <c r="AA58" t="inlineStr">
        <is>
          <t>https://knru.ru/catalog/skotnoe-der-858587370/</t>
        </is>
      </c>
      <c r="AB58" t="inlineStr">
        <is>
          <t>A+</t>
        </is>
      </c>
    </row>
    <row r="59">
      <c r="A59" t="n">
        <v>100</v>
      </c>
      <c r="B59" t="n">
        <v>5</v>
      </c>
      <c r="C59" t="n">
        <v>4</v>
      </c>
      <c r="D59" t="inlineStr"/>
      <c r="E59" t="inlineStr"/>
      <c r="F59" t="inlineStr">
        <is>
          <t>Скотное дер.</t>
        </is>
      </c>
      <c r="G59" t="n">
        <v>86.40000000000001</v>
      </c>
      <c r="H59" t="inlineStr">
        <is>
          <t>12 964 500</t>
        </is>
      </c>
      <c r="I59" t="inlineStr"/>
      <c r="J59" t="inlineStr"/>
      <c r="K59" t="inlineStr"/>
      <c r="L59" t="inlineStr"/>
      <c r="M59" t="inlineStr"/>
      <c r="N59" t="inlineStr">
        <is>
          <t>yes</t>
        </is>
      </c>
      <c r="O59" t="inlineStr">
        <is>
          <t>pixel_heuristic</t>
        </is>
      </c>
      <c r="P59">
        <f>HYPERLINK("https://knru.ru/catalog/skotnoe-der/","ссылка")</f>
        <v/>
      </c>
      <c r="Q59" t="inlineStr"/>
      <c r="R59" t="inlineStr">
        <is>
          <t>Нет у нас</t>
        </is>
      </c>
      <c r="S59" t="n">
        <v>0</v>
      </c>
      <c r="T59" t="inlineStr">
        <is>
          <t>Совпадений по улице+дому не найдено</t>
        </is>
      </c>
      <c r="U59" t="n">
        <v>100</v>
      </c>
      <c r="V59" t="n">
        <v>5</v>
      </c>
      <c r="W59" t="n">
        <v>4</v>
      </c>
      <c r="X59" t="n">
        <v>12964500</v>
      </c>
      <c r="Y59" t="inlineStr"/>
      <c r="Z59" t="inlineStr"/>
      <c r="AA59" t="inlineStr">
        <is>
          <t>https://knru.ru/catalog/skotnoe-der/</t>
        </is>
      </c>
      <c r="AB59" t="inlineStr">
        <is>
          <t>A+</t>
        </is>
      </c>
    </row>
    <row r="60">
      <c r="A60" t="n">
        <v>101</v>
      </c>
      <c r="B60" t="n">
        <v>5</v>
      </c>
      <c r="C60" t="n">
        <v>5</v>
      </c>
      <c r="D60" t="n">
        <v>1835988823</v>
      </c>
      <c r="E60" t="inlineStr"/>
      <c r="F60" t="inlineStr">
        <is>
          <t>Виллозское г.п.</t>
        </is>
      </c>
      <c r="G60" t="n">
        <v>147.1</v>
      </c>
      <c r="H60" t="inlineStr">
        <is>
          <t>35 180 337</t>
        </is>
      </c>
      <c r="I60" t="inlineStr"/>
      <c r="J60" t="inlineStr"/>
      <c r="K60" t="inlineStr"/>
      <c r="L60" t="inlineStr"/>
      <c r="M60" t="inlineStr"/>
      <c r="N60" t="inlineStr">
        <is>
          <t>no</t>
        </is>
      </c>
      <c r="O60" t="inlineStr">
        <is>
          <t>none</t>
        </is>
      </c>
      <c r="P60">
        <f>HYPERLINK("https://knru.ru/catalog/villozskoe-g-p-1835988823/","ссылка")</f>
        <v/>
      </c>
      <c r="Q60" t="inlineStr"/>
      <c r="R60" t="inlineStr">
        <is>
          <t>Нет у нас</t>
        </is>
      </c>
      <c r="S60" t="n">
        <v>0</v>
      </c>
      <c r="T60" t="inlineStr">
        <is>
          <t>Совпадений по улице+дому не найдено</t>
        </is>
      </c>
      <c r="U60" t="n">
        <v>101</v>
      </c>
      <c r="V60" t="n">
        <v>5</v>
      </c>
      <c r="W60" t="n">
        <v>5</v>
      </c>
      <c r="X60" t="n">
        <v>35180337</v>
      </c>
      <c r="Y60" t="inlineStr"/>
      <c r="Z60" t="inlineStr"/>
      <c r="AA60" t="inlineStr">
        <is>
          <t>https://knru.ru/catalog/villozskoe-g-p-1835988823/</t>
        </is>
      </c>
      <c r="AB60" t="inlineStr">
        <is>
          <t>A</t>
        </is>
      </c>
    </row>
    <row r="61">
      <c r="A61" t="n">
        <v>102</v>
      </c>
      <c r="B61" t="n">
        <v>5</v>
      </c>
      <c r="C61" t="n">
        <v>6</v>
      </c>
      <c r="D61" t="n">
        <v>1880209685</v>
      </c>
      <c r="E61" t="inlineStr"/>
      <c r="F61" t="inlineStr">
        <is>
          <t>Виллозское г.п.</t>
        </is>
      </c>
      <c r="G61" t="n">
        <v>105.7</v>
      </c>
      <c r="H61" t="inlineStr">
        <is>
          <t>24 842 779</t>
        </is>
      </c>
      <c r="I61" t="inlineStr"/>
      <c r="J61" t="inlineStr"/>
      <c r="K61" t="inlineStr"/>
      <c r="L61" t="inlineStr"/>
      <c r="M61" t="inlineStr"/>
      <c r="N61" t="inlineStr">
        <is>
          <t>no</t>
        </is>
      </c>
      <c r="O61" t="inlineStr">
        <is>
          <t>none</t>
        </is>
      </c>
      <c r="P61">
        <f>HYPERLINK("https://knru.ru/catalog/villozskoe-g-p-1880209685/","ссылка")</f>
        <v/>
      </c>
      <c r="Q61" t="inlineStr"/>
      <c r="R61" t="inlineStr">
        <is>
          <t>Нет у нас</t>
        </is>
      </c>
      <c r="S61" t="n">
        <v>0</v>
      </c>
      <c r="T61" t="inlineStr">
        <is>
          <t>Совпадений по улице+дому не найдено</t>
        </is>
      </c>
      <c r="U61" t="n">
        <v>102</v>
      </c>
      <c r="V61" t="n">
        <v>5</v>
      </c>
      <c r="W61" t="n">
        <v>6</v>
      </c>
      <c r="X61" t="n">
        <v>24842779</v>
      </c>
      <c r="Y61" t="inlineStr"/>
      <c r="Z61" t="inlineStr"/>
      <c r="AA61" t="inlineStr">
        <is>
          <t>https://knru.ru/catalog/villozskoe-g-p-1880209685/</t>
        </is>
      </c>
      <c r="AB61" t="inlineStr">
        <is>
          <t>A</t>
        </is>
      </c>
    </row>
    <row r="62">
      <c r="A62" t="n">
        <v>103</v>
      </c>
      <c r="B62" t="n">
        <v>5</v>
      </c>
      <c r="C62" t="n">
        <v>7</v>
      </c>
      <c r="D62" t="n">
        <v>1695344423</v>
      </c>
      <c r="E62" t="inlineStr"/>
      <c r="F62" t="inlineStr">
        <is>
          <t>Виллозское г.п.</t>
        </is>
      </c>
      <c r="G62" t="n">
        <v>102.9</v>
      </c>
      <c r="H62" t="inlineStr">
        <is>
          <t>24 529 043</t>
        </is>
      </c>
      <c r="I62" t="inlineStr"/>
      <c r="J62" t="inlineStr"/>
      <c r="K62" t="inlineStr"/>
      <c r="L62" t="inlineStr"/>
      <c r="M62" t="inlineStr"/>
      <c r="N62" t="inlineStr">
        <is>
          <t>no</t>
        </is>
      </c>
      <c r="O62" t="inlineStr">
        <is>
          <t>none</t>
        </is>
      </c>
      <c r="P62">
        <f>HYPERLINK("https://knru.ru/catalog/villozskoe-g-p-1695344423/","ссылка")</f>
        <v/>
      </c>
      <c r="Q62" t="inlineStr"/>
      <c r="R62" t="inlineStr">
        <is>
          <t>Нет у нас</t>
        </is>
      </c>
      <c r="S62" t="n">
        <v>0</v>
      </c>
      <c r="T62" t="inlineStr">
        <is>
          <t>Совпадений по улице+дому не найдено</t>
        </is>
      </c>
      <c r="U62" t="n">
        <v>103</v>
      </c>
      <c r="V62" t="n">
        <v>5</v>
      </c>
      <c r="W62" t="n">
        <v>7</v>
      </c>
      <c r="X62" t="n">
        <v>24529043</v>
      </c>
      <c r="Y62" t="inlineStr"/>
      <c r="Z62" t="inlineStr"/>
      <c r="AA62" t="inlineStr">
        <is>
          <t>https://knru.ru/catalog/villozskoe-g-p-1695344423/</t>
        </is>
      </c>
      <c r="AB62" t="inlineStr">
        <is>
          <t>A</t>
        </is>
      </c>
    </row>
    <row r="63">
      <c r="A63" t="n">
        <v>104</v>
      </c>
      <c r="B63" t="n">
        <v>5</v>
      </c>
      <c r="C63" t="n">
        <v>8</v>
      </c>
      <c r="D63" t="n">
        <v>1640340625</v>
      </c>
      <c r="E63" t="inlineStr"/>
      <c r="F63" t="inlineStr">
        <is>
          <t>Виллозское г.п.</t>
        </is>
      </c>
      <c r="G63" t="n">
        <v>124.8</v>
      </c>
      <c r="H63" t="inlineStr">
        <is>
          <t>27 273 424</t>
        </is>
      </c>
      <c r="I63" t="inlineStr"/>
      <c r="J63" t="inlineStr"/>
      <c r="K63" t="inlineStr"/>
      <c r="L63" t="inlineStr"/>
      <c r="M63" t="inlineStr"/>
      <c r="N63" t="inlineStr">
        <is>
          <t>no</t>
        </is>
      </c>
      <c r="O63" t="inlineStr">
        <is>
          <t>none</t>
        </is>
      </c>
      <c r="P63">
        <f>HYPERLINK("https://knru.ru/catalog/villozskoe-g-p-1640340625/","ссылка")</f>
        <v/>
      </c>
      <c r="Q63" t="inlineStr"/>
      <c r="R63" t="inlineStr">
        <is>
          <t>Нет у нас</t>
        </is>
      </c>
      <c r="S63" t="n">
        <v>0</v>
      </c>
      <c r="T63" t="inlineStr">
        <is>
          <t>Совпадений по улице+дому не найдено</t>
        </is>
      </c>
      <c r="U63" t="n">
        <v>104</v>
      </c>
      <c r="V63" t="n">
        <v>5</v>
      </c>
      <c r="W63" t="n">
        <v>8</v>
      </c>
      <c r="X63" t="n">
        <v>27273424</v>
      </c>
      <c r="Y63" t="inlineStr"/>
      <c r="Z63" t="inlineStr"/>
      <c r="AA63" t="inlineStr">
        <is>
          <t>https://knru.ru/catalog/villozskoe-g-p-1640340625/</t>
        </is>
      </c>
      <c r="AB63" t="inlineStr">
        <is>
          <t>A</t>
        </is>
      </c>
    </row>
    <row r="64">
      <c r="A64" t="n">
        <v>105</v>
      </c>
      <c r="B64" t="n">
        <v>5</v>
      </c>
      <c r="C64" t="n">
        <v>9</v>
      </c>
      <c r="D64" t="n">
        <v>45926473</v>
      </c>
      <c r="E64" t="inlineStr"/>
      <c r="F64" t="inlineStr">
        <is>
          <t>Виллозское г.п.</t>
        </is>
      </c>
      <c r="G64" t="n">
        <v>166.7</v>
      </c>
      <c r="H64" t="inlineStr">
        <is>
          <t>39 579 336</t>
        </is>
      </c>
      <c r="I64" t="inlineStr"/>
      <c r="J64" t="inlineStr"/>
      <c r="K64" t="inlineStr"/>
      <c r="L64" t="inlineStr"/>
      <c r="M64" t="inlineStr"/>
      <c r="N64" t="inlineStr">
        <is>
          <t>no</t>
        </is>
      </c>
      <c r="O64" t="inlineStr">
        <is>
          <t>none</t>
        </is>
      </c>
      <c r="P64">
        <f>HYPERLINK("https://knru.ru/catalog/villozskoe-g-p-45926473/","ссылка")</f>
        <v/>
      </c>
      <c r="Q64" t="inlineStr"/>
      <c r="R64" t="inlineStr">
        <is>
          <t>Нет у нас</t>
        </is>
      </c>
      <c r="S64" t="n">
        <v>0</v>
      </c>
      <c r="T64" t="inlineStr">
        <is>
          <t>Совпадений по улице+дому не найдено</t>
        </is>
      </c>
      <c r="U64" t="n">
        <v>105</v>
      </c>
      <c r="V64" t="n">
        <v>5</v>
      </c>
      <c r="W64" t="n">
        <v>9</v>
      </c>
      <c r="X64" t="n">
        <v>39579336</v>
      </c>
      <c r="Y64" t="inlineStr"/>
      <c r="Z64" t="inlineStr"/>
      <c r="AA64" t="inlineStr">
        <is>
          <t>https://knru.ru/catalog/villozskoe-g-p-45926473/</t>
        </is>
      </c>
      <c r="AB64" t="inlineStr">
        <is>
          <t>A</t>
        </is>
      </c>
    </row>
    <row r="65">
      <c r="A65" t="n">
        <v>106</v>
      </c>
      <c r="B65" t="n">
        <v>5</v>
      </c>
      <c r="C65" t="n">
        <v>10</v>
      </c>
      <c r="D65" t="n">
        <v>1528062831</v>
      </c>
      <c r="E65" t="inlineStr"/>
      <c r="F65" t="inlineStr">
        <is>
          <t>Виллозское г.п.</t>
        </is>
      </c>
      <c r="G65" t="n">
        <v>139.6</v>
      </c>
      <c r="H65" t="inlineStr">
        <is>
          <t>30 477 987</t>
        </is>
      </c>
      <c r="I65" t="inlineStr"/>
      <c r="J65" t="inlineStr"/>
      <c r="K65" t="inlineStr"/>
      <c r="L65" t="inlineStr"/>
      <c r="M65" t="inlineStr"/>
      <c r="N65" t="inlineStr">
        <is>
          <t>no</t>
        </is>
      </c>
      <c r="O65" t="inlineStr">
        <is>
          <t>none</t>
        </is>
      </c>
      <c r="P65">
        <f>HYPERLINK("https://knru.ru/catalog/villozskoe-g-p-1528062831/","ссылка")</f>
        <v/>
      </c>
      <c r="Q65" t="inlineStr"/>
      <c r="R65" t="inlineStr">
        <is>
          <t>Нет у нас</t>
        </is>
      </c>
      <c r="S65" t="n">
        <v>0</v>
      </c>
      <c r="T65" t="inlineStr">
        <is>
          <t>Совпадений по улице+дому не найдено</t>
        </is>
      </c>
      <c r="U65" t="n">
        <v>106</v>
      </c>
      <c r="V65" t="n">
        <v>5</v>
      </c>
      <c r="W65" t="n">
        <v>10</v>
      </c>
      <c r="X65" t="n">
        <v>30477987</v>
      </c>
      <c r="Y65" t="inlineStr"/>
      <c r="Z65" t="inlineStr"/>
      <c r="AA65" t="inlineStr">
        <is>
          <t>https://knru.ru/catalog/villozskoe-g-p-1528062831/</t>
        </is>
      </c>
      <c r="AB65" t="inlineStr">
        <is>
          <t>A</t>
        </is>
      </c>
    </row>
    <row r="66">
      <c r="A66" t="n">
        <v>107</v>
      </c>
      <c r="B66" t="n">
        <v>5</v>
      </c>
      <c r="C66" t="n">
        <v>11</v>
      </c>
      <c r="D66" t="inlineStr"/>
      <c r="E66" t="inlineStr"/>
      <c r="F66" t="inlineStr">
        <is>
          <t>Виллозское г.п.</t>
        </is>
      </c>
      <c r="G66" t="n">
        <v>94.8</v>
      </c>
      <c r="H66" t="inlineStr">
        <is>
          <t>23 770 338</t>
        </is>
      </c>
      <c r="I66" t="inlineStr"/>
      <c r="J66" t="inlineStr"/>
      <c r="K66" t="inlineStr"/>
      <c r="L66" t="inlineStr"/>
      <c r="M66" t="inlineStr"/>
      <c r="N66" t="inlineStr">
        <is>
          <t>no</t>
        </is>
      </c>
      <c r="O66" t="inlineStr">
        <is>
          <t>none</t>
        </is>
      </c>
      <c r="P66">
        <f>HYPERLINK("https://knru.ru/catalog/villozskoe-g-p/","ссылка")</f>
        <v/>
      </c>
      <c r="Q66" t="inlineStr"/>
      <c r="R66" t="inlineStr">
        <is>
          <t>Нет у нас</t>
        </is>
      </c>
      <c r="S66" t="n">
        <v>0</v>
      </c>
      <c r="T66" t="inlineStr">
        <is>
          <t>Совпадений по улице+дому не найдено</t>
        </is>
      </c>
      <c r="U66" t="n">
        <v>107</v>
      </c>
      <c r="V66" t="n">
        <v>5</v>
      </c>
      <c r="W66" t="n">
        <v>11</v>
      </c>
      <c r="X66" t="n">
        <v>23770338</v>
      </c>
      <c r="Y66" t="inlineStr"/>
      <c r="Z66" t="inlineStr"/>
      <c r="AA66" t="inlineStr">
        <is>
          <t>https://knru.ru/catalog/villozskoe-g-p/</t>
        </is>
      </c>
      <c r="AB66" t="inlineStr">
        <is>
          <t>A</t>
        </is>
      </c>
    </row>
    <row r="67">
      <c r="A67" t="n">
        <v>108</v>
      </c>
      <c r="B67" t="n">
        <v>5</v>
      </c>
      <c r="C67" t="n">
        <v>12</v>
      </c>
      <c r="D67" t="n">
        <v>675241557</v>
      </c>
      <c r="E67" t="inlineStr"/>
      <c r="F67" t="inlineStr">
        <is>
          <t>Лаголово дер.</t>
        </is>
      </c>
      <c r="G67" t="n">
        <v>116.9</v>
      </c>
      <c r="H67" t="inlineStr">
        <is>
          <t>20 120 828</t>
        </is>
      </c>
      <c r="I67" t="inlineStr"/>
      <c r="J67" t="inlineStr"/>
      <c r="K67" t="inlineStr"/>
      <c r="L67" t="inlineStr"/>
      <c r="M67" t="inlineStr"/>
      <c r="N67" t="inlineStr">
        <is>
          <t>yes</t>
        </is>
      </c>
      <c r="O67" t="inlineStr">
        <is>
          <t>pixel_heuristic</t>
        </is>
      </c>
      <c r="P67">
        <f>HYPERLINK("https://knru.ru/catalog/lagolovo-der-675241557/","ссылка")</f>
        <v/>
      </c>
      <c r="Q67" t="inlineStr"/>
      <c r="R67" t="inlineStr">
        <is>
          <t>Нет у нас</t>
        </is>
      </c>
      <c r="S67" t="n">
        <v>0</v>
      </c>
      <c r="T67" t="inlineStr">
        <is>
          <t>Совпадений по улице+дому не найдено</t>
        </is>
      </c>
      <c r="U67" t="n">
        <v>108</v>
      </c>
      <c r="V67" t="n">
        <v>5</v>
      </c>
      <c r="W67" t="n">
        <v>12</v>
      </c>
      <c r="X67" t="n">
        <v>20120828</v>
      </c>
      <c r="Y67" t="inlineStr"/>
      <c r="Z67" t="inlineStr"/>
      <c r="AA67" t="inlineStr">
        <is>
          <t>https://knru.ru/catalog/lagolovo-der-675241557/</t>
        </is>
      </c>
      <c r="AB67" t="inlineStr">
        <is>
          <t>A+</t>
        </is>
      </c>
    </row>
    <row r="68">
      <c r="A68" t="n">
        <v>109</v>
      </c>
      <c r="B68" t="n">
        <v>5</v>
      </c>
      <c r="C68" t="n">
        <v>13</v>
      </c>
      <c r="D68" t="n">
        <v>1817799514</v>
      </c>
      <c r="E68" t="inlineStr"/>
      <c r="F68" t="inlineStr">
        <is>
          <t>Лаголово дер.</t>
        </is>
      </c>
      <c r="G68" t="n">
        <v>112.1</v>
      </c>
      <c r="H68" t="inlineStr">
        <is>
          <t>18 198 314</t>
        </is>
      </c>
      <c r="I68" t="inlineStr"/>
      <c r="J68" t="inlineStr"/>
      <c r="K68" t="inlineStr"/>
      <c r="L68" t="inlineStr"/>
      <c r="M68" t="inlineStr"/>
      <c r="N68" t="inlineStr">
        <is>
          <t>yes</t>
        </is>
      </c>
      <c r="O68" t="inlineStr">
        <is>
          <t>pixel_heuristic</t>
        </is>
      </c>
      <c r="P68">
        <f>HYPERLINK("https://knru.ru/catalog/lagolovo-der-1817799514/","ссылка")</f>
        <v/>
      </c>
      <c r="Q68" t="inlineStr"/>
      <c r="R68" t="inlineStr">
        <is>
          <t>Нет у нас</t>
        </is>
      </c>
      <c r="S68" t="n">
        <v>0</v>
      </c>
      <c r="T68" t="inlineStr">
        <is>
          <t>Совпадений по улице+дому не найдено</t>
        </is>
      </c>
      <c r="U68" t="n">
        <v>109</v>
      </c>
      <c r="V68" t="n">
        <v>5</v>
      </c>
      <c r="W68" t="n">
        <v>13</v>
      </c>
      <c r="X68" t="n">
        <v>18198314</v>
      </c>
      <c r="Y68" t="inlineStr"/>
      <c r="Z68" t="inlineStr"/>
      <c r="AA68" t="inlineStr">
        <is>
          <t>https://knru.ru/catalog/lagolovo-der-1817799514/</t>
        </is>
      </c>
      <c r="AB68" t="inlineStr">
        <is>
          <t>A+</t>
        </is>
      </c>
    </row>
    <row r="69">
      <c r="A69" t="n">
        <v>110</v>
      </c>
      <c r="B69" t="n">
        <v>5</v>
      </c>
      <c r="C69" t="n">
        <v>14</v>
      </c>
      <c r="D69" t="n">
        <v>53510736</v>
      </c>
      <c r="E69" t="inlineStr"/>
      <c r="F69" t="inlineStr">
        <is>
          <t>Лаголово дер.</t>
        </is>
      </c>
      <c r="G69" t="n">
        <v>33.4</v>
      </c>
      <c r="H69" t="inlineStr">
        <is>
          <t>10 427 480</t>
        </is>
      </c>
      <c r="I69" t="inlineStr"/>
      <c r="J69" t="inlineStr"/>
      <c r="K69" t="inlineStr"/>
      <c r="L69" t="inlineStr"/>
      <c r="M69" t="inlineStr"/>
      <c r="N69" t="inlineStr">
        <is>
          <t>yes</t>
        </is>
      </c>
      <c r="O69" t="inlineStr">
        <is>
          <t>pixel_heuristic</t>
        </is>
      </c>
      <c r="P69">
        <f>HYPERLINK("https://knru.ru/catalog/lagolovo-der-53510736/","ссылка")</f>
        <v/>
      </c>
      <c r="Q69" t="inlineStr"/>
      <c r="R69" t="inlineStr">
        <is>
          <t>Нет у нас</t>
        </is>
      </c>
      <c r="S69" t="n">
        <v>0</v>
      </c>
      <c r="T69" t="inlineStr">
        <is>
          <t>Совпадений по улице+дому не найдено</t>
        </is>
      </c>
      <c r="U69" t="n">
        <v>110</v>
      </c>
      <c r="V69" t="n">
        <v>5</v>
      </c>
      <c r="W69" t="n">
        <v>14</v>
      </c>
      <c r="X69" t="n">
        <v>10427480</v>
      </c>
      <c r="Y69" t="inlineStr"/>
      <c r="Z69" t="inlineStr"/>
      <c r="AA69" t="inlineStr">
        <is>
          <t>https://knru.ru/catalog/lagolovo-der-53510736/</t>
        </is>
      </c>
      <c r="AB69" t="inlineStr">
        <is>
          <t>A+</t>
        </is>
      </c>
    </row>
    <row r="70">
      <c r="A70" t="n">
        <v>111</v>
      </c>
      <c r="B70" t="n">
        <v>5</v>
      </c>
      <c r="C70" t="n">
        <v>15</v>
      </c>
      <c r="D70" t="n">
        <v>979636662</v>
      </c>
      <c r="E70" t="inlineStr"/>
      <c r="F70" t="inlineStr">
        <is>
          <t>Центральная ул., д. 30 к 2</t>
        </is>
      </c>
      <c r="G70" t="n">
        <v>69.8</v>
      </c>
      <c r="H70" t="inlineStr">
        <is>
          <t>14 786 888</t>
        </is>
      </c>
      <c r="I70" t="inlineStr"/>
      <c r="J70" t="inlineStr"/>
      <c r="K70" t="inlineStr"/>
      <c r="L70" t="inlineStr"/>
      <c r="M70" t="inlineStr"/>
      <c r="N70" t="inlineStr">
        <is>
          <t>yes</t>
        </is>
      </c>
      <c r="O70" t="inlineStr">
        <is>
          <t>pixel_heuristic</t>
        </is>
      </c>
      <c r="P70">
        <f>HYPERLINK("https://knru.ru/catalog/tsentralnaya-ul-d-30-k-2-979636662/","ссылка")</f>
        <v/>
      </c>
      <c r="Q70" t="inlineStr"/>
      <c r="R70" t="inlineStr">
        <is>
          <t>Нет у нас</t>
        </is>
      </c>
      <c r="S70" t="n">
        <v>0</v>
      </c>
      <c r="T70" t="inlineStr">
        <is>
          <t>Совпадений по улице+дому не найдено</t>
        </is>
      </c>
      <c r="U70" t="n">
        <v>111</v>
      </c>
      <c r="V70" t="n">
        <v>5</v>
      </c>
      <c r="W70" t="n">
        <v>15</v>
      </c>
      <c r="X70" t="n">
        <v>14786888</v>
      </c>
      <c r="Y70" t="inlineStr"/>
      <c r="Z70" t="inlineStr"/>
      <c r="AA70" t="inlineStr">
        <is>
          <t>https://knru.ru/catalog/tsentralnaya-ul-d-30-k-2-979636662/</t>
        </is>
      </c>
      <c r="AB70" t="inlineStr">
        <is>
          <t>A+</t>
        </is>
      </c>
    </row>
    <row r="71">
      <c r="A71" t="n">
        <v>112</v>
      </c>
      <c r="B71" t="n">
        <v>5</v>
      </c>
      <c r="C71" t="n">
        <v>16</v>
      </c>
      <c r="D71" t="n">
        <v>1833462499</v>
      </c>
      <c r="E71" t="inlineStr"/>
      <c r="F71" t="inlineStr">
        <is>
          <t>Центральная ул., д. 30 к 2</t>
        </is>
      </c>
      <c r="G71" t="n">
        <v>109.2</v>
      </c>
      <c r="H71" t="inlineStr">
        <is>
          <t>19 236 888</t>
        </is>
      </c>
      <c r="I71" t="inlineStr"/>
      <c r="J71" t="inlineStr"/>
      <c r="K71" t="inlineStr"/>
      <c r="L71" t="inlineStr"/>
      <c r="M71" t="inlineStr"/>
      <c r="N71" t="inlineStr">
        <is>
          <t>yes</t>
        </is>
      </c>
      <c r="O71" t="inlineStr">
        <is>
          <t>pixel_heuristic</t>
        </is>
      </c>
      <c r="P71">
        <f>HYPERLINK("https://knru.ru/catalog/tsentralnaya-ul-d-30-k-2-1833462499/","ссылка")</f>
        <v/>
      </c>
      <c r="Q71" t="inlineStr"/>
      <c r="R71" t="inlineStr">
        <is>
          <t>Нет у нас</t>
        </is>
      </c>
      <c r="S71" t="n">
        <v>0</v>
      </c>
      <c r="T71" t="inlineStr">
        <is>
          <t>Совпадений по улице+дому не найдено</t>
        </is>
      </c>
      <c r="U71" t="n">
        <v>112</v>
      </c>
      <c r="V71" t="n">
        <v>5</v>
      </c>
      <c r="W71" t="n">
        <v>16</v>
      </c>
      <c r="X71" t="n">
        <v>19236888</v>
      </c>
      <c r="Y71" t="inlineStr"/>
      <c r="Z71" t="inlineStr"/>
      <c r="AA71" t="inlineStr">
        <is>
          <t>https://knru.ru/catalog/tsentralnaya-ul-d-30-k-2-1833462499/</t>
        </is>
      </c>
      <c r="AB71" t="inlineStr">
        <is>
          <t>A+</t>
        </is>
      </c>
    </row>
    <row r="72">
      <c r="A72" t="n">
        <v>113</v>
      </c>
      <c r="B72" t="n">
        <v>5</v>
      </c>
      <c r="C72" t="n">
        <v>17</v>
      </c>
      <c r="D72" t="n">
        <v>616889017</v>
      </c>
      <c r="E72" t="inlineStr"/>
      <c r="F72" t="inlineStr">
        <is>
          <t>Центральная ул., д. 30 к 2</t>
        </is>
      </c>
      <c r="G72" t="n">
        <v>94.5</v>
      </c>
      <c r="H72" t="inlineStr">
        <is>
          <t>16 620 888</t>
        </is>
      </c>
      <c r="I72" t="inlineStr"/>
      <c r="J72" t="inlineStr"/>
      <c r="K72" t="inlineStr"/>
      <c r="L72" t="inlineStr"/>
      <c r="M72" t="inlineStr"/>
      <c r="N72" t="inlineStr">
        <is>
          <t>yes</t>
        </is>
      </c>
      <c r="O72" t="inlineStr">
        <is>
          <t>pixel_heuristic</t>
        </is>
      </c>
      <c r="P72">
        <f>HYPERLINK("https://knru.ru/catalog/tsentralnaya-ul-d-30-k-2-616889017/","ссылка")</f>
        <v/>
      </c>
      <c r="Q72" t="inlineStr"/>
      <c r="R72" t="inlineStr">
        <is>
          <t>Нет у нас</t>
        </is>
      </c>
      <c r="S72" t="n">
        <v>0</v>
      </c>
      <c r="T72" t="inlineStr">
        <is>
          <t>Совпадений по улице+дому не найдено</t>
        </is>
      </c>
      <c r="U72" t="n">
        <v>113</v>
      </c>
      <c r="V72" t="n">
        <v>5</v>
      </c>
      <c r="W72" t="n">
        <v>17</v>
      </c>
      <c r="X72" t="n">
        <v>16620888</v>
      </c>
      <c r="Y72" t="inlineStr"/>
      <c r="Z72" t="inlineStr"/>
      <c r="AA72" t="inlineStr">
        <is>
          <t>https://knru.ru/catalog/tsentralnaya-ul-d-30-k-2-616889017/</t>
        </is>
      </c>
      <c r="AB72" t="inlineStr">
        <is>
          <t>A+</t>
        </is>
      </c>
    </row>
    <row r="73">
      <c r="A73" t="n">
        <v>114</v>
      </c>
      <c r="B73" t="n">
        <v>5</v>
      </c>
      <c r="C73" t="n">
        <v>18</v>
      </c>
      <c r="D73" t="n">
        <v>2</v>
      </c>
      <c r="E73" t="inlineStr"/>
      <c r="F73" t="inlineStr">
        <is>
          <t>Центральная ул., д. 30 к 2</t>
        </is>
      </c>
      <c r="G73" t="n">
        <v>69.7</v>
      </c>
      <c r="H73" t="inlineStr">
        <is>
          <t>13 552 887</t>
        </is>
      </c>
      <c r="I73" t="inlineStr"/>
      <c r="J73" t="inlineStr"/>
      <c r="K73" t="inlineStr"/>
      <c r="L73" t="inlineStr"/>
      <c r="M73" t="inlineStr"/>
      <c r="N73" t="inlineStr">
        <is>
          <t>yes</t>
        </is>
      </c>
      <c r="O73" t="inlineStr">
        <is>
          <t>pixel_heuristic</t>
        </is>
      </c>
      <c r="P73">
        <f>HYPERLINK("https://knru.ru/catalog/tsentralnaya-ul-d-30-k-2/","ссылка")</f>
        <v/>
      </c>
      <c r="Q73" t="inlineStr"/>
      <c r="R73" t="inlineStr">
        <is>
          <t>Нет у нас</t>
        </is>
      </c>
      <c r="S73" t="n">
        <v>0</v>
      </c>
      <c r="T73" t="inlineStr">
        <is>
          <t>Совпадений по улице+дому не найдено</t>
        </is>
      </c>
      <c r="U73" t="n">
        <v>114</v>
      </c>
      <c r="V73" t="n">
        <v>5</v>
      </c>
      <c r="W73" t="n">
        <v>18</v>
      </c>
      <c r="X73" t="n">
        <v>13552887</v>
      </c>
      <c r="Y73" t="inlineStr"/>
      <c r="Z73" t="inlineStr"/>
      <c r="AA73" t="inlineStr">
        <is>
          <t>https://knru.ru/catalog/tsentralnaya-ul-d-30-k-2/</t>
        </is>
      </c>
      <c r="AB73" t="inlineStr">
        <is>
          <t>A+</t>
        </is>
      </c>
    </row>
    <row r="74">
      <c r="A74" t="n">
        <v>115</v>
      </c>
      <c r="B74" t="n">
        <v>5</v>
      </c>
      <c r="C74" t="n">
        <v>19</v>
      </c>
      <c r="D74" t="n">
        <v>2007276624</v>
      </c>
      <c r="E74" t="inlineStr"/>
      <c r="F74" t="inlineStr">
        <is>
          <t>Новосаратовка дер.</t>
        </is>
      </c>
      <c r="G74" t="n">
        <v>128.8</v>
      </c>
      <c r="H74" t="inlineStr">
        <is>
          <t>27 611 227</t>
        </is>
      </c>
      <c r="I74" t="inlineStr"/>
      <c r="J74" t="inlineStr"/>
      <c r="K74" t="inlineStr"/>
      <c r="L74" t="inlineStr"/>
      <c r="M74" t="inlineStr"/>
      <c r="N74" t="inlineStr">
        <is>
          <t>no</t>
        </is>
      </c>
      <c r="O74" t="inlineStr">
        <is>
          <t>none</t>
        </is>
      </c>
      <c r="P74">
        <f>HYPERLINK("https://knru.ru/catalog/novosaratovka-der-2007276624/","ссылка")</f>
        <v/>
      </c>
      <c r="Q74" t="inlineStr"/>
      <c r="R74" t="inlineStr">
        <is>
          <t>Нет у нас</t>
        </is>
      </c>
      <c r="S74" t="n">
        <v>0</v>
      </c>
      <c r="T74" t="inlineStr">
        <is>
          <t>Совпадений по улице+дому не найдено</t>
        </is>
      </c>
      <c r="U74" t="n">
        <v>115</v>
      </c>
      <c r="V74" t="n">
        <v>5</v>
      </c>
      <c r="W74" t="n">
        <v>19</v>
      </c>
      <c r="X74" t="n">
        <v>27611227</v>
      </c>
      <c r="Y74" t="inlineStr"/>
      <c r="Z74" t="inlineStr"/>
      <c r="AA74" t="inlineStr">
        <is>
          <t>https://knru.ru/catalog/novosaratovka-der-2007276624/</t>
        </is>
      </c>
      <c r="AB74" t="inlineStr">
        <is>
          <t>A</t>
        </is>
      </c>
    </row>
    <row r="75">
      <c r="A75" t="n">
        <v>116</v>
      </c>
      <c r="B75" t="n">
        <v>5</v>
      </c>
      <c r="C75" t="n">
        <v>20</v>
      </c>
      <c r="D75" t="n">
        <v>853113999</v>
      </c>
      <c r="E75" t="inlineStr"/>
      <c r="F75" t="inlineStr">
        <is>
          <t>Новосаратовка дер.</t>
        </is>
      </c>
      <c r="G75" t="n">
        <v>220.1</v>
      </c>
      <c r="H75" t="inlineStr">
        <is>
          <t>46 407 726</t>
        </is>
      </c>
      <c r="I75" t="inlineStr"/>
      <c r="J75" t="inlineStr"/>
      <c r="K75" t="inlineStr"/>
      <c r="L75" t="inlineStr"/>
      <c r="M75" t="inlineStr"/>
      <c r="N75" t="inlineStr">
        <is>
          <t>yes</t>
        </is>
      </c>
      <c r="O75" t="inlineStr">
        <is>
          <t>pixel_heuristic</t>
        </is>
      </c>
      <c r="P75">
        <f>HYPERLINK("https://knru.ru/catalog/novosaratovka-der-853113999/","ссылка")</f>
        <v/>
      </c>
      <c r="Q75" t="inlineStr"/>
      <c r="R75" t="inlineStr">
        <is>
          <t>Нет у нас</t>
        </is>
      </c>
      <c r="S75" t="n">
        <v>0</v>
      </c>
      <c r="T75" t="inlineStr">
        <is>
          <t>Совпадений по улице+дому не найдено</t>
        </is>
      </c>
      <c r="U75" t="n">
        <v>116</v>
      </c>
      <c r="V75" t="n">
        <v>5</v>
      </c>
      <c r="W75" t="n">
        <v>20</v>
      </c>
      <c r="X75" t="n">
        <v>46407726</v>
      </c>
      <c r="Y75" t="inlineStr"/>
      <c r="Z75" t="inlineStr"/>
      <c r="AA75" t="inlineStr">
        <is>
          <t>https://knru.ru/catalog/novosaratovka-der-853113999/</t>
        </is>
      </c>
      <c r="AB75" t="inlineStr">
        <is>
          <t>A+</t>
        </is>
      </c>
    </row>
    <row r="76">
      <c r="A76" t="n">
        <v>117</v>
      </c>
      <c r="B76" t="n">
        <v>5</v>
      </c>
      <c r="C76" t="n">
        <v>21</v>
      </c>
      <c r="D76" t="n">
        <v>1848170969</v>
      </c>
      <c r="E76" t="inlineStr"/>
      <c r="F76" t="inlineStr">
        <is>
          <t>Новосаратовка дер.</t>
        </is>
      </c>
      <c r="G76" t="n">
        <v>360</v>
      </c>
      <c r="H76" t="inlineStr">
        <is>
          <t>147 450 456</t>
        </is>
      </c>
      <c r="I76" t="inlineStr"/>
      <c r="J76" t="inlineStr"/>
      <c r="K76" t="inlineStr"/>
      <c r="L76" t="inlineStr"/>
      <c r="M76" t="inlineStr"/>
      <c r="N76" t="inlineStr">
        <is>
          <t>no</t>
        </is>
      </c>
      <c r="O76" t="inlineStr">
        <is>
          <t>none</t>
        </is>
      </c>
      <c r="P76">
        <f>HYPERLINK("https://knru.ru/catalog/novosaratovka-der-1848170969/","ссылка")</f>
        <v/>
      </c>
      <c r="Q76" t="inlineStr"/>
      <c r="R76" t="inlineStr">
        <is>
          <t>Нет у нас</t>
        </is>
      </c>
      <c r="S76" t="n">
        <v>0</v>
      </c>
      <c r="T76" t="inlineStr">
        <is>
          <t>Совпадений по улице+дому не найдено</t>
        </is>
      </c>
      <c r="U76" t="n">
        <v>117</v>
      </c>
      <c r="V76" t="n">
        <v>5</v>
      </c>
      <c r="W76" t="n">
        <v>21</v>
      </c>
      <c r="X76" t="n">
        <v>147450456</v>
      </c>
      <c r="Y76" t="inlineStr"/>
      <c r="Z76" t="inlineStr"/>
      <c r="AA76" t="inlineStr">
        <is>
          <t>https://knru.ru/catalog/novosaratovka-der-1848170969/</t>
        </is>
      </c>
      <c r="AB76" t="inlineStr">
        <is>
          <t>A</t>
        </is>
      </c>
    </row>
    <row r="77">
      <c r="A77" t="n">
        <v>118</v>
      </c>
      <c r="B77" t="n">
        <v>5</v>
      </c>
      <c r="C77" t="n">
        <v>22</v>
      </c>
      <c r="D77" t="inlineStr"/>
      <c r="E77" t="inlineStr"/>
      <c r="F77" t="inlineStr">
        <is>
          <t>Новосаратовка дер.</t>
        </is>
      </c>
      <c r="G77" t="n">
        <v>75.2</v>
      </c>
      <c r="H77" t="inlineStr">
        <is>
          <t>17 975 542</t>
        </is>
      </c>
      <c r="I77" t="inlineStr"/>
      <c r="J77" t="inlineStr"/>
      <c r="K77" t="inlineStr"/>
      <c r="L77" t="inlineStr"/>
      <c r="M77" t="inlineStr"/>
      <c r="N77" t="inlineStr">
        <is>
          <t>yes</t>
        </is>
      </c>
      <c r="O77" t="inlineStr">
        <is>
          <t>pixel_heuristic</t>
        </is>
      </c>
      <c r="P77">
        <f>HYPERLINK("https://knru.ru/catalog/novosaratovka-der/","ссылка")</f>
        <v/>
      </c>
      <c r="Q77" t="inlineStr"/>
      <c r="R77" t="inlineStr">
        <is>
          <t>Нет у нас</t>
        </is>
      </c>
      <c r="S77" t="n">
        <v>0</v>
      </c>
      <c r="T77" t="inlineStr">
        <is>
          <t>Совпадений по улице+дому не найдено</t>
        </is>
      </c>
      <c r="U77" t="n">
        <v>118</v>
      </c>
      <c r="V77" t="n">
        <v>5</v>
      </c>
      <c r="W77" t="n">
        <v>22</v>
      </c>
      <c r="X77" t="n">
        <v>17975542</v>
      </c>
      <c r="Y77" t="inlineStr"/>
      <c r="Z77" t="inlineStr"/>
      <c r="AA77" t="inlineStr">
        <is>
          <t>https://knru.ru/catalog/novosaratovka-der/</t>
        </is>
      </c>
      <c r="AB77" t="inlineStr">
        <is>
          <t>A+</t>
        </is>
      </c>
    </row>
    <row r="78">
      <c r="A78" t="n">
        <v>119</v>
      </c>
      <c r="B78" t="n">
        <v>5</v>
      </c>
      <c r="C78" t="n">
        <v>23</v>
      </c>
      <c r="D78" t="n">
        <v>241965174</v>
      </c>
      <c r="E78" t="inlineStr"/>
      <c r="F78" t="inlineStr">
        <is>
          <t>Лаголово дер.</t>
        </is>
      </c>
      <c r="G78" t="n">
        <v>31.6</v>
      </c>
      <c r="H78" t="inlineStr">
        <is>
          <t>8 999 996</t>
        </is>
      </c>
      <c r="I78" t="inlineStr"/>
      <c r="J78" t="inlineStr"/>
      <c r="K78" t="inlineStr"/>
      <c r="L78" t="inlineStr"/>
      <c r="M78" t="inlineStr"/>
      <c r="N78" t="inlineStr">
        <is>
          <t>no</t>
        </is>
      </c>
      <c r="O78" t="inlineStr">
        <is>
          <t>none</t>
        </is>
      </c>
      <c r="P78">
        <f>HYPERLINK("https://knru.ru/catalog/lagolovo-der-241965174/","ссылка")</f>
        <v/>
      </c>
      <c r="Q78" t="inlineStr"/>
      <c r="R78" t="inlineStr">
        <is>
          <t>Нет у нас</t>
        </is>
      </c>
      <c r="S78" t="n">
        <v>0</v>
      </c>
      <c r="T78" t="inlineStr">
        <is>
          <t>Совпадений по улице+дому не найдено</t>
        </is>
      </c>
      <c r="U78" t="n">
        <v>119</v>
      </c>
      <c r="V78" t="n">
        <v>5</v>
      </c>
      <c r="W78" t="n">
        <v>23</v>
      </c>
      <c r="X78" t="n">
        <v>8999996</v>
      </c>
      <c r="Y78" t="inlineStr"/>
      <c r="Z78" t="inlineStr"/>
      <c r="AA78" t="inlineStr">
        <is>
          <t>https://knru.ru/catalog/lagolovo-der-241965174/</t>
        </is>
      </c>
      <c r="AB78" t="inlineStr">
        <is>
          <t>A</t>
        </is>
      </c>
    </row>
    <row r="79">
      <c r="A79" t="n">
        <v>120</v>
      </c>
      <c r="B79" t="n">
        <v>5</v>
      </c>
      <c r="C79" t="n">
        <v>24</v>
      </c>
      <c r="D79" t="n">
        <v>553081250</v>
      </c>
      <c r="E79" t="inlineStr"/>
      <c r="F79" t="inlineStr">
        <is>
          <t>Лаголово дер.</t>
        </is>
      </c>
      <c r="G79" t="n">
        <v>239.3</v>
      </c>
      <c r="H79" t="inlineStr">
        <is>
          <t>76 678 213</t>
        </is>
      </c>
      <c r="I79" t="inlineStr"/>
      <c r="J79" t="inlineStr"/>
      <c r="K79" t="inlineStr"/>
      <c r="L79" t="inlineStr"/>
      <c r="M79" t="inlineStr"/>
      <c r="N79" t="inlineStr">
        <is>
          <t>no</t>
        </is>
      </c>
      <c r="O79" t="inlineStr">
        <is>
          <t>none</t>
        </is>
      </c>
      <c r="P79">
        <f>HYPERLINK("https://knru.ru/catalog/lagolovo-der-553081250/","ссылка")</f>
        <v/>
      </c>
      <c r="Q79" t="inlineStr"/>
      <c r="R79" t="inlineStr">
        <is>
          <t>Нет у нас</t>
        </is>
      </c>
      <c r="S79" t="n">
        <v>0</v>
      </c>
      <c r="T79" t="inlineStr">
        <is>
          <t>Совпадений по улице+дому не найдено</t>
        </is>
      </c>
      <c r="U79" t="n">
        <v>120</v>
      </c>
      <c r="V79" t="n">
        <v>5</v>
      </c>
      <c r="W79" t="n">
        <v>24</v>
      </c>
      <c r="X79" t="n">
        <v>76678213</v>
      </c>
      <c r="Y79" t="inlineStr"/>
      <c r="Z79" t="inlineStr"/>
      <c r="AA79" t="inlineStr">
        <is>
          <t>https://knru.ru/catalog/lagolovo-der-553081250/</t>
        </is>
      </c>
      <c r="AB79" t="inlineStr">
        <is>
          <t>A</t>
        </is>
      </c>
    </row>
    <row r="80">
      <c r="A80" t="n">
        <v>121</v>
      </c>
      <c r="B80" t="n">
        <v>6</v>
      </c>
      <c r="C80" t="n">
        <v>1</v>
      </c>
      <c r="D80" t="n">
        <v>1927759881</v>
      </c>
      <c r="E80" t="inlineStr"/>
      <c r="F80" t="inlineStr">
        <is>
          <t>Лаголово дер.</t>
        </is>
      </c>
      <c r="G80" t="n">
        <v>79.2</v>
      </c>
      <c r="H80" t="inlineStr">
        <is>
          <t>19 733 473</t>
        </is>
      </c>
      <c r="I80" t="inlineStr"/>
      <c r="J80" t="inlineStr"/>
      <c r="K80" t="inlineStr"/>
      <c r="L80" t="inlineStr"/>
      <c r="M80" t="inlineStr"/>
      <c r="N80" t="inlineStr">
        <is>
          <t>no</t>
        </is>
      </c>
      <c r="O80" t="inlineStr">
        <is>
          <t>none</t>
        </is>
      </c>
      <c r="P80">
        <f>HYPERLINK("https://knru.ru/catalog/lagolovo-der-1927759881/","ссылка")</f>
        <v/>
      </c>
      <c r="Q80" t="inlineStr"/>
      <c r="R80" t="inlineStr">
        <is>
          <t>Нет у нас</t>
        </is>
      </c>
      <c r="S80" t="n">
        <v>0</v>
      </c>
      <c r="T80" t="inlineStr">
        <is>
          <t>Совпадений по улице+дому не найдено</t>
        </is>
      </c>
      <c r="U80" t="n">
        <v>121</v>
      </c>
      <c r="V80" t="n">
        <v>6</v>
      </c>
      <c r="W80" t="n">
        <v>1</v>
      </c>
      <c r="X80" t="n">
        <v>19733473</v>
      </c>
      <c r="Y80" t="inlineStr"/>
      <c r="Z80" t="inlineStr"/>
      <c r="AA80" t="inlineStr">
        <is>
          <t>https://knru.ru/catalog/lagolovo-der-1927759881/</t>
        </is>
      </c>
      <c r="AB80" t="inlineStr">
        <is>
          <t>A</t>
        </is>
      </c>
    </row>
    <row r="81">
      <c r="A81" t="n">
        <v>122</v>
      </c>
      <c r="B81" t="n">
        <v>6</v>
      </c>
      <c r="C81" t="n">
        <v>2</v>
      </c>
      <c r="D81" t="n">
        <v>439422606</v>
      </c>
      <c r="E81" t="inlineStr"/>
      <c r="F81" t="inlineStr">
        <is>
          <t>Лаголово дер.</t>
        </is>
      </c>
      <c r="G81" t="n">
        <v>170.4</v>
      </c>
      <c r="H81" t="inlineStr">
        <is>
          <t>38 632 258</t>
        </is>
      </c>
      <c r="I81" t="inlineStr"/>
      <c r="J81" t="inlineStr"/>
      <c r="K81" t="inlineStr"/>
      <c r="L81" t="inlineStr"/>
      <c r="M81" t="inlineStr"/>
      <c r="N81" t="inlineStr">
        <is>
          <t>yes</t>
        </is>
      </c>
      <c r="O81" t="inlineStr">
        <is>
          <t>pixel_heuristic</t>
        </is>
      </c>
      <c r="P81">
        <f>HYPERLINK("https://knru.ru/catalog/lagolovo-der-439422606/","ссылка")</f>
        <v/>
      </c>
      <c r="Q81" t="inlineStr"/>
      <c r="R81" t="inlineStr">
        <is>
          <t>Нет у нас</t>
        </is>
      </c>
      <c r="S81" t="n">
        <v>0</v>
      </c>
      <c r="T81" t="inlineStr">
        <is>
          <t>Совпадений по улице+дому не найдено</t>
        </is>
      </c>
      <c r="U81" t="n">
        <v>122</v>
      </c>
      <c r="V81" t="n">
        <v>6</v>
      </c>
      <c r="W81" t="n">
        <v>2</v>
      </c>
      <c r="X81" t="n">
        <v>38632258</v>
      </c>
      <c r="Y81" t="inlineStr"/>
      <c r="Z81" t="inlineStr"/>
      <c r="AA81" t="inlineStr">
        <is>
          <t>https://knru.ru/catalog/lagolovo-der-439422606/</t>
        </is>
      </c>
      <c r="AB81" t="inlineStr">
        <is>
          <t>A+</t>
        </is>
      </c>
    </row>
    <row r="82">
      <c r="A82" t="n">
        <v>123</v>
      </c>
      <c r="B82" t="n">
        <v>6</v>
      </c>
      <c r="C82" t="n">
        <v>3</v>
      </c>
      <c r="D82" t="n">
        <v>1260339022</v>
      </c>
      <c r="E82" t="inlineStr"/>
      <c r="F82" t="inlineStr">
        <is>
          <t>Лаголово дер.</t>
        </is>
      </c>
      <c r="G82" t="n">
        <v>129.6</v>
      </c>
      <c r="H82" t="inlineStr">
        <is>
          <t>31 225 857</t>
        </is>
      </c>
      <c r="I82" t="inlineStr"/>
      <c r="J82" t="inlineStr"/>
      <c r="K82" t="inlineStr"/>
      <c r="L82" t="inlineStr"/>
      <c r="M82" t="inlineStr"/>
      <c r="N82" t="inlineStr">
        <is>
          <t>no</t>
        </is>
      </c>
      <c r="O82" t="inlineStr">
        <is>
          <t>none</t>
        </is>
      </c>
      <c r="P82">
        <f>HYPERLINK("https://knru.ru/catalog/lagolovo-der-1260339022/","ссылка")</f>
        <v/>
      </c>
      <c r="Q82" t="inlineStr"/>
      <c r="R82" t="inlineStr">
        <is>
          <t>Нет у нас</t>
        </is>
      </c>
      <c r="S82" t="n">
        <v>0</v>
      </c>
      <c r="T82" t="inlineStr">
        <is>
          <t>Совпадений по улице+дому не найдено</t>
        </is>
      </c>
      <c r="U82" t="n">
        <v>123</v>
      </c>
      <c r="V82" t="n">
        <v>6</v>
      </c>
      <c r="W82" t="n">
        <v>3</v>
      </c>
      <c r="X82" t="n">
        <v>31225857</v>
      </c>
      <c r="Y82" t="inlineStr"/>
      <c r="Z82" t="inlineStr"/>
      <c r="AA82" t="inlineStr">
        <is>
          <t>https://knru.ru/catalog/lagolovo-der-1260339022/</t>
        </is>
      </c>
      <c r="AB82" t="inlineStr">
        <is>
          <t>A</t>
        </is>
      </c>
    </row>
    <row r="83">
      <c r="A83" t="n">
        <v>124</v>
      </c>
      <c r="B83" t="n">
        <v>6</v>
      </c>
      <c r="C83" t="n">
        <v>4</v>
      </c>
      <c r="D83" t="n">
        <v>1250257382</v>
      </c>
      <c r="E83" t="inlineStr"/>
      <c r="F83" t="inlineStr">
        <is>
          <t>Лаголово дер.</t>
        </is>
      </c>
      <c r="G83" t="n">
        <v>80.40000000000001</v>
      </c>
      <c r="H83" t="inlineStr">
        <is>
          <t>20 143 360</t>
        </is>
      </c>
      <c r="I83" t="inlineStr"/>
      <c r="J83" t="inlineStr"/>
      <c r="K83" t="inlineStr"/>
      <c r="L83" t="inlineStr"/>
      <c r="M83" t="inlineStr"/>
      <c r="N83" t="inlineStr">
        <is>
          <t>yes</t>
        </is>
      </c>
      <c r="O83" t="inlineStr">
        <is>
          <t>pixel_heuristic</t>
        </is>
      </c>
      <c r="P83">
        <f>HYPERLINK("https://knru.ru/catalog/lagolovo-der-1250257382/","ссылка")</f>
        <v/>
      </c>
      <c r="Q83" t="inlineStr"/>
      <c r="R83" t="inlineStr">
        <is>
          <t>Нет у нас</t>
        </is>
      </c>
      <c r="S83" t="n">
        <v>0</v>
      </c>
      <c r="T83" t="inlineStr">
        <is>
          <t>Совпадений по улице+дому не найдено</t>
        </is>
      </c>
      <c r="U83" t="n">
        <v>124</v>
      </c>
      <c r="V83" t="n">
        <v>6</v>
      </c>
      <c r="W83" t="n">
        <v>4</v>
      </c>
      <c r="X83" t="n">
        <v>20143360</v>
      </c>
      <c r="Y83" t="inlineStr"/>
      <c r="Z83" t="inlineStr"/>
      <c r="AA83" t="inlineStr">
        <is>
          <t>https://knru.ru/catalog/lagolovo-der-1250257382/</t>
        </is>
      </c>
      <c r="AB83" t="inlineStr">
        <is>
          <t>A+</t>
        </is>
      </c>
    </row>
    <row r="84">
      <c r="A84" t="n">
        <v>125</v>
      </c>
      <c r="B84" t="n">
        <v>6</v>
      </c>
      <c r="C84" t="n">
        <v>5</v>
      </c>
      <c r="D84" t="n">
        <v>930266231</v>
      </c>
      <c r="E84" t="inlineStr"/>
      <c r="F84" t="inlineStr">
        <is>
          <t>Лаголово дер.</t>
        </is>
      </c>
      <c r="G84" t="n">
        <v>87.40000000000001</v>
      </c>
      <c r="H84" t="inlineStr">
        <is>
          <t>26 165 124</t>
        </is>
      </c>
      <c r="I84" t="inlineStr"/>
      <c r="J84" t="inlineStr"/>
      <c r="K84" t="inlineStr"/>
      <c r="L84" t="inlineStr"/>
      <c r="M84" t="inlineStr"/>
      <c r="N84" t="inlineStr">
        <is>
          <t>no</t>
        </is>
      </c>
      <c r="O84" t="inlineStr">
        <is>
          <t>none</t>
        </is>
      </c>
      <c r="P84">
        <f>HYPERLINK("https://knru.ru/catalog/lagolovo-der-930266231/","ссылка")</f>
        <v/>
      </c>
      <c r="Q84" t="inlineStr"/>
      <c r="R84" t="inlineStr">
        <is>
          <t>Нет у нас</t>
        </is>
      </c>
      <c r="S84" t="n">
        <v>0</v>
      </c>
      <c r="T84" t="inlineStr">
        <is>
          <t>Совпадений по улице+дому не найдено</t>
        </is>
      </c>
      <c r="U84" t="n">
        <v>125</v>
      </c>
      <c r="V84" t="n">
        <v>6</v>
      </c>
      <c r="W84" t="n">
        <v>5</v>
      </c>
      <c r="X84" t="n">
        <v>26165124</v>
      </c>
      <c r="Y84" t="inlineStr"/>
      <c r="Z84" t="inlineStr"/>
      <c r="AA84" t="inlineStr">
        <is>
          <t>https://knru.ru/catalog/lagolovo-der-930266231/</t>
        </is>
      </c>
      <c r="AB84" t="inlineStr">
        <is>
          <t>A</t>
        </is>
      </c>
    </row>
    <row r="85">
      <c r="A85" t="n">
        <v>126</v>
      </c>
      <c r="B85" t="n">
        <v>6</v>
      </c>
      <c r="C85" t="n">
        <v>6</v>
      </c>
      <c r="D85" t="n">
        <v>2056408885</v>
      </c>
      <c r="E85" t="inlineStr"/>
      <c r="F85" t="inlineStr">
        <is>
          <t>Лаголово дер.</t>
        </is>
      </c>
      <c r="G85" t="n">
        <v>38.7</v>
      </c>
      <c r="H85" t="inlineStr">
        <is>
          <t>12 694 636</t>
        </is>
      </c>
      <c r="I85" t="inlineStr"/>
      <c r="J85" t="inlineStr"/>
      <c r="K85" t="inlineStr"/>
      <c r="L85" t="inlineStr"/>
      <c r="M85" t="inlineStr"/>
      <c r="N85" t="inlineStr">
        <is>
          <t>no</t>
        </is>
      </c>
      <c r="O85" t="inlineStr">
        <is>
          <t>none</t>
        </is>
      </c>
      <c r="P85">
        <f>HYPERLINK("https://knru.ru/catalog/lagolovo-der-2056408885/","ссылка")</f>
        <v/>
      </c>
      <c r="Q85" t="inlineStr"/>
      <c r="R85" t="inlineStr">
        <is>
          <t>Нет у нас</t>
        </is>
      </c>
      <c r="S85" t="n">
        <v>0</v>
      </c>
      <c r="T85" t="inlineStr">
        <is>
          <t>Совпадений по улице+дому не найдено</t>
        </is>
      </c>
      <c r="U85" t="n">
        <v>126</v>
      </c>
      <c r="V85" t="n">
        <v>6</v>
      </c>
      <c r="W85" t="n">
        <v>6</v>
      </c>
      <c r="X85" t="n">
        <v>12694636</v>
      </c>
      <c r="Y85" t="inlineStr"/>
      <c r="Z85" t="inlineStr"/>
      <c r="AA85" t="inlineStr">
        <is>
          <t>https://knru.ru/catalog/lagolovo-der-2056408885/</t>
        </is>
      </c>
      <c r="AB85" t="inlineStr">
        <is>
          <t>A</t>
        </is>
      </c>
    </row>
    <row r="86">
      <c r="A86" t="n">
        <v>127</v>
      </c>
      <c r="B86" t="n">
        <v>6</v>
      </c>
      <c r="C86" t="n">
        <v>7</v>
      </c>
      <c r="D86" t="n">
        <v>1709136639</v>
      </c>
      <c r="E86" t="inlineStr"/>
      <c r="F86" t="inlineStr">
        <is>
          <t>Лаголово дер.</t>
        </is>
      </c>
      <c r="G86" t="n">
        <v>145.6</v>
      </c>
      <c r="H86" t="inlineStr">
        <is>
          <t>34 113 127</t>
        </is>
      </c>
      <c r="I86" t="inlineStr"/>
      <c r="J86" t="inlineStr"/>
      <c r="K86" t="inlineStr"/>
      <c r="L86" t="inlineStr"/>
      <c r="M86" t="inlineStr"/>
      <c r="N86" t="inlineStr">
        <is>
          <t>yes</t>
        </is>
      </c>
      <c r="O86" t="inlineStr">
        <is>
          <t>pixel_heuristic</t>
        </is>
      </c>
      <c r="P86">
        <f>HYPERLINK("https://knru.ru/catalog/lagolovo-der-1709136639/","ссылка")</f>
        <v/>
      </c>
      <c r="Q86" t="inlineStr"/>
      <c r="R86" t="inlineStr">
        <is>
          <t>Нет у нас</t>
        </is>
      </c>
      <c r="S86" t="n">
        <v>0</v>
      </c>
      <c r="T86" t="inlineStr">
        <is>
          <t>Совпадений по улице+дому не найдено</t>
        </is>
      </c>
      <c r="U86" t="n">
        <v>127</v>
      </c>
      <c r="V86" t="n">
        <v>6</v>
      </c>
      <c r="W86" t="n">
        <v>7</v>
      </c>
      <c r="X86" t="n">
        <v>34113127</v>
      </c>
      <c r="Y86" t="inlineStr"/>
      <c r="Z86" t="inlineStr"/>
      <c r="AA86" t="inlineStr">
        <is>
          <t>https://knru.ru/catalog/lagolovo-der-1709136639/</t>
        </is>
      </c>
      <c r="AB86" t="inlineStr">
        <is>
          <t>A+</t>
        </is>
      </c>
    </row>
    <row r="87">
      <c r="A87" t="n">
        <v>128</v>
      </c>
      <c r="B87" t="n">
        <v>6</v>
      </c>
      <c r="C87" t="n">
        <v>8</v>
      </c>
      <c r="D87" t="n">
        <v>244312918</v>
      </c>
      <c r="E87" t="inlineStr"/>
      <c r="F87" t="inlineStr">
        <is>
          <t>Лаголово дер.</t>
        </is>
      </c>
      <c r="G87" t="n">
        <v>185.8</v>
      </c>
      <c r="H87" t="inlineStr">
        <is>
          <t>39 348 807</t>
        </is>
      </c>
      <c r="I87" t="inlineStr"/>
      <c r="J87" t="inlineStr"/>
      <c r="K87" t="inlineStr"/>
      <c r="L87" t="inlineStr"/>
      <c r="M87" t="inlineStr"/>
      <c r="N87" t="inlineStr">
        <is>
          <t>yes</t>
        </is>
      </c>
      <c r="O87" t="inlineStr">
        <is>
          <t>pixel_heuristic</t>
        </is>
      </c>
      <c r="P87">
        <f>HYPERLINK("https://knru.ru/catalog/lagolovo-der-244312918/","ссылка")</f>
        <v/>
      </c>
      <c r="Q87" t="inlineStr"/>
      <c r="R87" t="inlineStr">
        <is>
          <t>Нет у нас</t>
        </is>
      </c>
      <c r="S87" t="n">
        <v>0</v>
      </c>
      <c r="T87" t="inlineStr">
        <is>
          <t>Совпадений по улице+дому не найдено</t>
        </is>
      </c>
      <c r="U87" t="n">
        <v>128</v>
      </c>
      <c r="V87" t="n">
        <v>6</v>
      </c>
      <c r="W87" t="n">
        <v>8</v>
      </c>
      <c r="X87" t="n">
        <v>39348807</v>
      </c>
      <c r="Y87" t="inlineStr"/>
      <c r="Z87" t="inlineStr"/>
      <c r="AA87" t="inlineStr">
        <is>
          <t>https://knru.ru/catalog/lagolovo-der-244312918/</t>
        </is>
      </c>
      <c r="AB87" t="inlineStr">
        <is>
          <t>A+</t>
        </is>
      </c>
    </row>
    <row r="88">
      <c r="A88" t="n">
        <v>129</v>
      </c>
      <c r="B88" t="n">
        <v>6</v>
      </c>
      <c r="C88" t="n">
        <v>9</v>
      </c>
      <c r="D88" t="inlineStr"/>
      <c r="E88" t="inlineStr"/>
      <c r="F88" t="inlineStr">
        <is>
          <t>Лаголово дер.</t>
        </is>
      </c>
      <c r="G88" t="n">
        <v>98.40000000000001</v>
      </c>
      <c r="H88" t="inlineStr">
        <is>
          <t>27 479 687</t>
        </is>
      </c>
      <c r="I88" t="inlineStr"/>
      <c r="J88" t="inlineStr"/>
      <c r="K88" t="inlineStr"/>
      <c r="L88" t="inlineStr"/>
      <c r="M88" t="inlineStr"/>
      <c r="N88" t="inlineStr">
        <is>
          <t>yes</t>
        </is>
      </c>
      <c r="O88" t="inlineStr">
        <is>
          <t>pixel_heuristic</t>
        </is>
      </c>
      <c r="P88">
        <f>HYPERLINK("https://knru.ru/catalog/lagolovo-der/","ссылка")</f>
        <v/>
      </c>
      <c r="Q88" t="inlineStr"/>
      <c r="R88" t="inlineStr">
        <is>
          <t>Нет у нас</t>
        </is>
      </c>
      <c r="S88" t="n">
        <v>0</v>
      </c>
      <c r="T88" t="inlineStr">
        <is>
          <t>Совпадений по улице+дому не найдено</t>
        </is>
      </c>
      <c r="U88" t="n">
        <v>129</v>
      </c>
      <c r="V88" t="n">
        <v>6</v>
      </c>
      <c r="W88" t="n">
        <v>9</v>
      </c>
      <c r="X88" t="n">
        <v>27479687</v>
      </c>
      <c r="Y88" t="inlineStr"/>
      <c r="Z88" t="inlineStr"/>
      <c r="AA88" t="inlineStr">
        <is>
          <t>https://knru.ru/catalog/lagolovo-der/</t>
        </is>
      </c>
      <c r="AB88" t="inlineStr">
        <is>
          <t>A+</t>
        </is>
      </c>
    </row>
    <row r="89">
      <c r="A89" t="n">
        <v>130</v>
      </c>
      <c r="B89" t="n">
        <v>6</v>
      </c>
      <c r="C89" t="n">
        <v>10</v>
      </c>
      <c r="D89" t="n">
        <v>39</v>
      </c>
      <c r="E89" t="inlineStr"/>
      <c r="F89" t="inlineStr">
        <is>
          <t>Чехова ул., д. 39</t>
        </is>
      </c>
      <c r="G89" t="n">
        <v>71.59999999999999</v>
      </c>
      <c r="H89" t="inlineStr">
        <is>
          <t>14 434 560</t>
        </is>
      </c>
      <c r="I89" t="inlineStr"/>
      <c r="J89" t="inlineStr"/>
      <c r="K89" t="inlineStr"/>
      <c r="L89" t="inlineStr"/>
      <c r="M89" t="inlineStr"/>
      <c r="N89" t="inlineStr">
        <is>
          <t>yes</t>
        </is>
      </c>
      <c r="O89" t="inlineStr">
        <is>
          <t>pixel_heuristic</t>
        </is>
      </c>
      <c r="P89">
        <f>HYPERLINK("https://knru.ru/catalog/chekhova-ul-d-39/","ссылка")</f>
        <v/>
      </c>
      <c r="Q89" t="inlineStr"/>
      <c r="R89" t="inlineStr">
        <is>
          <t>Нет у нас</t>
        </is>
      </c>
      <c r="S89" t="n">
        <v>0</v>
      </c>
      <c r="T89" t="inlineStr">
        <is>
          <t>Совпадений по улице+дому не найдено</t>
        </is>
      </c>
      <c r="U89" t="n">
        <v>130</v>
      </c>
      <c r="V89" t="n">
        <v>6</v>
      </c>
      <c r="W89" t="n">
        <v>10</v>
      </c>
      <c r="X89" t="n">
        <v>14434560</v>
      </c>
      <c r="Y89" t="inlineStr"/>
      <c r="Z89" t="inlineStr"/>
      <c r="AA89" t="inlineStr">
        <is>
          <t>https://knru.ru/catalog/chekhova-ul-d-39/</t>
        </is>
      </c>
      <c r="AB89" t="inlineStr">
        <is>
          <t>A+</t>
        </is>
      </c>
    </row>
    <row r="90">
      <c r="A90" t="n">
        <v>131</v>
      </c>
      <c r="B90" t="n">
        <v>6</v>
      </c>
      <c r="C90" t="n">
        <v>11</v>
      </c>
      <c r="D90" t="inlineStr"/>
      <c r="E90" t="inlineStr"/>
      <c r="F90" t="inlineStr">
        <is>
          <t>Мурино г.</t>
        </is>
      </c>
      <c r="G90" t="n">
        <v>86.90000000000001</v>
      </c>
      <c r="H90" t="inlineStr">
        <is>
          <t>23 093 505</t>
        </is>
      </c>
      <c r="I90" t="inlineStr"/>
      <c r="J90" t="inlineStr"/>
      <c r="K90" t="inlineStr"/>
      <c r="L90" t="inlineStr"/>
      <c r="M90" t="inlineStr"/>
      <c r="N90" t="inlineStr">
        <is>
          <t>yes</t>
        </is>
      </c>
      <c r="O90" t="inlineStr">
        <is>
          <t>pixel_heuristic</t>
        </is>
      </c>
      <c r="P90">
        <f>HYPERLINK("https://knru.ru/catalog/murino-g/","ссылка")</f>
        <v/>
      </c>
      <c r="Q90" t="inlineStr"/>
      <c r="R90" t="inlineStr">
        <is>
          <t>Нет у нас</t>
        </is>
      </c>
      <c r="S90" t="n">
        <v>0</v>
      </c>
      <c r="T90" t="inlineStr">
        <is>
          <t>Совпадений по улице+дому не найдено</t>
        </is>
      </c>
      <c r="U90" t="n">
        <v>131</v>
      </c>
      <c r="V90" t="n">
        <v>6</v>
      </c>
      <c r="W90" t="n">
        <v>11</v>
      </c>
      <c r="X90" t="n">
        <v>23093505</v>
      </c>
      <c r="Y90" t="inlineStr"/>
      <c r="Z90" t="inlineStr"/>
      <c r="AA90" t="inlineStr">
        <is>
          <t>https://knru.ru/catalog/murino-g/</t>
        </is>
      </c>
      <c r="AB90" t="inlineStr">
        <is>
          <t>A+</t>
        </is>
      </c>
    </row>
    <row r="91">
      <c r="A91" t="n">
        <v>132</v>
      </c>
      <c r="B91" t="n">
        <v>6</v>
      </c>
      <c r="C91" t="n">
        <v>12</v>
      </c>
      <c r="D91" t="n">
        <v>595659094</v>
      </c>
      <c r="E91" t="inlineStr"/>
      <c r="F91" t="inlineStr">
        <is>
          <t>Центральная ул., д. 30 к 1</t>
        </is>
      </c>
      <c r="G91" t="n">
        <v>84.8</v>
      </c>
      <c r="H91" t="inlineStr">
        <is>
          <t>15 427 887</t>
        </is>
      </c>
      <c r="I91" t="inlineStr"/>
      <c r="J91" t="inlineStr"/>
      <c r="K91" t="inlineStr"/>
      <c r="L91" t="inlineStr"/>
      <c r="M91" t="inlineStr"/>
      <c r="N91" t="inlineStr">
        <is>
          <t>yes</t>
        </is>
      </c>
      <c r="O91" t="inlineStr">
        <is>
          <t>pixel_heuristic</t>
        </is>
      </c>
      <c r="P91">
        <f>HYPERLINK("https://knru.ru/catalog/tsentralnaya-ul-d-30-k-1-595659094/","ссылка")</f>
        <v/>
      </c>
      <c r="Q91" t="inlineStr"/>
      <c r="R91" t="inlineStr">
        <is>
          <t>Нет у нас</t>
        </is>
      </c>
      <c r="S91" t="n">
        <v>0</v>
      </c>
      <c r="T91" t="inlineStr">
        <is>
          <t>Совпадений по улице+дому не найдено</t>
        </is>
      </c>
      <c r="U91" t="n">
        <v>132</v>
      </c>
      <c r="V91" t="n">
        <v>6</v>
      </c>
      <c r="W91" t="n">
        <v>12</v>
      </c>
      <c r="X91" t="n">
        <v>15427887</v>
      </c>
      <c r="Y91" t="inlineStr"/>
      <c r="Z91" t="inlineStr"/>
      <c r="AA91" t="inlineStr">
        <is>
          <t>https://knru.ru/catalog/tsentralnaya-ul-d-30-k-1-595659094/</t>
        </is>
      </c>
      <c r="AB91" t="inlineStr">
        <is>
          <t>A+</t>
        </is>
      </c>
    </row>
    <row r="92">
      <c r="A92" t="n">
        <v>133</v>
      </c>
      <c r="B92" t="n">
        <v>6</v>
      </c>
      <c r="C92" t="n">
        <v>13</v>
      </c>
      <c r="D92" t="n">
        <v>114678461</v>
      </c>
      <c r="E92" t="inlineStr"/>
      <c r="F92" t="inlineStr">
        <is>
          <t>Центральная ул., д. 30 к 1</t>
        </is>
      </c>
      <c r="G92" t="n">
        <v>119.9</v>
      </c>
      <c r="H92" t="inlineStr">
        <is>
          <t>21 494 887</t>
        </is>
      </c>
      <c r="I92" t="inlineStr"/>
      <c r="J92" t="inlineStr"/>
      <c r="K92" t="inlineStr"/>
      <c r="L92" t="inlineStr"/>
      <c r="M92" t="inlineStr"/>
      <c r="N92" t="inlineStr">
        <is>
          <t>yes</t>
        </is>
      </c>
      <c r="O92" t="inlineStr">
        <is>
          <t>pixel_heuristic</t>
        </is>
      </c>
      <c r="P92">
        <f>HYPERLINK("https://knru.ru/catalog/tsentralnaya-ul-d-30-k-1-114678461/","ссылка")</f>
        <v/>
      </c>
      <c r="Q92" t="inlineStr"/>
      <c r="R92" t="inlineStr">
        <is>
          <t>Нет у нас</t>
        </is>
      </c>
      <c r="S92" t="n">
        <v>0</v>
      </c>
      <c r="T92" t="inlineStr">
        <is>
          <t>Совпадений по улице+дому не найдено</t>
        </is>
      </c>
      <c r="U92" t="n">
        <v>133</v>
      </c>
      <c r="V92" t="n">
        <v>6</v>
      </c>
      <c r="W92" t="n">
        <v>13</v>
      </c>
      <c r="X92" t="n">
        <v>21494887</v>
      </c>
      <c r="Y92" t="inlineStr"/>
      <c r="Z92" t="inlineStr"/>
      <c r="AA92" t="inlineStr">
        <is>
          <t>https://knru.ru/catalog/tsentralnaya-ul-d-30-k-1-114678461/</t>
        </is>
      </c>
      <c r="AB92" t="inlineStr">
        <is>
          <t>A+</t>
        </is>
      </c>
    </row>
    <row r="93">
      <c r="A93" t="n">
        <v>134</v>
      </c>
      <c r="B93" t="n">
        <v>6</v>
      </c>
      <c r="C93" t="n">
        <v>14</v>
      </c>
      <c r="D93" t="n">
        <v>1580423848</v>
      </c>
      <c r="E93" t="inlineStr"/>
      <c r="F93" t="inlineStr">
        <is>
          <t>Центральная ул., д. 30 к 1</t>
        </is>
      </c>
      <c r="G93" t="n">
        <v>128</v>
      </c>
      <c r="H93" t="inlineStr">
        <is>
          <t>22 582 888</t>
        </is>
      </c>
      <c r="I93" t="inlineStr"/>
      <c r="J93" t="inlineStr"/>
      <c r="K93" t="inlineStr"/>
      <c r="L93" t="inlineStr"/>
      <c r="M93" t="inlineStr"/>
      <c r="N93" t="inlineStr">
        <is>
          <t>yes</t>
        </is>
      </c>
      <c r="O93" t="inlineStr">
        <is>
          <t>pixel_heuristic</t>
        </is>
      </c>
      <c r="P93">
        <f>HYPERLINK("https://knru.ru/catalog/tsentralnaya-ul-d-30-k-1-1580423848/","ссылка")</f>
        <v/>
      </c>
      <c r="Q93" t="inlineStr"/>
      <c r="R93" t="inlineStr">
        <is>
          <t>Нет у нас</t>
        </is>
      </c>
      <c r="S93" t="n">
        <v>0</v>
      </c>
      <c r="T93" t="inlineStr">
        <is>
          <t>Совпадений по улице+дому не найдено</t>
        </is>
      </c>
      <c r="U93" t="n">
        <v>134</v>
      </c>
      <c r="V93" t="n">
        <v>6</v>
      </c>
      <c r="W93" t="n">
        <v>14</v>
      </c>
      <c r="X93" t="n">
        <v>22582888</v>
      </c>
      <c r="Y93" t="inlineStr"/>
      <c r="Z93" t="inlineStr"/>
      <c r="AA93" t="inlineStr">
        <is>
          <t>https://knru.ru/catalog/tsentralnaya-ul-d-30-k-1-1580423848/</t>
        </is>
      </c>
      <c r="AB93" t="inlineStr">
        <is>
          <t>A+</t>
        </is>
      </c>
    </row>
    <row r="94">
      <c r="A94" t="n">
        <v>135</v>
      </c>
      <c r="B94" t="n">
        <v>6</v>
      </c>
      <c r="C94" t="n">
        <v>15</v>
      </c>
      <c r="D94" t="n">
        <v>1193388980</v>
      </c>
      <c r="E94" t="inlineStr"/>
      <c r="F94" t="inlineStr">
        <is>
          <t>Центральная ул., д. 30 к 1</t>
        </is>
      </c>
      <c r="G94" t="n">
        <v>119.6</v>
      </c>
      <c r="H94" t="inlineStr">
        <is>
          <t>21 175 887</t>
        </is>
      </c>
      <c r="I94" t="inlineStr"/>
      <c r="J94" t="inlineStr"/>
      <c r="K94" t="inlineStr"/>
      <c r="L94" t="inlineStr"/>
      <c r="M94" t="inlineStr"/>
      <c r="N94" t="inlineStr">
        <is>
          <t>yes</t>
        </is>
      </c>
      <c r="O94" t="inlineStr">
        <is>
          <t>pixel_heuristic</t>
        </is>
      </c>
      <c r="P94">
        <f>HYPERLINK("https://knru.ru/catalog/tsentralnaya-ul-d-30-k-1-1193388980/","ссылка")</f>
        <v/>
      </c>
      <c r="Q94" t="inlineStr"/>
      <c r="R94" t="inlineStr">
        <is>
          <t>Нет у нас</t>
        </is>
      </c>
      <c r="S94" t="n">
        <v>0</v>
      </c>
      <c r="T94" t="inlineStr">
        <is>
          <t>Совпадений по улице+дому не найдено</t>
        </is>
      </c>
      <c r="U94" t="n">
        <v>135</v>
      </c>
      <c r="V94" t="n">
        <v>6</v>
      </c>
      <c r="W94" t="n">
        <v>15</v>
      </c>
      <c r="X94" t="n">
        <v>21175887</v>
      </c>
      <c r="Y94" t="inlineStr"/>
      <c r="Z94" t="inlineStr"/>
      <c r="AA94" t="inlineStr">
        <is>
          <t>https://knru.ru/catalog/tsentralnaya-ul-d-30-k-1-1193388980/</t>
        </is>
      </c>
      <c r="AB94" t="inlineStr">
        <is>
          <t>A+</t>
        </is>
      </c>
    </row>
    <row r="95">
      <c r="A95" t="n">
        <v>136</v>
      </c>
      <c r="B95" t="n">
        <v>6</v>
      </c>
      <c r="C95" t="n">
        <v>16</v>
      </c>
      <c r="D95" t="n">
        <v>758658922</v>
      </c>
      <c r="E95" t="inlineStr"/>
      <c r="F95" t="inlineStr">
        <is>
          <t>Центральная ул., д. 30 к 1</t>
        </is>
      </c>
      <c r="G95" t="n">
        <v>151.6</v>
      </c>
      <c r="H95" t="inlineStr">
        <is>
          <t>26 626 888</t>
        </is>
      </c>
      <c r="I95" t="inlineStr"/>
      <c r="J95" t="inlineStr"/>
      <c r="K95" t="inlineStr"/>
      <c r="L95" t="inlineStr"/>
      <c r="M95" t="inlineStr"/>
      <c r="N95" t="inlineStr">
        <is>
          <t>yes</t>
        </is>
      </c>
      <c r="O95" t="inlineStr">
        <is>
          <t>pixel_heuristic</t>
        </is>
      </c>
      <c r="P95">
        <f>HYPERLINK("https://knru.ru/catalog/tsentralnaya-ul-d-30-k-1-758658922/","ссылка")</f>
        <v/>
      </c>
      <c r="Q95" t="inlineStr"/>
      <c r="R95" t="inlineStr">
        <is>
          <t>Нет у нас</t>
        </is>
      </c>
      <c r="S95" t="n">
        <v>0</v>
      </c>
      <c r="T95" t="inlineStr">
        <is>
          <t>Совпадений по улице+дому не найдено</t>
        </is>
      </c>
      <c r="U95" t="n">
        <v>136</v>
      </c>
      <c r="V95" t="n">
        <v>6</v>
      </c>
      <c r="W95" t="n">
        <v>16</v>
      </c>
      <c r="X95" t="n">
        <v>26626888</v>
      </c>
      <c r="Y95" t="inlineStr"/>
      <c r="Z95" t="inlineStr"/>
      <c r="AA95" t="inlineStr">
        <is>
          <t>https://knru.ru/catalog/tsentralnaya-ul-d-30-k-1-758658922/</t>
        </is>
      </c>
      <c r="AB95" t="inlineStr">
        <is>
          <t>A+</t>
        </is>
      </c>
    </row>
    <row r="96">
      <c r="A96" t="n">
        <v>137</v>
      </c>
      <c r="B96" t="n">
        <v>6</v>
      </c>
      <c r="C96" t="n">
        <v>17</v>
      </c>
      <c r="D96" t="n">
        <v>376052396</v>
      </c>
      <c r="E96" t="inlineStr"/>
      <c r="F96" t="inlineStr">
        <is>
          <t>Центральная ул., д. 30 к 1</t>
        </is>
      </c>
      <c r="G96" t="n">
        <v>105.1</v>
      </c>
      <c r="H96" t="inlineStr">
        <is>
          <t>20 207 887</t>
        </is>
      </c>
      <c r="I96" t="inlineStr"/>
      <c r="J96" t="inlineStr"/>
      <c r="K96" t="inlineStr"/>
      <c r="L96" t="inlineStr"/>
      <c r="M96" t="inlineStr"/>
      <c r="N96" t="inlineStr">
        <is>
          <t>yes</t>
        </is>
      </c>
      <c r="O96" t="inlineStr">
        <is>
          <t>pixel_heuristic</t>
        </is>
      </c>
      <c r="P96">
        <f>HYPERLINK("https://knru.ru/catalog/tsentralnaya-ul-d-30-k-1-376052396/","ссылка")</f>
        <v/>
      </c>
      <c r="Q96" t="inlineStr"/>
      <c r="R96" t="inlineStr">
        <is>
          <t>Нет у нас</t>
        </is>
      </c>
      <c r="S96" t="n">
        <v>0</v>
      </c>
      <c r="T96" t="inlineStr">
        <is>
          <t>Совпадений по улице+дому не найдено</t>
        </is>
      </c>
      <c r="U96" t="n">
        <v>137</v>
      </c>
      <c r="V96" t="n">
        <v>6</v>
      </c>
      <c r="W96" t="n">
        <v>17</v>
      </c>
      <c r="X96" t="n">
        <v>20207887</v>
      </c>
      <c r="Y96" t="inlineStr"/>
      <c r="Z96" t="inlineStr"/>
      <c r="AA96" t="inlineStr">
        <is>
          <t>https://knru.ru/catalog/tsentralnaya-ul-d-30-k-1-376052396/</t>
        </is>
      </c>
      <c r="AB96" t="inlineStr">
        <is>
          <t>A+</t>
        </is>
      </c>
    </row>
    <row r="97">
      <c r="A97" t="n">
        <v>138</v>
      </c>
      <c r="B97" t="n">
        <v>6</v>
      </c>
      <c r="C97" t="n">
        <v>18</v>
      </c>
      <c r="D97" t="n">
        <v>697106656</v>
      </c>
      <c r="E97" t="inlineStr"/>
      <c r="F97" t="inlineStr">
        <is>
          <t>Центральная ул., д. 30 к 1</t>
        </is>
      </c>
      <c r="G97" t="n">
        <v>85.7</v>
      </c>
      <c r="H97" t="inlineStr">
        <is>
          <t>15 589 887</t>
        </is>
      </c>
      <c r="I97" t="inlineStr"/>
      <c r="J97" t="inlineStr"/>
      <c r="K97" t="inlineStr"/>
      <c r="L97" t="inlineStr"/>
      <c r="M97" t="inlineStr"/>
      <c r="N97" t="inlineStr">
        <is>
          <t>yes</t>
        </is>
      </c>
      <c r="O97" t="inlineStr">
        <is>
          <t>pixel_heuristic</t>
        </is>
      </c>
      <c r="P97">
        <f>HYPERLINK("https://knru.ru/catalog/tsentralnaya-ul-d-30-k-1-697106656/","ссылка")</f>
        <v/>
      </c>
      <c r="Q97" t="inlineStr"/>
      <c r="R97" t="inlineStr">
        <is>
          <t>Нет у нас</t>
        </is>
      </c>
      <c r="S97" t="n">
        <v>0</v>
      </c>
      <c r="T97" t="inlineStr">
        <is>
          <t>Совпадений по улице+дому не найдено</t>
        </is>
      </c>
      <c r="U97" t="n">
        <v>138</v>
      </c>
      <c r="V97" t="n">
        <v>6</v>
      </c>
      <c r="W97" t="n">
        <v>18</v>
      </c>
      <c r="X97" t="n">
        <v>15589887</v>
      </c>
      <c r="Y97" t="inlineStr"/>
      <c r="Z97" t="inlineStr"/>
      <c r="AA97" t="inlineStr">
        <is>
          <t>https://knru.ru/catalog/tsentralnaya-ul-d-30-k-1-697106656/</t>
        </is>
      </c>
      <c r="AB97" t="inlineStr">
        <is>
          <t>A+</t>
        </is>
      </c>
    </row>
    <row r="98">
      <c r="A98" t="n">
        <v>139</v>
      </c>
      <c r="B98" t="n">
        <v>6</v>
      </c>
      <c r="C98" t="n">
        <v>19</v>
      </c>
      <c r="D98" t="n">
        <v>934098873</v>
      </c>
      <c r="E98" t="inlineStr"/>
      <c r="F98" t="inlineStr">
        <is>
          <t>Центральная ул., д. 30 к 1</t>
        </is>
      </c>
      <c r="G98" t="n">
        <v>105.1</v>
      </c>
      <c r="H98" t="inlineStr">
        <is>
          <t>18 407 887</t>
        </is>
      </c>
      <c r="I98" t="inlineStr"/>
      <c r="J98" t="inlineStr"/>
      <c r="K98" t="inlineStr"/>
      <c r="L98" t="inlineStr"/>
      <c r="M98" t="inlineStr"/>
      <c r="N98" t="inlineStr">
        <is>
          <t>yes</t>
        </is>
      </c>
      <c r="O98" t="inlineStr">
        <is>
          <t>pixel_heuristic</t>
        </is>
      </c>
      <c r="P98">
        <f>HYPERLINK("https://knru.ru/catalog/tsentralnaya-ul-d-30-k-1-934098873/","ссылка")</f>
        <v/>
      </c>
      <c r="Q98" t="inlineStr"/>
      <c r="R98" t="inlineStr">
        <is>
          <t>Нет у нас</t>
        </is>
      </c>
      <c r="S98" t="n">
        <v>0</v>
      </c>
      <c r="T98" t="inlineStr">
        <is>
          <t>Совпадений по улице+дому не найдено</t>
        </is>
      </c>
      <c r="U98" t="n">
        <v>139</v>
      </c>
      <c r="V98" t="n">
        <v>6</v>
      </c>
      <c r="W98" t="n">
        <v>19</v>
      </c>
      <c r="X98" t="n">
        <v>18407887</v>
      </c>
      <c r="Y98" t="inlineStr"/>
      <c r="Z98" t="inlineStr"/>
      <c r="AA98" t="inlineStr">
        <is>
          <t>https://knru.ru/catalog/tsentralnaya-ul-d-30-k-1-934098873/</t>
        </is>
      </c>
      <c r="AB98" t="inlineStr">
        <is>
          <t>A+</t>
        </is>
      </c>
    </row>
    <row r="99">
      <c r="A99" t="n">
        <v>140</v>
      </c>
      <c r="B99" t="n">
        <v>6</v>
      </c>
      <c r="C99" t="n">
        <v>20</v>
      </c>
      <c r="D99" t="n">
        <v>1</v>
      </c>
      <c r="E99" t="inlineStr"/>
      <c r="F99" t="inlineStr">
        <is>
          <t>Центральная ул., д. 30 к 1</t>
        </is>
      </c>
      <c r="G99" t="n">
        <v>98</v>
      </c>
      <c r="H99" t="inlineStr">
        <is>
          <t>18 210 887</t>
        </is>
      </c>
      <c r="I99" t="inlineStr"/>
      <c r="J99" t="inlineStr"/>
      <c r="K99" t="inlineStr"/>
      <c r="L99" t="inlineStr"/>
      <c r="M99" t="inlineStr"/>
      <c r="N99" t="inlineStr">
        <is>
          <t>yes</t>
        </is>
      </c>
      <c r="O99" t="inlineStr">
        <is>
          <t>pixel_heuristic</t>
        </is>
      </c>
      <c r="P99">
        <f>HYPERLINK("https://knru.ru/catalog/tsentralnaya-ul-d-30-k-1/","ссылка")</f>
        <v/>
      </c>
      <c r="Q99" t="inlineStr"/>
      <c r="R99" t="inlineStr">
        <is>
          <t>Нет у нас</t>
        </is>
      </c>
      <c r="S99" t="n">
        <v>0</v>
      </c>
      <c r="T99" t="inlineStr">
        <is>
          <t>Совпадений по улице+дому не найдено</t>
        </is>
      </c>
      <c r="U99" t="n">
        <v>140</v>
      </c>
      <c r="V99" t="n">
        <v>6</v>
      </c>
      <c r="W99" t="n">
        <v>20</v>
      </c>
      <c r="X99" t="n">
        <v>18210887</v>
      </c>
      <c r="Y99" t="inlineStr"/>
      <c r="Z99" t="inlineStr"/>
      <c r="AA99" t="inlineStr">
        <is>
          <t>https://knru.ru/catalog/tsentralnaya-ul-d-30-k-1/</t>
        </is>
      </c>
      <c r="AB99" t="inlineStr">
        <is>
          <t>A+</t>
        </is>
      </c>
    </row>
    <row r="100">
      <c r="A100" t="n">
        <v>149</v>
      </c>
      <c r="B100" t="n">
        <v>7</v>
      </c>
      <c r="C100" t="n">
        <v>5</v>
      </c>
      <c r="D100" t="n">
        <v>4</v>
      </c>
      <c r="E100" t="inlineStr"/>
      <c r="F100" t="inlineStr">
        <is>
          <t>Парковая ул., д. дом 6 корпус 4</t>
        </is>
      </c>
      <c r="G100" t="n">
        <v>70.09999999999999</v>
      </c>
      <c r="H100" t="inlineStr">
        <is>
          <t>15 422 000</t>
        </is>
      </c>
      <c r="I100" t="inlineStr"/>
      <c r="J100" t="inlineStr"/>
      <c r="K100" t="inlineStr"/>
      <c r="L100" t="inlineStr"/>
      <c r="M100" t="inlineStr"/>
      <c r="N100" t="inlineStr">
        <is>
          <t>yes</t>
        </is>
      </c>
      <c r="O100" t="inlineStr">
        <is>
          <t>pixel_heuristic</t>
        </is>
      </c>
      <c r="P100">
        <f>HYPERLINK("https://knru.ru/catalog/parkovaya-ul-d-dom-6-korpus-4/","ссылка")</f>
        <v/>
      </c>
      <c r="Q100" t="inlineStr"/>
      <c r="R100" t="inlineStr">
        <is>
          <t>Нет у нас</t>
        </is>
      </c>
      <c r="S100" t="n">
        <v>0</v>
      </c>
      <c r="T100" t="inlineStr">
        <is>
          <t>Совпадений по улице+дому не найдено</t>
        </is>
      </c>
      <c r="U100" t="n">
        <v>149</v>
      </c>
      <c r="V100" t="n">
        <v>7</v>
      </c>
      <c r="W100" t="n">
        <v>5</v>
      </c>
      <c r="X100" t="n">
        <v>15422000</v>
      </c>
      <c r="Y100" t="inlineStr"/>
      <c r="Z100" t="inlineStr"/>
      <c r="AA100" t="inlineStr">
        <is>
          <t>https://knru.ru/catalog/parkovaya-ul-d-dom-6-korpus-4/</t>
        </is>
      </c>
      <c r="AB100" t="inlineStr">
        <is>
          <t>A+</t>
        </is>
      </c>
    </row>
    <row r="101">
      <c r="A101" t="n">
        <v>150</v>
      </c>
      <c r="B101" t="n">
        <v>7</v>
      </c>
      <c r="C101" t="n">
        <v>6</v>
      </c>
      <c r="D101" t="n">
        <v>460125947</v>
      </c>
      <c r="E101" t="inlineStr">
        <is>
          <t>Красногвардейский</t>
        </is>
      </c>
      <c r="F101" t="inlineStr">
        <is>
          <t>Ириновский пр.</t>
        </is>
      </c>
      <c r="G101" t="n">
        <v>13.5</v>
      </c>
      <c r="H101" t="inlineStr">
        <is>
          <t>5 809 300</t>
        </is>
      </c>
      <c r="I101" t="inlineStr"/>
      <c r="J101" t="inlineStr"/>
      <c r="K101" t="inlineStr"/>
      <c r="L101" t="inlineStr"/>
      <c r="M101" t="inlineStr"/>
      <c r="N101" t="inlineStr">
        <is>
          <t>yes</t>
        </is>
      </c>
      <c r="O101" t="inlineStr">
        <is>
          <t>pixel_heuristic</t>
        </is>
      </c>
      <c r="P101">
        <f>HYPERLINK("https://knru.ru/catalog/irinovskiy-pr-460125947/","ссылка")</f>
        <v/>
      </c>
      <c r="Q101" t="inlineStr"/>
      <c r="R101" t="inlineStr">
        <is>
          <t>Нет у нас</t>
        </is>
      </c>
      <c r="S101" t="n">
        <v>0</v>
      </c>
      <c r="T101" t="inlineStr">
        <is>
          <t>Совпадений по улице+дому не найдено</t>
        </is>
      </c>
      <c r="U101" t="n">
        <v>150</v>
      </c>
      <c r="V101" t="n">
        <v>7</v>
      </c>
      <c r="W101" t="n">
        <v>6</v>
      </c>
      <c r="X101" t="n">
        <v>5809300</v>
      </c>
      <c r="Y101" t="inlineStr"/>
      <c r="Z101" t="inlineStr"/>
      <c r="AA101" t="inlineStr">
        <is>
          <t>https://knru.ru/catalog/irinovskiy-pr-460125947/</t>
        </is>
      </c>
      <c r="AB101" t="inlineStr">
        <is>
          <t>A+</t>
        </is>
      </c>
    </row>
    <row r="102">
      <c r="A102" t="n">
        <v>151</v>
      </c>
      <c r="B102" t="n">
        <v>7</v>
      </c>
      <c r="C102" t="n">
        <v>7</v>
      </c>
      <c r="D102" t="n">
        <v>285406738</v>
      </c>
      <c r="E102" t="inlineStr">
        <is>
          <t>Красногвардейский</t>
        </is>
      </c>
      <c r="F102" t="inlineStr">
        <is>
          <t>Ириновский пр.</t>
        </is>
      </c>
      <c r="G102" t="n">
        <v>13.2</v>
      </c>
      <c r="H102" t="inlineStr">
        <is>
          <t>5 658 800</t>
        </is>
      </c>
      <c r="I102" t="inlineStr"/>
      <c r="J102" t="inlineStr"/>
      <c r="K102" t="inlineStr"/>
      <c r="L102" t="inlineStr"/>
      <c r="M102" t="inlineStr"/>
      <c r="N102" t="inlineStr">
        <is>
          <t>yes</t>
        </is>
      </c>
      <c r="O102" t="inlineStr">
        <is>
          <t>pixel_heuristic</t>
        </is>
      </c>
      <c r="P102">
        <f>HYPERLINK("https://knru.ru/catalog/irinovskiy-pr-285406738/","ссылка")</f>
        <v/>
      </c>
      <c r="Q102" t="inlineStr"/>
      <c r="R102" t="inlineStr">
        <is>
          <t>Нет у нас</t>
        </is>
      </c>
      <c r="S102" t="n">
        <v>0</v>
      </c>
      <c r="T102" t="inlineStr">
        <is>
          <t>Совпадений по улице+дому не найдено</t>
        </is>
      </c>
      <c r="U102" t="n">
        <v>151</v>
      </c>
      <c r="V102" t="n">
        <v>7</v>
      </c>
      <c r="W102" t="n">
        <v>7</v>
      </c>
      <c r="X102" t="n">
        <v>5658800</v>
      </c>
      <c r="Y102" t="inlineStr"/>
      <c r="Z102" t="inlineStr"/>
      <c r="AA102" t="inlineStr">
        <is>
          <t>https://knru.ru/catalog/irinovskiy-pr-285406738/</t>
        </is>
      </c>
      <c r="AB102" t="inlineStr">
        <is>
          <t>A+</t>
        </is>
      </c>
    </row>
    <row r="103">
      <c r="A103" t="n">
        <v>152</v>
      </c>
      <c r="B103" t="n">
        <v>7</v>
      </c>
      <c r="C103" t="n">
        <v>8</v>
      </c>
      <c r="D103" t="n">
        <v>31766919</v>
      </c>
      <c r="E103" t="inlineStr">
        <is>
          <t>Красногвардейский</t>
        </is>
      </c>
      <c r="F103" t="inlineStr">
        <is>
          <t>Ириновский пр.</t>
        </is>
      </c>
      <c r="G103" t="n">
        <v>197.8</v>
      </c>
      <c r="H103" t="inlineStr">
        <is>
          <t>69 244 000</t>
        </is>
      </c>
      <c r="I103" t="inlineStr"/>
      <c r="J103" t="inlineStr"/>
      <c r="K103" t="inlineStr"/>
      <c r="L103" t="inlineStr"/>
      <c r="M103" t="inlineStr"/>
      <c r="N103" t="inlineStr">
        <is>
          <t>yes</t>
        </is>
      </c>
      <c r="O103" t="inlineStr">
        <is>
          <t>pixel_heuristic</t>
        </is>
      </c>
      <c r="P103">
        <f>HYPERLINK("https://knru.ru/catalog/irinovskiy-pr-31766919/","ссылка")</f>
        <v/>
      </c>
      <c r="Q103" t="inlineStr"/>
      <c r="R103" t="inlineStr">
        <is>
          <t>Нет у нас</t>
        </is>
      </c>
      <c r="S103" t="n">
        <v>0</v>
      </c>
      <c r="T103" t="inlineStr">
        <is>
          <t>Совпадений по улице+дому не найдено</t>
        </is>
      </c>
      <c r="U103" t="n">
        <v>152</v>
      </c>
      <c r="V103" t="n">
        <v>7</v>
      </c>
      <c r="W103" t="n">
        <v>8</v>
      </c>
      <c r="X103" t="n">
        <v>69244000</v>
      </c>
      <c r="Y103" t="inlineStr"/>
      <c r="Z103" t="inlineStr"/>
      <c r="AA103" t="inlineStr">
        <is>
          <t>https://knru.ru/catalog/irinovskiy-pr-31766919/</t>
        </is>
      </c>
      <c r="AB103" t="inlineStr">
        <is>
          <t>A+</t>
        </is>
      </c>
    </row>
    <row r="104">
      <c r="A104" t="n">
        <v>153</v>
      </c>
      <c r="B104" t="n">
        <v>7</v>
      </c>
      <c r="C104" t="n">
        <v>9</v>
      </c>
      <c r="D104" t="n">
        <v>635694419</v>
      </c>
      <c r="E104" t="inlineStr">
        <is>
          <t>Красногвардейский</t>
        </is>
      </c>
      <c r="F104" t="inlineStr">
        <is>
          <t>Ириновский пр.</t>
        </is>
      </c>
      <c r="G104" t="n">
        <v>1334.3</v>
      </c>
      <c r="H104" t="inlineStr">
        <is>
          <t>266 852 000</t>
        </is>
      </c>
      <c r="I104" t="inlineStr"/>
      <c r="J104" t="inlineStr"/>
      <c r="K104" t="inlineStr"/>
      <c r="L104" t="inlineStr"/>
      <c r="M104" t="inlineStr"/>
      <c r="N104" t="inlineStr">
        <is>
          <t>yes</t>
        </is>
      </c>
      <c r="O104" t="inlineStr">
        <is>
          <t>pixel_heuristic</t>
        </is>
      </c>
      <c r="P104">
        <f>HYPERLINK("https://knru.ru/catalog/irinovskiy-pr-635694419/","ссылка")</f>
        <v/>
      </c>
      <c r="Q104" t="inlineStr"/>
      <c r="R104" t="inlineStr">
        <is>
          <t>Нет у нас</t>
        </is>
      </c>
      <c r="S104" t="n">
        <v>0</v>
      </c>
      <c r="T104" t="inlineStr">
        <is>
          <t>Совпадений по улице+дому не найдено</t>
        </is>
      </c>
      <c r="U104" t="n">
        <v>153</v>
      </c>
      <c r="V104" t="n">
        <v>7</v>
      </c>
      <c r="W104" t="n">
        <v>9</v>
      </c>
      <c r="X104" t="n">
        <v>266852000</v>
      </c>
      <c r="Y104" t="inlineStr"/>
      <c r="Z104" t="inlineStr"/>
      <c r="AA104" t="inlineStr">
        <is>
          <t>https://knru.ru/catalog/irinovskiy-pr-635694419/</t>
        </is>
      </c>
      <c r="AB104" t="inlineStr">
        <is>
          <t>A+</t>
        </is>
      </c>
    </row>
    <row r="105">
      <c r="A105" t="n">
        <v>154</v>
      </c>
      <c r="B105" t="n">
        <v>7</v>
      </c>
      <c r="C105" t="n">
        <v>10</v>
      </c>
      <c r="D105" t="n">
        <v>975939260</v>
      </c>
      <c r="E105" t="inlineStr">
        <is>
          <t>Красногвардейский</t>
        </is>
      </c>
      <c r="F105" t="inlineStr">
        <is>
          <t>Ириновский пр.</t>
        </is>
      </c>
      <c r="G105" t="n">
        <v>589.4</v>
      </c>
      <c r="H105" t="inlineStr">
        <is>
          <t>117 874 000</t>
        </is>
      </c>
      <c r="I105" t="inlineStr"/>
      <c r="J105" t="inlineStr"/>
      <c r="K105" t="inlineStr"/>
      <c r="L105" t="inlineStr"/>
      <c r="M105" t="inlineStr"/>
      <c r="N105" t="inlineStr">
        <is>
          <t>yes</t>
        </is>
      </c>
      <c r="O105" t="inlineStr">
        <is>
          <t>pixel_heuristic</t>
        </is>
      </c>
      <c r="P105">
        <f>HYPERLINK("https://knru.ru/catalog/irinovskiy-pr-975939260/","ссылка")</f>
        <v/>
      </c>
      <c r="Q105" t="inlineStr"/>
      <c r="R105" t="inlineStr">
        <is>
          <t>Нет у нас</t>
        </is>
      </c>
      <c r="S105" t="n">
        <v>0</v>
      </c>
      <c r="T105" t="inlineStr">
        <is>
          <t>Совпадений по улице+дому не найдено</t>
        </is>
      </c>
      <c r="U105" t="n">
        <v>154</v>
      </c>
      <c r="V105" t="n">
        <v>7</v>
      </c>
      <c r="W105" t="n">
        <v>10</v>
      </c>
      <c r="X105" t="n">
        <v>117874000</v>
      </c>
      <c r="Y105" t="inlineStr"/>
      <c r="Z105" t="inlineStr"/>
      <c r="AA105" t="inlineStr">
        <is>
          <t>https://knru.ru/catalog/irinovskiy-pr-975939260/</t>
        </is>
      </c>
      <c r="AB105" t="inlineStr">
        <is>
          <t>A+</t>
        </is>
      </c>
    </row>
    <row r="106">
      <c r="A106" t="n">
        <v>155</v>
      </c>
      <c r="B106" t="n">
        <v>7</v>
      </c>
      <c r="C106" t="n">
        <v>11</v>
      </c>
      <c r="D106" t="n">
        <v>662333169</v>
      </c>
      <c r="E106" t="inlineStr">
        <is>
          <t>Красногвардейский</t>
        </is>
      </c>
      <c r="F106" t="inlineStr">
        <is>
          <t>Ириновский пр.</t>
        </is>
      </c>
      <c r="G106" t="n">
        <v>523.7</v>
      </c>
      <c r="H106" t="inlineStr">
        <is>
          <t>104 732 000</t>
        </is>
      </c>
      <c r="I106" t="inlineStr"/>
      <c r="J106" t="inlineStr"/>
      <c r="K106" t="inlineStr"/>
      <c r="L106" t="inlineStr"/>
      <c r="M106" t="inlineStr"/>
      <c r="N106" t="inlineStr">
        <is>
          <t>yes</t>
        </is>
      </c>
      <c r="O106" t="inlineStr">
        <is>
          <t>pixel_heuristic</t>
        </is>
      </c>
      <c r="P106">
        <f>HYPERLINK("https://knru.ru/catalog/irinovskiy-pr-662333169/","ссылка")</f>
        <v/>
      </c>
      <c r="Q106" t="inlineStr"/>
      <c r="R106" t="inlineStr">
        <is>
          <t>Нет у нас</t>
        </is>
      </c>
      <c r="S106" t="n">
        <v>0</v>
      </c>
      <c r="T106" t="inlineStr">
        <is>
          <t>Совпадений по улице+дому не найдено</t>
        </is>
      </c>
      <c r="U106" t="n">
        <v>155</v>
      </c>
      <c r="V106" t="n">
        <v>7</v>
      </c>
      <c r="W106" t="n">
        <v>11</v>
      </c>
      <c r="X106" t="n">
        <v>104732000</v>
      </c>
      <c r="Y106" t="inlineStr"/>
      <c r="Z106" t="inlineStr"/>
      <c r="AA106" t="inlineStr">
        <is>
          <t>https://knru.ru/catalog/irinovskiy-pr-662333169/</t>
        </is>
      </c>
      <c r="AB106" t="inlineStr">
        <is>
          <t>A+</t>
        </is>
      </c>
    </row>
    <row r="107">
      <c r="A107" t="n">
        <v>156</v>
      </c>
      <c r="B107" t="n">
        <v>7</v>
      </c>
      <c r="C107" t="n">
        <v>12</v>
      </c>
      <c r="D107" t="n">
        <v>337715645</v>
      </c>
      <c r="E107" t="inlineStr">
        <is>
          <t>Красногвардейский</t>
        </is>
      </c>
      <c r="F107" t="inlineStr">
        <is>
          <t>Ириновский пр.</t>
        </is>
      </c>
      <c r="G107" t="n">
        <v>64.5</v>
      </c>
      <c r="H107" t="inlineStr">
        <is>
          <t>13 555 500</t>
        </is>
      </c>
      <c r="I107" t="inlineStr"/>
      <c r="J107" t="inlineStr"/>
      <c r="K107" t="inlineStr"/>
      <c r="L107" t="inlineStr"/>
      <c r="M107" t="inlineStr"/>
      <c r="N107" t="inlineStr">
        <is>
          <t>yes</t>
        </is>
      </c>
      <c r="O107" t="inlineStr">
        <is>
          <t>pixel_heuristic</t>
        </is>
      </c>
      <c r="P107">
        <f>HYPERLINK("https://knru.ru/catalog/irinovskiy-pr-337715645/","ссылка")</f>
        <v/>
      </c>
      <c r="Q107" t="inlineStr"/>
      <c r="R107" t="inlineStr">
        <is>
          <t>Нет у нас</t>
        </is>
      </c>
      <c r="S107" t="n">
        <v>0</v>
      </c>
      <c r="T107" t="inlineStr">
        <is>
          <t>Совпадений по улице+дому не найдено</t>
        </is>
      </c>
      <c r="U107" t="n">
        <v>156</v>
      </c>
      <c r="V107" t="n">
        <v>7</v>
      </c>
      <c r="W107" t="n">
        <v>12</v>
      </c>
      <c r="X107" t="n">
        <v>13555500</v>
      </c>
      <c r="Y107" t="inlineStr"/>
      <c r="Z107" t="inlineStr"/>
      <c r="AA107" t="inlineStr">
        <is>
          <t>https://knru.ru/catalog/irinovskiy-pr-337715645/</t>
        </is>
      </c>
      <c r="AB107" t="inlineStr">
        <is>
          <t>A+</t>
        </is>
      </c>
    </row>
    <row r="108">
      <c r="A108" t="n">
        <v>157</v>
      </c>
      <c r="B108" t="n">
        <v>7</v>
      </c>
      <c r="C108" t="n">
        <v>13</v>
      </c>
      <c r="D108" t="n">
        <v>925794499</v>
      </c>
      <c r="E108" t="inlineStr">
        <is>
          <t>Красногвардейский</t>
        </is>
      </c>
      <c r="F108" t="inlineStr">
        <is>
          <t>Ириновский пр.</t>
        </is>
      </c>
      <c r="G108" t="n">
        <v>90.90000000000001</v>
      </c>
      <c r="H108" t="inlineStr">
        <is>
          <t>19 089 000</t>
        </is>
      </c>
      <c r="I108" t="inlineStr"/>
      <c r="J108" t="inlineStr"/>
      <c r="K108" t="inlineStr"/>
      <c r="L108" t="inlineStr"/>
      <c r="M108" t="inlineStr"/>
      <c r="N108" t="inlineStr">
        <is>
          <t>yes</t>
        </is>
      </c>
      <c r="O108" t="inlineStr">
        <is>
          <t>pixel_heuristic</t>
        </is>
      </c>
      <c r="P108">
        <f>HYPERLINK("https://knru.ru/catalog/irinovskiy-pr-925794499/","ссылка")</f>
        <v/>
      </c>
      <c r="Q108" t="inlineStr"/>
      <c r="R108" t="inlineStr">
        <is>
          <t>Нет у нас</t>
        </is>
      </c>
      <c r="S108" t="n">
        <v>0</v>
      </c>
      <c r="T108" t="inlineStr">
        <is>
          <t>Совпадений по улице+дому не найдено</t>
        </is>
      </c>
      <c r="U108" t="n">
        <v>157</v>
      </c>
      <c r="V108" t="n">
        <v>7</v>
      </c>
      <c r="W108" t="n">
        <v>13</v>
      </c>
      <c r="X108" t="n">
        <v>19089000</v>
      </c>
      <c r="Y108" t="inlineStr"/>
      <c r="Z108" t="inlineStr"/>
      <c r="AA108" t="inlineStr">
        <is>
          <t>https://knru.ru/catalog/irinovskiy-pr-925794499/</t>
        </is>
      </c>
      <c r="AB108" t="inlineStr">
        <is>
          <t>A+</t>
        </is>
      </c>
    </row>
    <row r="109">
      <c r="A109" t="n">
        <v>158</v>
      </c>
      <c r="B109" t="n">
        <v>7</v>
      </c>
      <c r="C109" t="n">
        <v>14</v>
      </c>
      <c r="D109" t="n">
        <v>313769586</v>
      </c>
      <c r="E109" t="inlineStr">
        <is>
          <t>Красногвардейский</t>
        </is>
      </c>
      <c r="F109" t="inlineStr">
        <is>
          <t>Ириновский пр.</t>
        </is>
      </c>
      <c r="G109" t="n">
        <v>85.59999999999999</v>
      </c>
      <c r="H109" t="inlineStr">
        <is>
          <t>17 969 700</t>
        </is>
      </c>
      <c r="I109" t="inlineStr"/>
      <c r="J109" t="inlineStr"/>
      <c r="K109" t="inlineStr"/>
      <c r="L109" t="inlineStr"/>
      <c r="M109" t="inlineStr"/>
      <c r="N109" t="inlineStr">
        <is>
          <t>yes</t>
        </is>
      </c>
      <c r="O109" t="inlineStr">
        <is>
          <t>pixel_heuristic</t>
        </is>
      </c>
      <c r="P109">
        <f>HYPERLINK("https://knru.ru/catalog/irinovskiy-pr-313769586/","ссылка")</f>
        <v/>
      </c>
      <c r="Q109" t="inlineStr"/>
      <c r="R109" t="inlineStr">
        <is>
          <t>Нет у нас</t>
        </is>
      </c>
      <c r="S109" t="n">
        <v>0</v>
      </c>
      <c r="T109" t="inlineStr">
        <is>
          <t>Совпадений по улице+дому не найдено</t>
        </is>
      </c>
      <c r="U109" t="n">
        <v>158</v>
      </c>
      <c r="V109" t="n">
        <v>7</v>
      </c>
      <c r="W109" t="n">
        <v>14</v>
      </c>
      <c r="X109" t="n">
        <v>17969700</v>
      </c>
      <c r="Y109" t="inlineStr"/>
      <c r="Z109" t="inlineStr"/>
      <c r="AA109" t="inlineStr">
        <is>
          <t>https://knru.ru/catalog/irinovskiy-pr-313769586/</t>
        </is>
      </c>
      <c r="AB109" t="inlineStr">
        <is>
          <t>A+</t>
        </is>
      </c>
    </row>
    <row r="110">
      <c r="A110" t="n">
        <v>159</v>
      </c>
      <c r="B110" t="n">
        <v>7</v>
      </c>
      <c r="C110" t="n">
        <v>15</v>
      </c>
      <c r="D110" t="n">
        <v>1481118307</v>
      </c>
      <c r="E110" t="inlineStr">
        <is>
          <t>Красногвардейский</t>
        </is>
      </c>
      <c r="F110" t="inlineStr">
        <is>
          <t>Ириновский пр.</t>
        </is>
      </c>
      <c r="G110" t="n">
        <v>154.2</v>
      </c>
      <c r="H110" t="inlineStr">
        <is>
          <t>32 392 500</t>
        </is>
      </c>
      <c r="I110" t="inlineStr"/>
      <c r="J110" t="inlineStr"/>
      <c r="K110" t="inlineStr"/>
      <c r="L110" t="inlineStr"/>
      <c r="M110" t="inlineStr"/>
      <c r="N110" t="inlineStr">
        <is>
          <t>yes</t>
        </is>
      </c>
      <c r="O110" t="inlineStr">
        <is>
          <t>pixel_heuristic</t>
        </is>
      </c>
      <c r="P110">
        <f>HYPERLINK("https://knru.ru/catalog/irinovskiy-pr-1481118307/","ссылка")</f>
        <v/>
      </c>
      <c r="Q110" t="inlineStr"/>
      <c r="R110" t="inlineStr">
        <is>
          <t>Нет у нас</t>
        </is>
      </c>
      <c r="S110" t="n">
        <v>0</v>
      </c>
      <c r="T110" t="inlineStr">
        <is>
          <t>Совпадений по улице+дому не найдено</t>
        </is>
      </c>
      <c r="U110" t="n">
        <v>159</v>
      </c>
      <c r="V110" t="n">
        <v>7</v>
      </c>
      <c r="W110" t="n">
        <v>15</v>
      </c>
      <c r="X110" t="n">
        <v>32392500</v>
      </c>
      <c r="Y110" t="inlineStr"/>
      <c r="Z110" t="inlineStr"/>
      <c r="AA110" t="inlineStr">
        <is>
          <t>https://knru.ru/catalog/irinovskiy-pr-1481118307/</t>
        </is>
      </c>
      <c r="AB110" t="inlineStr">
        <is>
          <t>A+</t>
        </is>
      </c>
    </row>
    <row r="111">
      <c r="A111" t="n">
        <v>160</v>
      </c>
      <c r="B111" t="n">
        <v>7</v>
      </c>
      <c r="C111" t="n">
        <v>16</v>
      </c>
      <c r="D111" t="n">
        <v>1238989317</v>
      </c>
      <c r="E111" t="inlineStr">
        <is>
          <t>Красногвардейский</t>
        </is>
      </c>
      <c r="F111" t="inlineStr">
        <is>
          <t>Ириновский пр.</t>
        </is>
      </c>
      <c r="G111" t="n">
        <v>14.1</v>
      </c>
      <c r="H111" t="inlineStr">
        <is>
          <t>3 381 600</t>
        </is>
      </c>
      <c r="I111" t="inlineStr"/>
      <c r="J111" t="inlineStr"/>
      <c r="K111" t="inlineStr"/>
      <c r="L111" t="inlineStr"/>
      <c r="M111" t="inlineStr"/>
      <c r="N111" t="inlineStr">
        <is>
          <t>yes</t>
        </is>
      </c>
      <c r="O111" t="inlineStr">
        <is>
          <t>pixel_heuristic</t>
        </is>
      </c>
      <c r="P111">
        <f>HYPERLINK("https://knru.ru/catalog/irinovskiy-pr-1238989317/","ссылка")</f>
        <v/>
      </c>
      <c r="Q111" t="inlineStr"/>
      <c r="R111" t="inlineStr">
        <is>
          <t>Нет у нас</t>
        </is>
      </c>
      <c r="S111" t="n">
        <v>0</v>
      </c>
      <c r="T111" t="inlineStr">
        <is>
          <t>Совпадений по улице+дому не найдено</t>
        </is>
      </c>
      <c r="U111" t="n">
        <v>160</v>
      </c>
      <c r="V111" t="n">
        <v>7</v>
      </c>
      <c r="W111" t="n">
        <v>16</v>
      </c>
      <c r="X111" t="n">
        <v>3381600</v>
      </c>
      <c r="Y111" t="inlineStr"/>
      <c r="Z111" t="inlineStr"/>
      <c r="AA111" t="inlineStr">
        <is>
          <t>https://knru.ru/catalog/irinovskiy-pr-1238989317/</t>
        </is>
      </c>
      <c r="AB111" t="inlineStr">
        <is>
          <t>A+</t>
        </is>
      </c>
    </row>
    <row r="112">
      <c r="A112" t="n">
        <v>161</v>
      </c>
      <c r="B112" t="n">
        <v>7</v>
      </c>
      <c r="C112" t="n">
        <v>17</v>
      </c>
      <c r="D112" t="n">
        <v>664525832</v>
      </c>
      <c r="E112" t="inlineStr">
        <is>
          <t>Красногвардейский</t>
        </is>
      </c>
      <c r="F112" t="inlineStr">
        <is>
          <t>Ириновский пр.</t>
        </is>
      </c>
      <c r="G112" t="n">
        <v>55.6</v>
      </c>
      <c r="H112" t="inlineStr">
        <is>
          <t>11 669 700</t>
        </is>
      </c>
      <c r="I112" t="inlineStr"/>
      <c r="J112" t="inlineStr"/>
      <c r="K112" t="inlineStr"/>
      <c r="L112" t="inlineStr"/>
      <c r="M112" t="inlineStr"/>
      <c r="N112" t="inlineStr">
        <is>
          <t>yes</t>
        </is>
      </c>
      <c r="O112" t="inlineStr">
        <is>
          <t>pixel_heuristic</t>
        </is>
      </c>
      <c r="P112">
        <f>HYPERLINK("https://knru.ru/catalog/irinovskiy-pr-664525832/","ссылка")</f>
        <v/>
      </c>
      <c r="Q112" t="inlineStr"/>
      <c r="R112" t="inlineStr">
        <is>
          <t>Нет у нас</t>
        </is>
      </c>
      <c r="S112" t="n">
        <v>0</v>
      </c>
      <c r="T112" t="inlineStr">
        <is>
          <t>Совпадений по улице+дому не найдено</t>
        </is>
      </c>
      <c r="U112" t="n">
        <v>161</v>
      </c>
      <c r="V112" t="n">
        <v>7</v>
      </c>
      <c r="W112" t="n">
        <v>17</v>
      </c>
      <c r="X112" t="n">
        <v>11669700</v>
      </c>
      <c r="Y112" t="inlineStr"/>
      <c r="Z112" t="inlineStr"/>
      <c r="AA112" t="inlineStr">
        <is>
          <t>https://knru.ru/catalog/irinovskiy-pr-664525832/</t>
        </is>
      </c>
      <c r="AB112" t="inlineStr">
        <is>
          <t>A+</t>
        </is>
      </c>
    </row>
    <row r="113">
      <c r="A113" t="n">
        <v>162</v>
      </c>
      <c r="B113" t="n">
        <v>7</v>
      </c>
      <c r="C113" t="n">
        <v>18</v>
      </c>
      <c r="D113" t="n">
        <v>1798132597</v>
      </c>
      <c r="E113" t="inlineStr">
        <is>
          <t>Красногвардейский</t>
        </is>
      </c>
      <c r="F113" t="inlineStr">
        <is>
          <t>Ириновский пр.</t>
        </is>
      </c>
      <c r="G113" t="n">
        <v>33.6</v>
      </c>
      <c r="H113" t="inlineStr">
        <is>
          <t>7 718 800</t>
        </is>
      </c>
      <c r="I113" t="inlineStr"/>
      <c r="J113" t="inlineStr"/>
      <c r="K113" t="inlineStr"/>
      <c r="L113" t="inlineStr"/>
      <c r="M113" t="inlineStr"/>
      <c r="N113" t="inlineStr">
        <is>
          <t>yes</t>
        </is>
      </c>
      <c r="O113" t="inlineStr">
        <is>
          <t>pixel_heuristic</t>
        </is>
      </c>
      <c r="P113">
        <f>HYPERLINK("https://knru.ru/catalog/irinovskiy-pr-1798132597/","ссылка")</f>
        <v/>
      </c>
      <c r="Q113" t="inlineStr"/>
      <c r="R113" t="inlineStr">
        <is>
          <t>Нет у нас</t>
        </is>
      </c>
      <c r="S113" t="n">
        <v>0</v>
      </c>
      <c r="T113" t="inlineStr">
        <is>
          <t>Совпадений по улице+дому не найдено</t>
        </is>
      </c>
      <c r="U113" t="n">
        <v>162</v>
      </c>
      <c r="V113" t="n">
        <v>7</v>
      </c>
      <c r="W113" t="n">
        <v>18</v>
      </c>
      <c r="X113" t="n">
        <v>7718800</v>
      </c>
      <c r="Y113" t="inlineStr"/>
      <c r="Z113" t="inlineStr"/>
      <c r="AA113" t="inlineStr">
        <is>
          <t>https://knru.ru/catalog/irinovskiy-pr-1798132597/</t>
        </is>
      </c>
      <c r="AB113" t="inlineStr">
        <is>
          <t>A+</t>
        </is>
      </c>
    </row>
    <row r="114">
      <c r="A114" t="n">
        <v>163</v>
      </c>
      <c r="B114" t="n">
        <v>7</v>
      </c>
      <c r="C114" t="n">
        <v>19</v>
      </c>
      <c r="D114" t="n">
        <v>462603163</v>
      </c>
      <c r="E114" t="inlineStr">
        <is>
          <t>Красногвардейский</t>
        </is>
      </c>
      <c r="F114" t="inlineStr">
        <is>
          <t>Ириновский пр.</t>
        </is>
      </c>
      <c r="G114" t="n">
        <v>17.9</v>
      </c>
      <c r="H114" t="inlineStr">
        <is>
          <t>4 296 000</t>
        </is>
      </c>
      <c r="I114" t="inlineStr"/>
      <c r="J114" t="inlineStr"/>
      <c r="K114" t="inlineStr"/>
      <c r="L114" t="inlineStr"/>
      <c r="M114" t="inlineStr"/>
      <c r="N114" t="inlineStr">
        <is>
          <t>yes</t>
        </is>
      </c>
      <c r="O114" t="inlineStr">
        <is>
          <t>pixel_heuristic</t>
        </is>
      </c>
      <c r="P114">
        <f>HYPERLINK("https://knru.ru/catalog/irinovskiy-pr-462603163/","ссылка")</f>
        <v/>
      </c>
      <c r="Q114" t="inlineStr"/>
      <c r="R114" t="inlineStr">
        <is>
          <t>Нет у нас</t>
        </is>
      </c>
      <c r="S114" t="n">
        <v>0</v>
      </c>
      <c r="T114" t="inlineStr">
        <is>
          <t>Совпадений по улице+дому не найдено</t>
        </is>
      </c>
      <c r="U114" t="n">
        <v>163</v>
      </c>
      <c r="V114" t="n">
        <v>7</v>
      </c>
      <c r="W114" t="n">
        <v>19</v>
      </c>
      <c r="X114" t="n">
        <v>4296000</v>
      </c>
      <c r="Y114" t="inlineStr"/>
      <c r="Z114" t="inlineStr"/>
      <c r="AA114" t="inlineStr">
        <is>
          <t>https://knru.ru/catalog/irinovskiy-pr-462603163/</t>
        </is>
      </c>
      <c r="AB114" t="inlineStr">
        <is>
          <t>A+</t>
        </is>
      </c>
    </row>
    <row r="115">
      <c r="A115" t="n">
        <v>164</v>
      </c>
      <c r="B115" t="n">
        <v>7</v>
      </c>
      <c r="C115" t="n">
        <v>20</v>
      </c>
      <c r="D115" t="n">
        <v>1601810457</v>
      </c>
      <c r="E115" t="inlineStr">
        <is>
          <t>Красногвардейский</t>
        </is>
      </c>
      <c r="F115" t="inlineStr">
        <is>
          <t>Ириновский пр.</t>
        </is>
      </c>
      <c r="G115" t="n">
        <v>31.5</v>
      </c>
      <c r="H115" t="inlineStr">
        <is>
          <t>6 610 800</t>
        </is>
      </c>
      <c r="I115" t="inlineStr"/>
      <c r="J115" t="inlineStr"/>
      <c r="K115" t="inlineStr"/>
      <c r="L115" t="inlineStr"/>
      <c r="M115" t="inlineStr"/>
      <c r="N115" t="inlineStr">
        <is>
          <t>yes</t>
        </is>
      </c>
      <c r="O115" t="inlineStr">
        <is>
          <t>pixel_heuristic</t>
        </is>
      </c>
      <c r="P115">
        <f>HYPERLINK("https://knru.ru/catalog/irinovskiy-pr-1601810457/","ссылка")</f>
        <v/>
      </c>
      <c r="Q115" t="inlineStr"/>
      <c r="R115" t="inlineStr">
        <is>
          <t>Нет у нас</t>
        </is>
      </c>
      <c r="S115" t="n">
        <v>0</v>
      </c>
      <c r="T115" t="inlineStr">
        <is>
          <t>Совпадений по улице+дому не найдено</t>
        </is>
      </c>
      <c r="U115" t="n">
        <v>164</v>
      </c>
      <c r="V115" t="n">
        <v>7</v>
      </c>
      <c r="W115" t="n">
        <v>20</v>
      </c>
      <c r="X115" t="n">
        <v>6610800</v>
      </c>
      <c r="Y115" t="inlineStr"/>
      <c r="Z115" t="inlineStr"/>
      <c r="AA115" t="inlineStr">
        <is>
          <t>https://knru.ru/catalog/irinovskiy-pr-1601810457/</t>
        </is>
      </c>
      <c r="AB115" t="inlineStr">
        <is>
          <t>A+</t>
        </is>
      </c>
    </row>
    <row r="116">
      <c r="A116" t="n">
        <v>165</v>
      </c>
      <c r="B116" t="n">
        <v>7</v>
      </c>
      <c r="C116" t="n">
        <v>21</v>
      </c>
      <c r="D116" t="n">
        <v>1792953475</v>
      </c>
      <c r="E116" t="inlineStr">
        <is>
          <t>Красногвардейский</t>
        </is>
      </c>
      <c r="F116" t="inlineStr">
        <is>
          <t>Ириновский пр.</t>
        </is>
      </c>
      <c r="G116" t="n">
        <v>14.7</v>
      </c>
      <c r="H116" t="inlineStr">
        <is>
          <t>3 528 000</t>
        </is>
      </c>
      <c r="I116" t="inlineStr"/>
      <c r="J116" t="inlineStr"/>
      <c r="K116" t="inlineStr"/>
      <c r="L116" t="inlineStr"/>
      <c r="M116" t="inlineStr"/>
      <c r="N116" t="inlineStr">
        <is>
          <t>yes</t>
        </is>
      </c>
      <c r="O116" t="inlineStr">
        <is>
          <t>pixel_heuristic</t>
        </is>
      </c>
      <c r="P116">
        <f>HYPERLINK("https://knru.ru/catalog/irinovskiy-pr-1792953475/","ссылка")</f>
        <v/>
      </c>
      <c r="Q116" t="inlineStr"/>
      <c r="R116" t="inlineStr">
        <is>
          <t>Нет у нас</t>
        </is>
      </c>
      <c r="S116" t="n">
        <v>0</v>
      </c>
      <c r="T116" t="inlineStr">
        <is>
          <t>Совпадений по улице+дому не найдено</t>
        </is>
      </c>
      <c r="U116" t="n">
        <v>165</v>
      </c>
      <c r="V116" t="n">
        <v>7</v>
      </c>
      <c r="W116" t="n">
        <v>21</v>
      </c>
      <c r="X116" t="n">
        <v>3528000</v>
      </c>
      <c r="Y116" t="inlineStr"/>
      <c r="Z116" t="inlineStr"/>
      <c r="AA116" t="inlineStr">
        <is>
          <t>https://knru.ru/catalog/irinovskiy-pr-1792953475/</t>
        </is>
      </c>
      <c r="AB116" t="inlineStr">
        <is>
          <t>A+</t>
        </is>
      </c>
    </row>
    <row r="117">
      <c r="A117" t="n">
        <v>166</v>
      </c>
      <c r="B117" t="n">
        <v>7</v>
      </c>
      <c r="C117" t="n">
        <v>22</v>
      </c>
      <c r="D117" t="n">
        <v>1887304770</v>
      </c>
      <c r="E117" t="inlineStr">
        <is>
          <t>Красногвардейский</t>
        </is>
      </c>
      <c r="F117" t="inlineStr">
        <is>
          <t>Ириновский пр.</t>
        </is>
      </c>
      <c r="G117" t="n">
        <v>24.2</v>
      </c>
      <c r="H117" t="inlineStr">
        <is>
          <t>5 079 900</t>
        </is>
      </c>
      <c r="I117" t="inlineStr"/>
      <c r="J117" t="inlineStr"/>
      <c r="K117" t="inlineStr"/>
      <c r="L117" t="inlineStr"/>
      <c r="M117" t="inlineStr"/>
      <c r="N117" t="inlineStr">
        <is>
          <t>yes</t>
        </is>
      </c>
      <c r="O117" t="inlineStr">
        <is>
          <t>pixel_heuristic</t>
        </is>
      </c>
      <c r="P117">
        <f>HYPERLINK("https://knru.ru/catalog/irinovskiy-pr-1887304770/","ссылка")</f>
        <v/>
      </c>
      <c r="Q117" t="inlineStr"/>
      <c r="R117" t="inlineStr">
        <is>
          <t>Нет у нас</t>
        </is>
      </c>
      <c r="S117" t="n">
        <v>0</v>
      </c>
      <c r="T117" t="inlineStr">
        <is>
          <t>Совпадений по улице+дому не найдено</t>
        </is>
      </c>
      <c r="U117" t="n">
        <v>166</v>
      </c>
      <c r="V117" t="n">
        <v>7</v>
      </c>
      <c r="W117" t="n">
        <v>22</v>
      </c>
      <c r="X117" t="n">
        <v>5079900</v>
      </c>
      <c r="Y117" t="inlineStr"/>
      <c r="Z117" t="inlineStr"/>
      <c r="AA117" t="inlineStr">
        <is>
          <t>https://knru.ru/catalog/irinovskiy-pr-1887304770/</t>
        </is>
      </c>
      <c r="AB117" t="inlineStr">
        <is>
          <t>A+</t>
        </is>
      </c>
    </row>
    <row r="118">
      <c r="A118" t="n">
        <v>167</v>
      </c>
      <c r="B118" t="n">
        <v>7</v>
      </c>
      <c r="C118" t="n">
        <v>23</v>
      </c>
      <c r="D118" t="n">
        <v>924382095</v>
      </c>
      <c r="E118" t="inlineStr">
        <is>
          <t>Красногвардейский</t>
        </is>
      </c>
      <c r="F118" t="inlineStr">
        <is>
          <t>Ириновский пр.</t>
        </is>
      </c>
      <c r="G118" t="n">
        <v>26.6</v>
      </c>
      <c r="H118" t="inlineStr">
        <is>
          <t>5 594 400</t>
        </is>
      </c>
      <c r="I118" t="inlineStr"/>
      <c r="J118" t="inlineStr"/>
      <c r="K118" t="inlineStr"/>
      <c r="L118" t="inlineStr"/>
      <c r="M118" t="inlineStr"/>
      <c r="N118" t="inlineStr">
        <is>
          <t>yes</t>
        </is>
      </c>
      <c r="O118" t="inlineStr">
        <is>
          <t>pixel_heuristic</t>
        </is>
      </c>
      <c r="P118">
        <f>HYPERLINK("https://knru.ru/catalog/irinovskiy-pr-924382095/","ссылка")</f>
        <v/>
      </c>
      <c r="Q118" t="inlineStr"/>
      <c r="R118" t="inlineStr">
        <is>
          <t>Нет у нас</t>
        </is>
      </c>
      <c r="S118" t="n">
        <v>0</v>
      </c>
      <c r="T118" t="inlineStr">
        <is>
          <t>Совпадений по улице+дому не найдено</t>
        </is>
      </c>
      <c r="U118" t="n">
        <v>167</v>
      </c>
      <c r="V118" t="n">
        <v>7</v>
      </c>
      <c r="W118" t="n">
        <v>23</v>
      </c>
      <c r="X118" t="n">
        <v>5594400</v>
      </c>
      <c r="Y118" t="inlineStr"/>
      <c r="Z118" t="inlineStr"/>
      <c r="AA118" t="inlineStr">
        <is>
          <t>https://knru.ru/catalog/irinovskiy-pr-924382095/</t>
        </is>
      </c>
      <c r="AB118" t="inlineStr">
        <is>
          <t>A+</t>
        </is>
      </c>
    </row>
    <row r="119">
      <c r="A119" t="n">
        <v>168</v>
      </c>
      <c r="B119" t="n">
        <v>7</v>
      </c>
      <c r="C119" t="n">
        <v>24</v>
      </c>
      <c r="D119" t="n">
        <v>2259691</v>
      </c>
      <c r="E119" t="inlineStr">
        <is>
          <t>Красногвардейский</t>
        </is>
      </c>
      <c r="F119" t="inlineStr">
        <is>
          <t>Ириновский пр.</t>
        </is>
      </c>
      <c r="G119" t="n">
        <v>39.4</v>
      </c>
      <c r="H119" t="inlineStr">
        <is>
          <t>9 064 300</t>
        </is>
      </c>
      <c r="I119" t="inlineStr"/>
      <c r="J119" t="inlineStr"/>
      <c r="K119" t="inlineStr"/>
      <c r="L119" t="inlineStr"/>
      <c r="M119" t="inlineStr"/>
      <c r="N119" t="inlineStr">
        <is>
          <t>yes</t>
        </is>
      </c>
      <c r="O119" t="inlineStr">
        <is>
          <t>pixel_heuristic</t>
        </is>
      </c>
      <c r="P119">
        <f>HYPERLINK("https://knru.ru/catalog/irinovskiy-pr-2259691/","ссылка")</f>
        <v/>
      </c>
      <c r="Q119" t="inlineStr"/>
      <c r="R119" t="inlineStr">
        <is>
          <t>Нет у нас</t>
        </is>
      </c>
      <c r="S119" t="n">
        <v>0</v>
      </c>
      <c r="T119" t="inlineStr">
        <is>
          <t>Совпадений по улице+дому не найдено</t>
        </is>
      </c>
      <c r="U119" t="n">
        <v>168</v>
      </c>
      <c r="V119" t="n">
        <v>7</v>
      </c>
      <c r="W119" t="n">
        <v>24</v>
      </c>
      <c r="X119" t="n">
        <v>9064300</v>
      </c>
      <c r="Y119" t="inlineStr"/>
      <c r="Z119" t="inlineStr"/>
      <c r="AA119" t="inlineStr">
        <is>
          <t>https://knru.ru/catalog/irinovskiy-pr-2259691/</t>
        </is>
      </c>
      <c r="AB119" t="inlineStr">
        <is>
          <t>A+</t>
        </is>
      </c>
    </row>
    <row r="120">
      <c r="A120" t="n">
        <v>169</v>
      </c>
      <c r="B120" t="n">
        <v>8</v>
      </c>
      <c r="C120" t="n">
        <v>1</v>
      </c>
      <c r="D120" t="n">
        <v>401213159</v>
      </c>
      <c r="E120" t="inlineStr">
        <is>
          <t>Красногвардейский</t>
        </is>
      </c>
      <c r="F120" t="inlineStr">
        <is>
          <t>Ириновский пр.</t>
        </is>
      </c>
      <c r="G120" t="n">
        <v>20.7</v>
      </c>
      <c r="H120" t="inlineStr">
        <is>
          <t>4 975 200</t>
        </is>
      </c>
      <c r="I120" t="inlineStr"/>
      <c r="J120" t="inlineStr"/>
      <c r="K120" t="inlineStr"/>
      <c r="L120" t="inlineStr"/>
      <c r="M120" t="inlineStr"/>
      <c r="N120" t="inlineStr">
        <is>
          <t>yes</t>
        </is>
      </c>
      <c r="O120" t="inlineStr">
        <is>
          <t>pixel_heuristic</t>
        </is>
      </c>
      <c r="P120">
        <f>HYPERLINK("https://knru.ru/catalog/irinovskiy-pr-401213159/","ссылка")</f>
        <v/>
      </c>
      <c r="Q120" t="inlineStr"/>
      <c r="R120" t="inlineStr">
        <is>
          <t>Нет у нас</t>
        </is>
      </c>
      <c r="S120" t="n">
        <v>0</v>
      </c>
      <c r="T120" t="inlineStr">
        <is>
          <t>Совпадений по улице+дому не найдено</t>
        </is>
      </c>
      <c r="U120" t="n">
        <v>169</v>
      </c>
      <c r="V120" t="n">
        <v>8</v>
      </c>
      <c r="W120" t="n">
        <v>1</v>
      </c>
      <c r="X120" t="n">
        <v>4975200</v>
      </c>
      <c r="Y120" t="inlineStr"/>
      <c r="Z120" t="inlineStr"/>
      <c r="AA120" t="inlineStr">
        <is>
          <t>https://knru.ru/catalog/irinovskiy-pr-401213159/</t>
        </is>
      </c>
      <c r="AB120" t="inlineStr">
        <is>
          <t>A+</t>
        </is>
      </c>
    </row>
    <row r="121">
      <c r="A121" t="n">
        <v>170</v>
      </c>
      <c r="B121" t="n">
        <v>8</v>
      </c>
      <c r="C121" t="n">
        <v>2</v>
      </c>
      <c r="D121" t="n">
        <v>1367609325</v>
      </c>
      <c r="E121" t="inlineStr">
        <is>
          <t>Красногвардейский</t>
        </is>
      </c>
      <c r="F121" t="inlineStr">
        <is>
          <t>Ириновский пр.</t>
        </is>
      </c>
      <c r="G121" t="n">
        <v>63.4</v>
      </c>
      <c r="H121" t="inlineStr">
        <is>
          <t>13 309 800</t>
        </is>
      </c>
      <c r="I121" t="inlineStr"/>
      <c r="J121" t="inlineStr"/>
      <c r="K121" t="inlineStr"/>
      <c r="L121" t="inlineStr"/>
      <c r="M121" t="inlineStr"/>
      <c r="N121" t="inlineStr">
        <is>
          <t>yes</t>
        </is>
      </c>
      <c r="O121" t="inlineStr">
        <is>
          <t>pixel_heuristic</t>
        </is>
      </c>
      <c r="P121">
        <f>HYPERLINK("https://knru.ru/catalog/irinovskiy-pr-1367609325/","ссылка")</f>
        <v/>
      </c>
      <c r="Q121" t="inlineStr"/>
      <c r="R121" t="inlineStr">
        <is>
          <t>Нет у нас</t>
        </is>
      </c>
      <c r="S121" t="n">
        <v>0</v>
      </c>
      <c r="T121" t="inlineStr">
        <is>
          <t>Совпадений по улице+дому не найдено</t>
        </is>
      </c>
      <c r="U121" t="n">
        <v>170</v>
      </c>
      <c r="V121" t="n">
        <v>8</v>
      </c>
      <c r="W121" t="n">
        <v>2</v>
      </c>
      <c r="X121" t="n">
        <v>13309800</v>
      </c>
      <c r="Y121" t="inlineStr"/>
      <c r="Z121" t="inlineStr"/>
      <c r="AA121" t="inlineStr">
        <is>
          <t>https://knru.ru/catalog/irinovskiy-pr-1367609325/</t>
        </is>
      </c>
      <c r="AB121" t="inlineStr">
        <is>
          <t>A+</t>
        </is>
      </c>
    </row>
    <row r="122">
      <c r="A122" t="n">
        <v>171</v>
      </c>
      <c r="B122" t="n">
        <v>8</v>
      </c>
      <c r="C122" t="n">
        <v>3</v>
      </c>
      <c r="D122" t="n">
        <v>1912013675</v>
      </c>
      <c r="E122" t="inlineStr">
        <is>
          <t>Красногвардейский</t>
        </is>
      </c>
      <c r="F122" t="inlineStr">
        <is>
          <t>Ириновский пр.</t>
        </is>
      </c>
      <c r="G122" t="n">
        <v>13.2</v>
      </c>
      <c r="H122" t="inlineStr">
        <is>
          <t>3 172 800</t>
        </is>
      </c>
      <c r="I122" t="inlineStr"/>
      <c r="J122" t="inlineStr"/>
      <c r="K122" t="inlineStr"/>
      <c r="L122" t="inlineStr"/>
      <c r="M122" t="inlineStr"/>
      <c r="N122" t="inlineStr">
        <is>
          <t>yes</t>
        </is>
      </c>
      <c r="O122" t="inlineStr">
        <is>
          <t>pixel_heuristic</t>
        </is>
      </c>
      <c r="P122">
        <f>HYPERLINK("https://knru.ru/catalog/irinovskiy-pr-1912013675/","ссылка")</f>
        <v/>
      </c>
      <c r="Q122" t="inlineStr"/>
      <c r="R122" t="inlineStr">
        <is>
          <t>Нет у нас</t>
        </is>
      </c>
      <c r="S122" t="n">
        <v>0</v>
      </c>
      <c r="T122" t="inlineStr">
        <is>
          <t>Совпадений по улице+дому не найдено</t>
        </is>
      </c>
      <c r="U122" t="n">
        <v>171</v>
      </c>
      <c r="V122" t="n">
        <v>8</v>
      </c>
      <c r="W122" t="n">
        <v>3</v>
      </c>
      <c r="X122" t="n">
        <v>3172800</v>
      </c>
      <c r="Y122" t="inlineStr"/>
      <c r="Z122" t="inlineStr"/>
      <c r="AA122" t="inlineStr">
        <is>
          <t>https://knru.ru/catalog/irinovskiy-pr-1912013675/</t>
        </is>
      </c>
      <c r="AB122" t="inlineStr">
        <is>
          <t>A+</t>
        </is>
      </c>
    </row>
    <row r="123">
      <c r="A123" t="n">
        <v>172</v>
      </c>
      <c r="B123" t="n">
        <v>8</v>
      </c>
      <c r="C123" t="n">
        <v>4</v>
      </c>
      <c r="D123" t="n">
        <v>1833117835</v>
      </c>
      <c r="E123" t="inlineStr">
        <is>
          <t>Красногвардейский</t>
        </is>
      </c>
      <c r="F123" t="inlineStr">
        <is>
          <t>Ириновский пр.</t>
        </is>
      </c>
      <c r="G123" t="n">
        <v>39.1</v>
      </c>
      <c r="H123" t="inlineStr">
        <is>
          <t>8 206 800</t>
        </is>
      </c>
      <c r="I123" t="inlineStr"/>
      <c r="J123" t="inlineStr"/>
      <c r="K123" t="inlineStr"/>
      <c r="L123" t="inlineStr"/>
      <c r="M123" t="inlineStr"/>
      <c r="N123" t="inlineStr">
        <is>
          <t>yes</t>
        </is>
      </c>
      <c r="O123" t="inlineStr">
        <is>
          <t>pixel_heuristic</t>
        </is>
      </c>
      <c r="P123">
        <f>HYPERLINK("https://knru.ru/catalog/irinovskiy-pr-1833117835/","ссылка")</f>
        <v/>
      </c>
      <c r="Q123" t="inlineStr"/>
      <c r="R123" t="inlineStr">
        <is>
          <t>Нет у нас</t>
        </is>
      </c>
      <c r="S123" t="n">
        <v>0</v>
      </c>
      <c r="T123" t="inlineStr">
        <is>
          <t>Совпадений по улице+дому не найдено</t>
        </is>
      </c>
      <c r="U123" t="n">
        <v>172</v>
      </c>
      <c r="V123" t="n">
        <v>8</v>
      </c>
      <c r="W123" t="n">
        <v>4</v>
      </c>
      <c r="X123" t="n">
        <v>8206800</v>
      </c>
      <c r="Y123" t="inlineStr"/>
      <c r="Z123" t="inlineStr"/>
      <c r="AA123" t="inlineStr">
        <is>
          <t>https://knru.ru/catalog/irinovskiy-pr-1833117835/</t>
        </is>
      </c>
      <c r="AB123" t="inlineStr">
        <is>
          <t>A+</t>
        </is>
      </c>
    </row>
    <row r="124">
      <c r="A124" t="n">
        <v>173</v>
      </c>
      <c r="B124" t="n">
        <v>8</v>
      </c>
      <c r="C124" t="n">
        <v>5</v>
      </c>
      <c r="D124" t="n">
        <v>80049020</v>
      </c>
      <c r="E124" t="inlineStr">
        <is>
          <t>Красногвардейский</t>
        </is>
      </c>
      <c r="F124" t="inlineStr">
        <is>
          <t>Ириновский пр.</t>
        </is>
      </c>
      <c r="G124" t="n">
        <v>39.2</v>
      </c>
      <c r="H124" t="inlineStr">
        <is>
          <t>8 234 100</t>
        </is>
      </c>
      <c r="I124" t="inlineStr"/>
      <c r="J124" t="inlineStr"/>
      <c r="K124" t="inlineStr"/>
      <c r="L124" t="inlineStr"/>
      <c r="M124" t="inlineStr"/>
      <c r="N124" t="inlineStr">
        <is>
          <t>yes</t>
        </is>
      </c>
      <c r="O124" t="inlineStr">
        <is>
          <t>pixel_heuristic</t>
        </is>
      </c>
      <c r="P124">
        <f>HYPERLINK("https://knru.ru/catalog/irinovskiy-pr-80049020/","ссылка")</f>
        <v/>
      </c>
      <c r="Q124" t="inlineStr"/>
      <c r="R124" t="inlineStr">
        <is>
          <t>Нет у нас</t>
        </is>
      </c>
      <c r="S124" t="n">
        <v>0</v>
      </c>
      <c r="T124" t="inlineStr">
        <is>
          <t>Совпадений по улице+дому не найдено</t>
        </is>
      </c>
      <c r="U124" t="n">
        <v>173</v>
      </c>
      <c r="V124" t="n">
        <v>8</v>
      </c>
      <c r="W124" t="n">
        <v>5</v>
      </c>
      <c r="X124" t="n">
        <v>8234100</v>
      </c>
      <c r="Y124" t="inlineStr"/>
      <c r="Z124" t="inlineStr"/>
      <c r="AA124" t="inlineStr">
        <is>
          <t>https://knru.ru/catalog/irinovskiy-pr-80049020/</t>
        </is>
      </c>
      <c r="AB124" t="inlineStr">
        <is>
          <t>A+</t>
        </is>
      </c>
    </row>
    <row r="125">
      <c r="A125" t="n">
        <v>174</v>
      </c>
      <c r="B125" t="n">
        <v>8</v>
      </c>
      <c r="C125" t="n">
        <v>6</v>
      </c>
      <c r="D125" t="n">
        <v>1902761277</v>
      </c>
      <c r="E125" t="inlineStr">
        <is>
          <t>Красногвардейский</t>
        </is>
      </c>
      <c r="F125" t="inlineStr">
        <is>
          <t>Ириновский пр.</t>
        </is>
      </c>
      <c r="G125" t="n">
        <v>13.4</v>
      </c>
      <c r="H125" t="inlineStr">
        <is>
          <t>3 211 200</t>
        </is>
      </c>
      <c r="I125" t="inlineStr"/>
      <c r="J125" t="inlineStr"/>
      <c r="K125" t="inlineStr"/>
      <c r="L125" t="inlineStr"/>
      <c r="M125" t="inlineStr"/>
      <c r="N125" t="inlineStr">
        <is>
          <t>yes</t>
        </is>
      </c>
      <c r="O125" t="inlineStr">
        <is>
          <t>pixel_heuristic</t>
        </is>
      </c>
      <c r="P125">
        <f>HYPERLINK("https://knru.ru/catalog/irinovskiy-pr-1902761277/","ссылка")</f>
        <v/>
      </c>
      <c r="Q125" t="inlineStr"/>
      <c r="R125" t="inlineStr">
        <is>
          <t>Нет у нас</t>
        </is>
      </c>
      <c r="S125" t="n">
        <v>0</v>
      </c>
      <c r="T125" t="inlineStr">
        <is>
          <t>Совпадений по улице+дому не найдено</t>
        </is>
      </c>
      <c r="U125" t="n">
        <v>174</v>
      </c>
      <c r="V125" t="n">
        <v>8</v>
      </c>
      <c r="W125" t="n">
        <v>6</v>
      </c>
      <c r="X125" t="n">
        <v>3211200</v>
      </c>
      <c r="Y125" t="inlineStr"/>
      <c r="Z125" t="inlineStr"/>
      <c r="AA125" t="inlineStr">
        <is>
          <t>https://knru.ru/catalog/irinovskiy-pr-1902761277/</t>
        </is>
      </c>
      <c r="AB125" t="inlineStr">
        <is>
          <t>A+</t>
        </is>
      </c>
    </row>
    <row r="126">
      <c r="A126" t="n">
        <v>175</v>
      </c>
      <c r="B126" t="n">
        <v>8</v>
      </c>
      <c r="C126" t="n">
        <v>7</v>
      </c>
      <c r="D126" t="n">
        <v>1737586474</v>
      </c>
      <c r="E126" t="inlineStr">
        <is>
          <t>Красногвардейский</t>
        </is>
      </c>
      <c r="F126" t="inlineStr">
        <is>
          <t>Ириновский пр.</t>
        </is>
      </c>
      <c r="G126" t="n">
        <v>40.1</v>
      </c>
      <c r="H126" t="inlineStr">
        <is>
          <t>8 423 100</t>
        </is>
      </c>
      <c r="I126" t="inlineStr"/>
      <c r="J126" t="inlineStr"/>
      <c r="K126" t="inlineStr"/>
      <c r="L126" t="inlineStr"/>
      <c r="M126" t="inlineStr"/>
      <c r="N126" t="inlineStr">
        <is>
          <t>yes</t>
        </is>
      </c>
      <c r="O126" t="inlineStr">
        <is>
          <t>pixel_heuristic</t>
        </is>
      </c>
      <c r="P126">
        <f>HYPERLINK("https://knru.ru/catalog/irinovskiy-pr-1737586474/","ссылка")</f>
        <v/>
      </c>
      <c r="Q126" t="inlineStr"/>
      <c r="R126" t="inlineStr">
        <is>
          <t>Нет у нас</t>
        </is>
      </c>
      <c r="S126" t="n">
        <v>0</v>
      </c>
      <c r="T126" t="inlineStr">
        <is>
          <t>Совпадений по улице+дому не найдено</t>
        </is>
      </c>
      <c r="U126" t="n">
        <v>175</v>
      </c>
      <c r="V126" t="n">
        <v>8</v>
      </c>
      <c r="W126" t="n">
        <v>7</v>
      </c>
      <c r="X126" t="n">
        <v>8423100</v>
      </c>
      <c r="Y126" t="inlineStr"/>
      <c r="Z126" t="inlineStr"/>
      <c r="AA126" t="inlineStr">
        <is>
          <t>https://knru.ru/catalog/irinovskiy-pr-1737586474/</t>
        </is>
      </c>
      <c r="AB126" t="inlineStr">
        <is>
          <t>A+</t>
        </is>
      </c>
    </row>
    <row r="127">
      <c r="A127" t="n">
        <v>176</v>
      </c>
      <c r="B127" t="n">
        <v>8</v>
      </c>
      <c r="C127" t="n">
        <v>8</v>
      </c>
      <c r="D127" t="n">
        <v>1541031042</v>
      </c>
      <c r="E127" t="inlineStr">
        <is>
          <t>Красногвардейский</t>
        </is>
      </c>
      <c r="F127" t="inlineStr">
        <is>
          <t>Ириновский пр.</t>
        </is>
      </c>
      <c r="G127" t="n">
        <v>39.5</v>
      </c>
      <c r="H127" t="inlineStr">
        <is>
          <t>8 303 400</t>
        </is>
      </c>
      <c r="I127" t="inlineStr"/>
      <c r="J127" t="inlineStr"/>
      <c r="K127" t="inlineStr"/>
      <c r="L127" t="inlineStr"/>
      <c r="M127" t="inlineStr"/>
      <c r="N127" t="inlineStr">
        <is>
          <t>yes</t>
        </is>
      </c>
      <c r="O127" t="inlineStr">
        <is>
          <t>pixel_heuristic</t>
        </is>
      </c>
      <c r="P127">
        <f>HYPERLINK("https://knru.ru/catalog/irinovskiy-pr-1541031042/","ссылка")</f>
        <v/>
      </c>
      <c r="Q127" t="inlineStr"/>
      <c r="R127" t="inlineStr">
        <is>
          <t>Нет у нас</t>
        </is>
      </c>
      <c r="S127" t="n">
        <v>0</v>
      </c>
      <c r="T127" t="inlineStr">
        <is>
          <t>Совпадений по улице+дому не найдено</t>
        </is>
      </c>
      <c r="U127" t="n">
        <v>176</v>
      </c>
      <c r="V127" t="n">
        <v>8</v>
      </c>
      <c r="W127" t="n">
        <v>8</v>
      </c>
      <c r="X127" t="n">
        <v>8303400</v>
      </c>
      <c r="Y127" t="inlineStr"/>
      <c r="Z127" t="inlineStr"/>
      <c r="AA127" t="inlineStr">
        <is>
          <t>https://knru.ru/catalog/irinovskiy-pr-1541031042/</t>
        </is>
      </c>
      <c r="AB127" t="inlineStr">
        <is>
          <t>A+</t>
        </is>
      </c>
    </row>
    <row r="128">
      <c r="A128" t="n">
        <v>177</v>
      </c>
      <c r="B128" t="n">
        <v>8</v>
      </c>
      <c r="C128" t="n">
        <v>9</v>
      </c>
      <c r="D128" t="n">
        <v>405973589</v>
      </c>
      <c r="E128" t="inlineStr">
        <is>
          <t>Красногвардейский</t>
        </is>
      </c>
      <c r="F128" t="inlineStr">
        <is>
          <t>Ириновский пр.</t>
        </is>
      </c>
      <c r="G128" t="n">
        <v>62.3</v>
      </c>
      <c r="H128" t="inlineStr">
        <is>
          <t>13 076 700</t>
        </is>
      </c>
      <c r="I128" t="inlineStr"/>
      <c r="J128" t="inlineStr"/>
      <c r="K128" t="inlineStr"/>
      <c r="L128" t="inlineStr"/>
      <c r="M128" t="inlineStr"/>
      <c r="N128" t="inlineStr">
        <is>
          <t>yes</t>
        </is>
      </c>
      <c r="O128" t="inlineStr">
        <is>
          <t>pixel_heuristic</t>
        </is>
      </c>
      <c r="P128">
        <f>HYPERLINK("https://knru.ru/catalog/irinovskiy-pr-405973589/","ссылка")</f>
        <v/>
      </c>
      <c r="Q128" t="inlineStr"/>
      <c r="R128" t="inlineStr">
        <is>
          <t>Нет у нас</t>
        </is>
      </c>
      <c r="S128" t="n">
        <v>0</v>
      </c>
      <c r="T128" t="inlineStr">
        <is>
          <t>Совпадений по улице+дому не найдено</t>
        </is>
      </c>
      <c r="U128" t="n">
        <v>177</v>
      </c>
      <c r="V128" t="n">
        <v>8</v>
      </c>
      <c r="W128" t="n">
        <v>9</v>
      </c>
      <c r="X128" t="n">
        <v>13076700</v>
      </c>
      <c r="Y128" t="inlineStr"/>
      <c r="Z128" t="inlineStr"/>
      <c r="AA128" t="inlineStr">
        <is>
          <t>https://knru.ru/catalog/irinovskiy-pr-405973589/</t>
        </is>
      </c>
      <c r="AB128" t="inlineStr">
        <is>
          <t>A+</t>
        </is>
      </c>
    </row>
    <row r="129">
      <c r="A129" t="n">
        <v>178</v>
      </c>
      <c r="B129" t="n">
        <v>8</v>
      </c>
      <c r="C129" t="n">
        <v>10</v>
      </c>
      <c r="D129" t="n">
        <v>269371235</v>
      </c>
      <c r="E129" t="inlineStr">
        <is>
          <t>Красногвардейский</t>
        </is>
      </c>
      <c r="F129" t="inlineStr">
        <is>
          <t>Ириновский пр.</t>
        </is>
      </c>
      <c r="G129" t="n">
        <v>48.8</v>
      </c>
      <c r="H129" t="inlineStr">
        <is>
          <t>11 214 800</t>
        </is>
      </c>
      <c r="I129" t="inlineStr"/>
      <c r="J129" t="inlineStr"/>
      <c r="K129" t="inlineStr"/>
      <c r="L129" t="inlineStr"/>
      <c r="M129" t="inlineStr"/>
      <c r="N129" t="inlineStr">
        <is>
          <t>yes</t>
        </is>
      </c>
      <c r="O129" t="inlineStr">
        <is>
          <t>pixel_heuristic</t>
        </is>
      </c>
      <c r="P129">
        <f>HYPERLINK("https://knru.ru/catalog/irinovskiy-pr-269371235/","ссылка")</f>
        <v/>
      </c>
      <c r="Q129" t="inlineStr"/>
      <c r="R129" t="inlineStr">
        <is>
          <t>Нет у нас</t>
        </is>
      </c>
      <c r="S129" t="n">
        <v>0</v>
      </c>
      <c r="T129" t="inlineStr">
        <is>
          <t>Совпадений по улице+дому не найдено</t>
        </is>
      </c>
      <c r="U129" t="n">
        <v>178</v>
      </c>
      <c r="V129" t="n">
        <v>8</v>
      </c>
      <c r="W129" t="n">
        <v>10</v>
      </c>
      <c r="X129" t="n">
        <v>11214800</v>
      </c>
      <c r="Y129" t="inlineStr"/>
      <c r="Z129" t="inlineStr"/>
      <c r="AA129" t="inlineStr">
        <is>
          <t>https://knru.ru/catalog/irinovskiy-pr-269371235/</t>
        </is>
      </c>
      <c r="AB129" t="inlineStr">
        <is>
          <t>A+</t>
        </is>
      </c>
    </row>
    <row r="130">
      <c r="A130" t="n">
        <v>179</v>
      </c>
      <c r="B130" t="n">
        <v>8</v>
      </c>
      <c r="C130" t="n">
        <v>11</v>
      </c>
      <c r="D130" t="n">
        <v>1102143997</v>
      </c>
      <c r="E130" t="inlineStr">
        <is>
          <t>Красногвардейский</t>
        </is>
      </c>
      <c r="F130" t="inlineStr">
        <is>
          <t>Ириновский пр.</t>
        </is>
      </c>
      <c r="G130" t="n">
        <v>64.5</v>
      </c>
      <c r="H130" t="inlineStr">
        <is>
          <t>13 555 500</t>
        </is>
      </c>
      <c r="I130" t="inlineStr"/>
      <c r="J130" t="inlineStr"/>
      <c r="K130" t="inlineStr"/>
      <c r="L130" t="inlineStr"/>
      <c r="M130" t="inlineStr"/>
      <c r="N130" t="inlineStr">
        <is>
          <t>yes</t>
        </is>
      </c>
      <c r="O130" t="inlineStr">
        <is>
          <t>pixel_heuristic</t>
        </is>
      </c>
      <c r="P130">
        <f>HYPERLINK("https://knru.ru/catalog/irinovskiy-pr-1102143997/","ссылка")</f>
        <v/>
      </c>
      <c r="Q130" t="inlineStr"/>
      <c r="R130" t="inlineStr">
        <is>
          <t>Нет у нас</t>
        </is>
      </c>
      <c r="S130" t="n">
        <v>0</v>
      </c>
      <c r="T130" t="inlineStr">
        <is>
          <t>Совпадений по улице+дому не найдено</t>
        </is>
      </c>
      <c r="U130" t="n">
        <v>179</v>
      </c>
      <c r="V130" t="n">
        <v>8</v>
      </c>
      <c r="W130" t="n">
        <v>11</v>
      </c>
      <c r="X130" t="n">
        <v>13555500</v>
      </c>
      <c r="Y130" t="inlineStr"/>
      <c r="Z130" t="inlineStr"/>
      <c r="AA130" t="inlineStr">
        <is>
          <t>https://knru.ru/catalog/irinovskiy-pr-1102143997/</t>
        </is>
      </c>
      <c r="AB130" t="inlineStr">
        <is>
          <t>A+</t>
        </is>
      </c>
    </row>
    <row r="131">
      <c r="A131" t="n">
        <v>180</v>
      </c>
      <c r="B131" t="n">
        <v>8</v>
      </c>
      <c r="C131" t="n">
        <v>12</v>
      </c>
      <c r="D131" t="n">
        <v>2132428440</v>
      </c>
      <c r="E131" t="inlineStr">
        <is>
          <t>Красногвардейский</t>
        </is>
      </c>
      <c r="F131" t="inlineStr">
        <is>
          <t>Ириновский пр.</t>
        </is>
      </c>
      <c r="G131" t="n">
        <v>15.1</v>
      </c>
      <c r="H131" t="inlineStr">
        <is>
          <t>3 631 200</t>
        </is>
      </c>
      <c r="I131" t="inlineStr"/>
      <c r="J131" t="inlineStr"/>
      <c r="K131" t="inlineStr"/>
      <c r="L131" t="inlineStr"/>
      <c r="M131" t="inlineStr"/>
      <c r="N131" t="inlineStr">
        <is>
          <t>yes</t>
        </is>
      </c>
      <c r="O131" t="inlineStr">
        <is>
          <t>pixel_heuristic</t>
        </is>
      </c>
      <c r="P131">
        <f>HYPERLINK("https://knru.ru/catalog/irinovskiy-pr-2132428440/","ссылка")</f>
        <v/>
      </c>
      <c r="Q131" t="inlineStr"/>
      <c r="R131" t="inlineStr">
        <is>
          <t>Нет у нас</t>
        </is>
      </c>
      <c r="S131" t="n">
        <v>0</v>
      </c>
      <c r="T131" t="inlineStr">
        <is>
          <t>Совпадений по улице+дому не найдено</t>
        </is>
      </c>
      <c r="U131" t="n">
        <v>180</v>
      </c>
      <c r="V131" t="n">
        <v>8</v>
      </c>
      <c r="W131" t="n">
        <v>12</v>
      </c>
      <c r="X131" t="n">
        <v>3631200</v>
      </c>
      <c r="Y131" t="inlineStr"/>
      <c r="Z131" t="inlineStr"/>
      <c r="AA131" t="inlineStr">
        <is>
          <t>https://knru.ru/catalog/irinovskiy-pr-2132428440/</t>
        </is>
      </c>
      <c r="AB131" t="inlineStr">
        <is>
          <t>A+</t>
        </is>
      </c>
    </row>
    <row r="132">
      <c r="A132" t="n">
        <v>181</v>
      </c>
      <c r="B132" t="n">
        <v>8</v>
      </c>
      <c r="C132" t="n">
        <v>13</v>
      </c>
      <c r="D132" t="n">
        <v>430362822</v>
      </c>
      <c r="E132" t="inlineStr">
        <is>
          <t>Красногвардейский</t>
        </is>
      </c>
      <c r="F132" t="inlineStr">
        <is>
          <t>Ириновский пр.</t>
        </is>
      </c>
      <c r="G132" t="n">
        <v>50.1</v>
      </c>
      <c r="H132" t="inlineStr">
        <is>
          <t>11 534 500</t>
        </is>
      </c>
      <c r="I132" t="inlineStr"/>
      <c r="J132" t="inlineStr"/>
      <c r="K132" t="inlineStr"/>
      <c r="L132" t="inlineStr"/>
      <c r="M132" t="inlineStr"/>
      <c r="N132" t="inlineStr">
        <is>
          <t>yes</t>
        </is>
      </c>
      <c r="O132" t="inlineStr">
        <is>
          <t>pixel_heuristic</t>
        </is>
      </c>
      <c r="P132">
        <f>HYPERLINK("https://knru.ru/catalog/irinovskiy-pr-430362822/","ссылка")</f>
        <v/>
      </c>
      <c r="Q132" t="inlineStr"/>
      <c r="R132" t="inlineStr">
        <is>
          <t>Нет у нас</t>
        </is>
      </c>
      <c r="S132" t="n">
        <v>0</v>
      </c>
      <c r="T132" t="inlineStr">
        <is>
          <t>Совпадений по улице+дому не найдено</t>
        </is>
      </c>
      <c r="U132" t="n">
        <v>181</v>
      </c>
      <c r="V132" t="n">
        <v>8</v>
      </c>
      <c r="W132" t="n">
        <v>13</v>
      </c>
      <c r="X132" t="n">
        <v>11534500</v>
      </c>
      <c r="Y132" t="inlineStr"/>
      <c r="Z132" t="inlineStr"/>
      <c r="AA132" t="inlineStr">
        <is>
          <t>https://knru.ru/catalog/irinovskiy-pr-430362822/</t>
        </is>
      </c>
      <c r="AB132" t="inlineStr">
        <is>
          <t>A+</t>
        </is>
      </c>
    </row>
    <row r="133">
      <c r="A133" t="n">
        <v>182</v>
      </c>
      <c r="B133" t="n">
        <v>8</v>
      </c>
      <c r="C133" t="n">
        <v>14</v>
      </c>
      <c r="D133" t="n">
        <v>2134284846</v>
      </c>
      <c r="E133" t="inlineStr">
        <is>
          <t>Красногвардейский</t>
        </is>
      </c>
      <c r="F133" t="inlineStr">
        <is>
          <t>Ириновский пр.</t>
        </is>
      </c>
      <c r="G133" t="n">
        <v>60.2</v>
      </c>
      <c r="H133" t="inlineStr">
        <is>
          <t>12 633 600</t>
        </is>
      </c>
      <c r="I133" t="inlineStr"/>
      <c r="J133" t="inlineStr"/>
      <c r="K133" t="inlineStr"/>
      <c r="L133" t="inlineStr"/>
      <c r="M133" t="inlineStr"/>
      <c r="N133" t="inlineStr">
        <is>
          <t>yes</t>
        </is>
      </c>
      <c r="O133" t="inlineStr">
        <is>
          <t>pixel_heuristic</t>
        </is>
      </c>
      <c r="P133">
        <f>HYPERLINK("https://knru.ru/catalog/irinovskiy-pr-2134284846/","ссылка")</f>
        <v/>
      </c>
      <c r="Q133" t="inlineStr"/>
      <c r="R133" t="inlineStr">
        <is>
          <t>Нет у нас</t>
        </is>
      </c>
      <c r="S133" t="n">
        <v>0</v>
      </c>
      <c r="T133" t="inlineStr">
        <is>
          <t>Совпадений по улице+дому не найдено</t>
        </is>
      </c>
      <c r="U133" t="n">
        <v>182</v>
      </c>
      <c r="V133" t="n">
        <v>8</v>
      </c>
      <c r="W133" t="n">
        <v>14</v>
      </c>
      <c r="X133" t="n">
        <v>12633600</v>
      </c>
      <c r="Y133" t="inlineStr"/>
      <c r="Z133" t="inlineStr"/>
      <c r="AA133" t="inlineStr">
        <is>
          <t>https://knru.ru/catalog/irinovskiy-pr-2134284846/</t>
        </is>
      </c>
      <c r="AB133" t="inlineStr">
        <is>
          <t>A+</t>
        </is>
      </c>
    </row>
    <row r="134">
      <c r="A134" t="n">
        <v>183</v>
      </c>
      <c r="B134" t="n">
        <v>8</v>
      </c>
      <c r="C134" t="n">
        <v>15</v>
      </c>
      <c r="D134" t="n">
        <v>1440580454</v>
      </c>
      <c r="E134" t="inlineStr">
        <is>
          <t>Красногвардейский</t>
        </is>
      </c>
      <c r="F134" t="inlineStr">
        <is>
          <t>Ириновский пр.</t>
        </is>
      </c>
      <c r="G134" t="n">
        <v>60.9</v>
      </c>
      <c r="H134" t="inlineStr">
        <is>
          <t>12 795 300</t>
        </is>
      </c>
      <c r="I134" t="inlineStr"/>
      <c r="J134" t="inlineStr"/>
      <c r="K134" t="inlineStr"/>
      <c r="L134" t="inlineStr"/>
      <c r="M134" t="inlineStr"/>
      <c r="N134" t="inlineStr">
        <is>
          <t>yes</t>
        </is>
      </c>
      <c r="O134" t="inlineStr">
        <is>
          <t>pixel_heuristic</t>
        </is>
      </c>
      <c r="P134">
        <f>HYPERLINK("https://knru.ru/catalog/irinovskiy-pr-1440580454/","ссылка")</f>
        <v/>
      </c>
      <c r="Q134" t="inlineStr"/>
      <c r="R134" t="inlineStr">
        <is>
          <t>Нет у нас</t>
        </is>
      </c>
      <c r="S134" t="n">
        <v>0</v>
      </c>
      <c r="T134" t="inlineStr">
        <is>
          <t>Совпадений по улице+дому не найдено</t>
        </is>
      </c>
      <c r="U134" t="n">
        <v>183</v>
      </c>
      <c r="V134" t="n">
        <v>8</v>
      </c>
      <c r="W134" t="n">
        <v>15</v>
      </c>
      <c r="X134" t="n">
        <v>12795300</v>
      </c>
      <c r="Y134" t="inlineStr"/>
      <c r="Z134" t="inlineStr"/>
      <c r="AA134" t="inlineStr">
        <is>
          <t>https://knru.ru/catalog/irinovskiy-pr-1440580454/</t>
        </is>
      </c>
      <c r="AB134" t="inlineStr">
        <is>
          <t>A+</t>
        </is>
      </c>
    </row>
    <row r="135">
      <c r="A135" t="n">
        <v>184</v>
      </c>
      <c r="B135" t="n">
        <v>8</v>
      </c>
      <c r="C135" t="n">
        <v>16</v>
      </c>
      <c r="D135" t="n">
        <v>1901432295</v>
      </c>
      <c r="E135" t="inlineStr">
        <is>
          <t>Красногвардейский</t>
        </is>
      </c>
      <c r="F135" t="inlineStr">
        <is>
          <t>Ириновский пр.</t>
        </is>
      </c>
      <c r="G135" t="n">
        <v>86.7</v>
      </c>
      <c r="H135" t="inlineStr">
        <is>
          <t>18 213 300</t>
        </is>
      </c>
      <c r="I135" t="inlineStr"/>
      <c r="J135" t="inlineStr"/>
      <c r="K135" t="inlineStr"/>
      <c r="L135" t="inlineStr"/>
      <c r="M135" t="inlineStr"/>
      <c r="N135" t="inlineStr">
        <is>
          <t>yes</t>
        </is>
      </c>
      <c r="O135" t="inlineStr">
        <is>
          <t>pixel_heuristic</t>
        </is>
      </c>
      <c r="P135">
        <f>HYPERLINK("https://knru.ru/catalog/irinovskiy-pr-1901432295/","ссылка")</f>
        <v/>
      </c>
      <c r="Q135" t="inlineStr"/>
      <c r="R135" t="inlineStr">
        <is>
          <t>Нет у нас</t>
        </is>
      </c>
      <c r="S135" t="n">
        <v>0</v>
      </c>
      <c r="T135" t="inlineStr">
        <is>
          <t>Совпадений по улице+дому не найдено</t>
        </is>
      </c>
      <c r="U135" t="n">
        <v>184</v>
      </c>
      <c r="V135" t="n">
        <v>8</v>
      </c>
      <c r="W135" t="n">
        <v>16</v>
      </c>
      <c r="X135" t="n">
        <v>18213300</v>
      </c>
      <c r="Y135" t="inlineStr"/>
      <c r="Z135" t="inlineStr"/>
      <c r="AA135" t="inlineStr">
        <is>
          <t>https://knru.ru/catalog/irinovskiy-pr-1901432295/</t>
        </is>
      </c>
      <c r="AB135" t="inlineStr">
        <is>
          <t>A+</t>
        </is>
      </c>
    </row>
    <row r="136">
      <c r="A136" t="n">
        <v>185</v>
      </c>
      <c r="B136" t="n">
        <v>8</v>
      </c>
      <c r="C136" t="n">
        <v>17</v>
      </c>
      <c r="D136" t="n">
        <v>764150464</v>
      </c>
      <c r="E136" t="inlineStr">
        <is>
          <t>Красногвардейский</t>
        </is>
      </c>
      <c r="F136" t="inlineStr">
        <is>
          <t>Ириновский пр.</t>
        </is>
      </c>
      <c r="G136" t="n">
        <v>28.5</v>
      </c>
      <c r="H136" t="inlineStr">
        <is>
          <t>6 555 000</t>
        </is>
      </c>
      <c r="I136" t="inlineStr"/>
      <c r="J136" t="inlineStr"/>
      <c r="K136" t="inlineStr"/>
      <c r="L136" t="inlineStr"/>
      <c r="M136" t="inlineStr"/>
      <c r="N136" t="inlineStr">
        <is>
          <t>yes</t>
        </is>
      </c>
      <c r="O136" t="inlineStr">
        <is>
          <t>pixel_heuristic</t>
        </is>
      </c>
      <c r="P136">
        <f>HYPERLINK("https://knru.ru/catalog/irinovskiy-pr-764150464/","ссылка")</f>
        <v/>
      </c>
      <c r="Q136" t="inlineStr"/>
      <c r="R136" t="inlineStr">
        <is>
          <t>Нет у нас</t>
        </is>
      </c>
      <c r="S136" t="n">
        <v>0</v>
      </c>
      <c r="T136" t="inlineStr">
        <is>
          <t>Совпадений по улице+дому не найдено</t>
        </is>
      </c>
      <c r="U136" t="n">
        <v>185</v>
      </c>
      <c r="V136" t="n">
        <v>8</v>
      </c>
      <c r="W136" t="n">
        <v>17</v>
      </c>
      <c r="X136" t="n">
        <v>6555000</v>
      </c>
      <c r="Y136" t="inlineStr"/>
      <c r="Z136" t="inlineStr"/>
      <c r="AA136" t="inlineStr">
        <is>
          <t>https://knru.ru/catalog/irinovskiy-pr-764150464/</t>
        </is>
      </c>
      <c r="AB136" t="inlineStr">
        <is>
          <t>A+</t>
        </is>
      </c>
    </row>
    <row r="137">
      <c r="A137" t="n">
        <v>186</v>
      </c>
      <c r="B137" t="n">
        <v>8</v>
      </c>
      <c r="C137" t="n">
        <v>18</v>
      </c>
      <c r="D137" t="n">
        <v>142794707</v>
      </c>
      <c r="E137" t="inlineStr">
        <is>
          <t>Красногвардейский</t>
        </is>
      </c>
      <c r="F137" t="inlineStr">
        <is>
          <t>Ириновский пр.</t>
        </is>
      </c>
      <c r="G137" t="n">
        <v>471.9</v>
      </c>
      <c r="H137" t="inlineStr">
        <is>
          <t>117 975 000</t>
        </is>
      </c>
      <c r="I137" t="inlineStr"/>
      <c r="J137" t="inlineStr"/>
      <c r="K137" t="inlineStr"/>
      <c r="L137" t="inlineStr"/>
      <c r="M137" t="inlineStr"/>
      <c r="N137" t="inlineStr">
        <is>
          <t>yes</t>
        </is>
      </c>
      <c r="O137" t="inlineStr">
        <is>
          <t>pixel_heuristic</t>
        </is>
      </c>
      <c r="P137">
        <f>HYPERLINK("https://knru.ru/catalog/irinovskiy-pr-142794707/","ссылка")</f>
        <v/>
      </c>
      <c r="Q137" t="inlineStr"/>
      <c r="R137" t="inlineStr">
        <is>
          <t>Нет у нас</t>
        </is>
      </c>
      <c r="S137" t="n">
        <v>0</v>
      </c>
      <c r="T137" t="inlineStr">
        <is>
          <t>Совпадений по улице+дому не найдено</t>
        </is>
      </c>
      <c r="U137" t="n">
        <v>186</v>
      </c>
      <c r="V137" t="n">
        <v>8</v>
      </c>
      <c r="W137" t="n">
        <v>18</v>
      </c>
      <c r="X137" t="n">
        <v>117975000</v>
      </c>
      <c r="Y137" t="inlineStr"/>
      <c r="Z137" t="inlineStr"/>
      <c r="AA137" t="inlineStr">
        <is>
          <t>https://knru.ru/catalog/irinovskiy-pr-142794707/</t>
        </is>
      </c>
      <c r="AB137" t="inlineStr">
        <is>
          <t>A+</t>
        </is>
      </c>
    </row>
    <row r="138">
      <c r="A138" t="n">
        <v>187</v>
      </c>
      <c r="B138" t="n">
        <v>8</v>
      </c>
      <c r="C138" t="n">
        <v>19</v>
      </c>
      <c r="D138" t="n">
        <v>1862778443</v>
      </c>
      <c r="E138" t="inlineStr">
        <is>
          <t>Красногвардейский</t>
        </is>
      </c>
      <c r="F138" t="inlineStr">
        <is>
          <t>Ириновский пр.</t>
        </is>
      </c>
      <c r="G138" t="n">
        <v>27.7</v>
      </c>
      <c r="H138" t="inlineStr">
        <is>
          <t>6 640 800</t>
        </is>
      </c>
      <c r="I138" t="inlineStr"/>
      <c r="J138" t="inlineStr"/>
      <c r="K138" t="inlineStr"/>
      <c r="L138" t="inlineStr"/>
      <c r="M138" t="inlineStr"/>
      <c r="N138" t="inlineStr">
        <is>
          <t>yes</t>
        </is>
      </c>
      <c r="O138" t="inlineStr">
        <is>
          <t>pixel_heuristic</t>
        </is>
      </c>
      <c r="P138">
        <f>HYPERLINK("https://knru.ru/catalog/irinovskiy-pr-1862778443/","ссылка")</f>
        <v/>
      </c>
      <c r="Q138" t="inlineStr"/>
      <c r="R138" t="inlineStr">
        <is>
          <t>Нет у нас</t>
        </is>
      </c>
      <c r="S138" t="n">
        <v>0</v>
      </c>
      <c r="T138" t="inlineStr">
        <is>
          <t>Совпадений по улице+дому не найдено</t>
        </is>
      </c>
      <c r="U138" t="n">
        <v>187</v>
      </c>
      <c r="V138" t="n">
        <v>8</v>
      </c>
      <c r="W138" t="n">
        <v>19</v>
      </c>
      <c r="X138" t="n">
        <v>6640800</v>
      </c>
      <c r="Y138" t="inlineStr"/>
      <c r="Z138" t="inlineStr"/>
      <c r="AA138" t="inlineStr">
        <is>
          <t>https://knru.ru/catalog/irinovskiy-pr-1862778443/</t>
        </is>
      </c>
      <c r="AB138" t="inlineStr">
        <is>
          <t>A+</t>
        </is>
      </c>
    </row>
    <row r="139">
      <c r="A139" t="n">
        <v>188</v>
      </c>
      <c r="B139" t="n">
        <v>8</v>
      </c>
      <c r="C139" t="n">
        <v>20</v>
      </c>
      <c r="D139" t="n">
        <v>513276771</v>
      </c>
      <c r="E139" t="inlineStr">
        <is>
          <t>Красногвардейский</t>
        </is>
      </c>
      <c r="F139" t="inlineStr">
        <is>
          <t>Ириновский пр.</t>
        </is>
      </c>
      <c r="G139" t="n">
        <v>27</v>
      </c>
      <c r="H139" t="inlineStr">
        <is>
          <t>6 489 600</t>
        </is>
      </c>
      <c r="I139" t="inlineStr"/>
      <c r="J139" t="inlineStr"/>
      <c r="K139" t="inlineStr"/>
      <c r="L139" t="inlineStr"/>
      <c r="M139" t="inlineStr"/>
      <c r="N139" t="inlineStr">
        <is>
          <t>yes</t>
        </is>
      </c>
      <c r="O139" t="inlineStr">
        <is>
          <t>pixel_heuristic</t>
        </is>
      </c>
      <c r="P139">
        <f>HYPERLINK("https://knru.ru/catalog/irinovskiy-pr-513276771/","ссылка")</f>
        <v/>
      </c>
      <c r="Q139" t="inlineStr"/>
      <c r="R139" t="inlineStr">
        <is>
          <t>Нет у нас</t>
        </is>
      </c>
      <c r="S139" t="n">
        <v>0</v>
      </c>
      <c r="T139" t="inlineStr">
        <is>
          <t>Совпадений по улице+дому не найдено</t>
        </is>
      </c>
      <c r="U139" t="n">
        <v>188</v>
      </c>
      <c r="V139" t="n">
        <v>8</v>
      </c>
      <c r="W139" t="n">
        <v>20</v>
      </c>
      <c r="X139" t="n">
        <v>6489600</v>
      </c>
      <c r="Y139" t="inlineStr"/>
      <c r="Z139" t="inlineStr"/>
      <c r="AA139" t="inlineStr">
        <is>
          <t>https://knru.ru/catalog/irinovskiy-pr-513276771/</t>
        </is>
      </c>
      <c r="AB139" t="inlineStr">
        <is>
          <t>A+</t>
        </is>
      </c>
    </row>
    <row r="140">
      <c r="A140" t="n">
        <v>189</v>
      </c>
      <c r="B140" t="n">
        <v>8</v>
      </c>
      <c r="C140" t="n">
        <v>21</v>
      </c>
      <c r="D140" t="n">
        <v>2071878978</v>
      </c>
      <c r="E140" t="inlineStr">
        <is>
          <t>Красногвардейский</t>
        </is>
      </c>
      <c r="F140" t="inlineStr">
        <is>
          <t>Ириновский пр.</t>
        </is>
      </c>
      <c r="G140" t="n">
        <v>30.2</v>
      </c>
      <c r="H140" t="inlineStr">
        <is>
          <t>7 248 000</t>
        </is>
      </c>
      <c r="I140" t="inlineStr"/>
      <c r="J140" t="inlineStr"/>
      <c r="K140" t="inlineStr"/>
      <c r="L140" t="inlineStr"/>
      <c r="M140" t="inlineStr"/>
      <c r="N140" t="inlineStr">
        <is>
          <t>yes</t>
        </is>
      </c>
      <c r="O140" t="inlineStr">
        <is>
          <t>pixel_heuristic</t>
        </is>
      </c>
      <c r="P140">
        <f>HYPERLINK("https://knru.ru/catalog/irinovskiy-pr-2071878978/","ссылка")</f>
        <v/>
      </c>
      <c r="Q140" t="inlineStr"/>
      <c r="R140" t="inlineStr">
        <is>
          <t>Нет у нас</t>
        </is>
      </c>
      <c r="S140" t="n">
        <v>0</v>
      </c>
      <c r="T140" t="inlineStr">
        <is>
          <t>Совпадений по улице+дому не найдено</t>
        </is>
      </c>
      <c r="U140" t="n">
        <v>189</v>
      </c>
      <c r="V140" t="n">
        <v>8</v>
      </c>
      <c r="W140" t="n">
        <v>21</v>
      </c>
      <c r="X140" t="n">
        <v>7248000</v>
      </c>
      <c r="Y140" t="inlineStr"/>
      <c r="Z140" t="inlineStr"/>
      <c r="AA140" t="inlineStr">
        <is>
          <t>https://knru.ru/catalog/irinovskiy-pr-2071878978/</t>
        </is>
      </c>
      <c r="AB140" t="inlineStr">
        <is>
          <t>A+</t>
        </is>
      </c>
    </row>
    <row r="141">
      <c r="A141" t="n">
        <v>190</v>
      </c>
      <c r="B141" t="n">
        <v>8</v>
      </c>
      <c r="C141" t="n">
        <v>22</v>
      </c>
      <c r="D141" t="n">
        <v>166528510</v>
      </c>
      <c r="E141" t="inlineStr">
        <is>
          <t>Красногвардейский</t>
        </is>
      </c>
      <c r="F141" t="inlineStr">
        <is>
          <t>Ириновский пр.</t>
        </is>
      </c>
      <c r="G141" t="n">
        <v>28.2</v>
      </c>
      <c r="H141" t="inlineStr">
        <is>
          <t>6 760 800</t>
        </is>
      </c>
      <c r="I141" t="inlineStr"/>
      <c r="J141" t="inlineStr"/>
      <c r="K141" t="inlineStr"/>
      <c r="L141" t="inlineStr"/>
      <c r="M141" t="inlineStr"/>
      <c r="N141" t="inlineStr">
        <is>
          <t>yes</t>
        </is>
      </c>
      <c r="O141" t="inlineStr">
        <is>
          <t>pixel_heuristic</t>
        </is>
      </c>
      <c r="P141">
        <f>HYPERLINK("https://knru.ru/catalog/irinovskiy-pr-166528510/","ссылка")</f>
        <v/>
      </c>
      <c r="Q141" t="inlineStr"/>
      <c r="R141" t="inlineStr">
        <is>
          <t>Нет у нас</t>
        </is>
      </c>
      <c r="S141" t="n">
        <v>0</v>
      </c>
      <c r="T141" t="inlineStr">
        <is>
          <t>Совпадений по улице+дому не найдено</t>
        </is>
      </c>
      <c r="U141" t="n">
        <v>190</v>
      </c>
      <c r="V141" t="n">
        <v>8</v>
      </c>
      <c r="W141" t="n">
        <v>22</v>
      </c>
      <c r="X141" t="n">
        <v>6760800</v>
      </c>
      <c r="Y141" t="inlineStr"/>
      <c r="Z141" t="inlineStr"/>
      <c r="AA141" t="inlineStr">
        <is>
          <t>https://knru.ru/catalog/irinovskiy-pr-166528510/</t>
        </is>
      </c>
      <c r="AB141" t="inlineStr">
        <is>
          <t>A+</t>
        </is>
      </c>
    </row>
    <row r="142">
      <c r="A142" t="n">
        <v>191</v>
      </c>
      <c r="B142" t="n">
        <v>8</v>
      </c>
      <c r="C142" t="n">
        <v>23</v>
      </c>
      <c r="D142" t="n">
        <v>1282772007</v>
      </c>
      <c r="E142" t="inlineStr">
        <is>
          <t>Красногвардейский</t>
        </is>
      </c>
      <c r="F142" t="inlineStr">
        <is>
          <t>Ириновский пр.</t>
        </is>
      </c>
      <c r="G142" t="n">
        <v>29.3</v>
      </c>
      <c r="H142" t="inlineStr">
        <is>
          <t>7 027 200</t>
        </is>
      </c>
      <c r="I142" t="inlineStr"/>
      <c r="J142" t="inlineStr"/>
      <c r="K142" t="inlineStr"/>
      <c r="L142" t="inlineStr"/>
      <c r="M142" t="inlineStr"/>
      <c r="N142" t="inlineStr">
        <is>
          <t>yes</t>
        </is>
      </c>
      <c r="O142" t="inlineStr">
        <is>
          <t>pixel_heuristic</t>
        </is>
      </c>
      <c r="P142">
        <f>HYPERLINK("https://knru.ru/catalog/irinovskiy-pr-1282772007/","ссылка")</f>
        <v/>
      </c>
      <c r="Q142" t="inlineStr"/>
      <c r="R142" t="inlineStr">
        <is>
          <t>Нет у нас</t>
        </is>
      </c>
      <c r="S142" t="n">
        <v>0</v>
      </c>
      <c r="T142" t="inlineStr">
        <is>
          <t>Совпадений по улице+дому не найдено</t>
        </is>
      </c>
      <c r="U142" t="n">
        <v>191</v>
      </c>
      <c r="V142" t="n">
        <v>8</v>
      </c>
      <c r="W142" t="n">
        <v>23</v>
      </c>
      <c r="X142" t="n">
        <v>7027200</v>
      </c>
      <c r="Y142" t="inlineStr"/>
      <c r="Z142" t="inlineStr"/>
      <c r="AA142" t="inlineStr">
        <is>
          <t>https://knru.ru/catalog/irinovskiy-pr-1282772007/</t>
        </is>
      </c>
      <c r="AB142" t="inlineStr">
        <is>
          <t>A+</t>
        </is>
      </c>
    </row>
    <row r="143">
      <c r="A143" t="n">
        <v>192</v>
      </c>
      <c r="B143" t="n">
        <v>8</v>
      </c>
      <c r="C143" t="n">
        <v>24</v>
      </c>
      <c r="D143" t="n">
        <v>1750697479</v>
      </c>
      <c r="E143" t="inlineStr">
        <is>
          <t>Красногвардейский</t>
        </is>
      </c>
      <c r="F143" t="inlineStr">
        <is>
          <t>Ириновский пр.</t>
        </is>
      </c>
      <c r="G143" t="n">
        <v>68.09999999999999</v>
      </c>
      <c r="H143" t="inlineStr">
        <is>
          <t>14 303 100</t>
        </is>
      </c>
      <c r="I143" t="inlineStr"/>
      <c r="J143" t="inlineStr"/>
      <c r="K143" t="inlineStr"/>
      <c r="L143" t="inlineStr"/>
      <c r="M143" t="inlineStr"/>
      <c r="N143" t="inlineStr">
        <is>
          <t>yes</t>
        </is>
      </c>
      <c r="O143" t="inlineStr">
        <is>
          <t>pixel_heuristic</t>
        </is>
      </c>
      <c r="P143">
        <f>HYPERLINK("https://knru.ru/catalog/irinovskiy-pr-1750697479/","ссылка")</f>
        <v/>
      </c>
      <c r="Q143" t="inlineStr"/>
      <c r="R143" t="inlineStr">
        <is>
          <t>Нет у нас</t>
        </is>
      </c>
      <c r="S143" t="n">
        <v>0</v>
      </c>
      <c r="T143" t="inlineStr">
        <is>
          <t>Совпадений по улице+дому не найдено</t>
        </is>
      </c>
      <c r="U143" t="n">
        <v>192</v>
      </c>
      <c r="V143" t="n">
        <v>8</v>
      </c>
      <c r="W143" t="n">
        <v>24</v>
      </c>
      <c r="X143" t="n">
        <v>14303100</v>
      </c>
      <c r="Y143" t="inlineStr"/>
      <c r="Z143" t="inlineStr"/>
      <c r="AA143" t="inlineStr">
        <is>
          <t>https://knru.ru/catalog/irinovskiy-pr-1750697479/</t>
        </is>
      </c>
      <c r="AB143" t="inlineStr">
        <is>
          <t>A+</t>
        </is>
      </c>
    </row>
    <row r="144">
      <c r="A144" t="n">
        <v>193</v>
      </c>
      <c r="B144" t="n">
        <v>9</v>
      </c>
      <c r="C144" t="n">
        <v>1</v>
      </c>
      <c r="D144" t="n">
        <v>811520880</v>
      </c>
      <c r="E144" t="inlineStr">
        <is>
          <t>Красногвардейский</t>
        </is>
      </c>
      <c r="F144" t="inlineStr">
        <is>
          <t>Ириновский пр.</t>
        </is>
      </c>
      <c r="G144" t="n">
        <v>54.5</v>
      </c>
      <c r="H144" t="inlineStr">
        <is>
          <t>11 449 200</t>
        </is>
      </c>
      <c r="I144" t="inlineStr"/>
      <c r="J144" t="inlineStr"/>
      <c r="K144" t="inlineStr"/>
      <c r="L144" t="inlineStr"/>
      <c r="M144" t="inlineStr"/>
      <c r="N144" t="inlineStr">
        <is>
          <t>yes</t>
        </is>
      </c>
      <c r="O144" t="inlineStr">
        <is>
          <t>pixel_heuristic</t>
        </is>
      </c>
      <c r="P144">
        <f>HYPERLINK("https://knru.ru/catalog/irinovskiy-pr-811520880/","ссылка")</f>
        <v/>
      </c>
      <c r="Q144" t="inlineStr"/>
      <c r="R144" t="inlineStr">
        <is>
          <t>Нет у нас</t>
        </is>
      </c>
      <c r="S144" t="n">
        <v>0</v>
      </c>
      <c r="T144" t="inlineStr">
        <is>
          <t>Совпадений по улице+дому не найдено</t>
        </is>
      </c>
      <c r="U144" t="n">
        <v>193</v>
      </c>
      <c r="V144" t="n">
        <v>9</v>
      </c>
      <c r="W144" t="n">
        <v>1</v>
      </c>
      <c r="X144" t="n">
        <v>11449200</v>
      </c>
      <c r="Y144" t="inlineStr"/>
      <c r="Z144" t="inlineStr"/>
      <c r="AA144" t="inlineStr">
        <is>
          <t>https://knru.ru/catalog/irinovskiy-pr-811520880/</t>
        </is>
      </c>
      <c r="AB144" t="inlineStr">
        <is>
          <t>A+</t>
        </is>
      </c>
    </row>
    <row r="145">
      <c r="A145" t="n">
        <v>194</v>
      </c>
      <c r="B145" t="n">
        <v>9</v>
      </c>
      <c r="C145" t="n">
        <v>2</v>
      </c>
      <c r="D145" t="n">
        <v>575580849</v>
      </c>
      <c r="E145" t="inlineStr">
        <is>
          <t>Красногвардейский</t>
        </is>
      </c>
      <c r="F145" t="inlineStr">
        <is>
          <t>Ириновский пр.</t>
        </is>
      </c>
      <c r="G145" t="n">
        <v>52.6</v>
      </c>
      <c r="H145" t="inlineStr">
        <is>
          <t>11 052 300</t>
        </is>
      </c>
      <c r="I145" t="inlineStr"/>
      <c r="J145" t="inlineStr"/>
      <c r="K145" t="inlineStr"/>
      <c r="L145" t="inlineStr"/>
      <c r="M145" t="inlineStr"/>
      <c r="N145" t="inlineStr">
        <is>
          <t>yes</t>
        </is>
      </c>
      <c r="O145" t="inlineStr">
        <is>
          <t>pixel_heuristic</t>
        </is>
      </c>
      <c r="P145">
        <f>HYPERLINK("https://knru.ru/catalog/irinovskiy-pr-575580849/","ссылка")</f>
        <v/>
      </c>
      <c r="Q145" t="inlineStr"/>
      <c r="R145" t="inlineStr">
        <is>
          <t>Нет у нас</t>
        </is>
      </c>
      <c r="S145" t="n">
        <v>0</v>
      </c>
      <c r="T145" t="inlineStr">
        <is>
          <t>Совпадений по улице+дому не найдено</t>
        </is>
      </c>
      <c r="U145" t="n">
        <v>194</v>
      </c>
      <c r="V145" t="n">
        <v>9</v>
      </c>
      <c r="W145" t="n">
        <v>2</v>
      </c>
      <c r="X145" t="n">
        <v>11052300</v>
      </c>
      <c r="Y145" t="inlineStr"/>
      <c r="Z145" t="inlineStr"/>
      <c r="AA145" t="inlineStr">
        <is>
          <t>https://knru.ru/catalog/irinovskiy-pr-575580849/</t>
        </is>
      </c>
      <c r="AB145" t="inlineStr">
        <is>
          <t>A+</t>
        </is>
      </c>
    </row>
    <row r="146">
      <c r="A146" t="n">
        <v>195</v>
      </c>
      <c r="B146" t="n">
        <v>9</v>
      </c>
      <c r="C146" t="n">
        <v>3</v>
      </c>
      <c r="D146" t="n">
        <v>1011805678</v>
      </c>
      <c r="E146" t="inlineStr">
        <is>
          <t>Красногвардейский</t>
        </is>
      </c>
      <c r="F146" t="inlineStr">
        <is>
          <t>Ириновский пр.</t>
        </is>
      </c>
      <c r="G146" t="n">
        <v>28.1</v>
      </c>
      <c r="H146" t="inlineStr">
        <is>
          <t>6 460 700</t>
        </is>
      </c>
      <c r="I146" t="inlineStr"/>
      <c r="J146" t="inlineStr"/>
      <c r="K146" t="inlineStr"/>
      <c r="L146" t="inlineStr"/>
      <c r="M146" t="inlineStr"/>
      <c r="N146" t="inlineStr">
        <is>
          <t>yes</t>
        </is>
      </c>
      <c r="O146" t="inlineStr">
        <is>
          <t>pixel_heuristic</t>
        </is>
      </c>
      <c r="P146">
        <f>HYPERLINK("https://knru.ru/catalog/irinovskiy-pr-1011805678/","ссылка")</f>
        <v/>
      </c>
      <c r="Q146" t="inlineStr"/>
      <c r="R146" t="inlineStr">
        <is>
          <t>Нет у нас</t>
        </is>
      </c>
      <c r="S146" t="n">
        <v>0</v>
      </c>
      <c r="T146" t="inlineStr">
        <is>
          <t>Совпадений по улице+дому не найдено</t>
        </is>
      </c>
      <c r="U146" t="n">
        <v>195</v>
      </c>
      <c r="V146" t="n">
        <v>9</v>
      </c>
      <c r="W146" t="n">
        <v>3</v>
      </c>
      <c r="X146" t="n">
        <v>6460700</v>
      </c>
      <c r="Y146" t="inlineStr"/>
      <c r="Z146" t="inlineStr"/>
      <c r="AA146" t="inlineStr">
        <is>
          <t>https://knru.ru/catalog/irinovskiy-pr-1011805678/</t>
        </is>
      </c>
      <c r="AB146" t="inlineStr">
        <is>
          <t>A+</t>
        </is>
      </c>
    </row>
    <row r="147">
      <c r="A147" t="n">
        <v>196</v>
      </c>
      <c r="B147" t="n">
        <v>9</v>
      </c>
      <c r="C147" t="n">
        <v>4</v>
      </c>
      <c r="D147" t="n">
        <v>400758664</v>
      </c>
      <c r="E147" t="inlineStr">
        <is>
          <t>Красногвардейский</t>
        </is>
      </c>
      <c r="F147" t="inlineStr">
        <is>
          <t>Ириновский пр.</t>
        </is>
      </c>
      <c r="G147" t="n">
        <v>43.2</v>
      </c>
      <c r="H147" t="inlineStr">
        <is>
          <t>9 940 600</t>
        </is>
      </c>
      <c r="I147" t="inlineStr"/>
      <c r="J147" t="inlineStr"/>
      <c r="K147" t="inlineStr"/>
      <c r="L147" t="inlineStr"/>
      <c r="M147" t="inlineStr"/>
      <c r="N147" t="inlineStr">
        <is>
          <t>yes</t>
        </is>
      </c>
      <c r="O147" t="inlineStr">
        <is>
          <t>pixel_heuristic</t>
        </is>
      </c>
      <c r="P147">
        <f>HYPERLINK("https://knru.ru/catalog/irinovskiy-pr-400758664/","ссылка")</f>
        <v/>
      </c>
      <c r="Q147" t="inlineStr"/>
      <c r="R147" t="inlineStr">
        <is>
          <t>Нет у нас</t>
        </is>
      </c>
      <c r="S147" t="n">
        <v>0</v>
      </c>
      <c r="T147" t="inlineStr">
        <is>
          <t>Совпадений по улице+дому не найдено</t>
        </is>
      </c>
      <c r="U147" t="n">
        <v>196</v>
      </c>
      <c r="V147" t="n">
        <v>9</v>
      </c>
      <c r="W147" t="n">
        <v>4</v>
      </c>
      <c r="X147" t="n">
        <v>9940600</v>
      </c>
      <c r="Y147" t="inlineStr"/>
      <c r="Z147" t="inlineStr"/>
      <c r="AA147" t="inlineStr">
        <is>
          <t>https://knru.ru/catalog/irinovskiy-pr-400758664/</t>
        </is>
      </c>
      <c r="AB147" t="inlineStr">
        <is>
          <t>A+</t>
        </is>
      </c>
    </row>
    <row r="148">
      <c r="A148" t="n">
        <v>197</v>
      </c>
      <c r="B148" t="n">
        <v>9</v>
      </c>
      <c r="C148" t="n">
        <v>5</v>
      </c>
      <c r="D148" t="n">
        <v>925052692</v>
      </c>
      <c r="E148" t="inlineStr">
        <is>
          <t>Красногвардейский</t>
        </is>
      </c>
      <c r="F148" t="inlineStr">
        <is>
          <t>Ириновский пр.</t>
        </is>
      </c>
      <c r="G148" t="n">
        <v>27</v>
      </c>
      <c r="H148" t="inlineStr">
        <is>
          <t>6 489 600</t>
        </is>
      </c>
      <c r="I148" t="inlineStr"/>
      <c r="J148" t="inlineStr"/>
      <c r="K148" t="inlineStr"/>
      <c r="L148" t="inlineStr"/>
      <c r="M148" t="inlineStr"/>
      <c r="N148" t="inlineStr">
        <is>
          <t>yes</t>
        </is>
      </c>
      <c r="O148" t="inlineStr">
        <is>
          <t>pixel_heuristic</t>
        </is>
      </c>
      <c r="P148">
        <f>HYPERLINK("https://knru.ru/catalog/irinovskiy-pr-925052692/","ссылка")</f>
        <v/>
      </c>
      <c r="Q148" t="inlineStr"/>
      <c r="R148" t="inlineStr">
        <is>
          <t>Нет у нас</t>
        </is>
      </c>
      <c r="S148" t="n">
        <v>0</v>
      </c>
      <c r="T148" t="inlineStr">
        <is>
          <t>Совпадений по улице+дому не найдено</t>
        </is>
      </c>
      <c r="U148" t="n">
        <v>197</v>
      </c>
      <c r="V148" t="n">
        <v>9</v>
      </c>
      <c r="W148" t="n">
        <v>5</v>
      </c>
      <c r="X148" t="n">
        <v>6489600</v>
      </c>
      <c r="Y148" t="inlineStr"/>
      <c r="Z148" t="inlineStr"/>
      <c r="AA148" t="inlineStr">
        <is>
          <t>https://knru.ru/catalog/irinovskiy-pr-925052692/</t>
        </is>
      </c>
      <c r="AB148" t="inlineStr">
        <is>
          <t>A+</t>
        </is>
      </c>
    </row>
    <row r="149">
      <c r="A149" t="n">
        <v>198</v>
      </c>
      <c r="B149" t="n">
        <v>9</v>
      </c>
      <c r="C149" t="n">
        <v>6</v>
      </c>
      <c r="D149" t="n">
        <v>59644384</v>
      </c>
      <c r="E149" t="inlineStr">
        <is>
          <t>Красногвардейский</t>
        </is>
      </c>
      <c r="F149" t="inlineStr">
        <is>
          <t>Ириновский пр.</t>
        </is>
      </c>
      <c r="G149" t="n">
        <v>17.9</v>
      </c>
      <c r="H149" t="inlineStr">
        <is>
          <t>6 261 500</t>
        </is>
      </c>
      <c r="I149" t="inlineStr"/>
      <c r="J149" t="inlineStr"/>
      <c r="K149" t="inlineStr"/>
      <c r="L149" t="inlineStr"/>
      <c r="M149" t="inlineStr"/>
      <c r="N149" t="inlineStr">
        <is>
          <t>yes</t>
        </is>
      </c>
      <c r="O149" t="inlineStr">
        <is>
          <t>pixel_heuristic</t>
        </is>
      </c>
      <c r="P149">
        <f>HYPERLINK("https://knru.ru/catalog/irinovskiy-pr-59644384/","ссылка")</f>
        <v/>
      </c>
      <c r="Q149" t="inlineStr"/>
      <c r="R149" t="inlineStr">
        <is>
          <t>Нет у нас</t>
        </is>
      </c>
      <c r="S149" t="n">
        <v>0</v>
      </c>
      <c r="T149" t="inlineStr">
        <is>
          <t>Совпадений по улице+дому не найдено</t>
        </is>
      </c>
      <c r="U149" t="n">
        <v>198</v>
      </c>
      <c r="V149" t="n">
        <v>9</v>
      </c>
      <c r="W149" t="n">
        <v>6</v>
      </c>
      <c r="X149" t="n">
        <v>6261500</v>
      </c>
      <c r="Y149" t="inlineStr"/>
      <c r="Z149" t="inlineStr"/>
      <c r="AA149" t="inlineStr">
        <is>
          <t>https://knru.ru/catalog/irinovskiy-pr-59644384/</t>
        </is>
      </c>
      <c r="AB149" t="inlineStr">
        <is>
          <t>A+</t>
        </is>
      </c>
    </row>
    <row r="150">
      <c r="A150" t="n">
        <v>199</v>
      </c>
      <c r="B150" t="n">
        <v>9</v>
      </c>
      <c r="C150" t="n">
        <v>7</v>
      </c>
      <c r="D150" t="n">
        <v>542687423</v>
      </c>
      <c r="E150" t="inlineStr">
        <is>
          <t>Красногвардейский</t>
        </is>
      </c>
      <c r="F150" t="inlineStr">
        <is>
          <t>Ириновский пр.</t>
        </is>
      </c>
      <c r="G150" t="n">
        <v>101</v>
      </c>
      <c r="H150" t="inlineStr">
        <is>
          <t>35 336 000</t>
        </is>
      </c>
      <c r="I150" t="inlineStr"/>
      <c r="J150" t="inlineStr"/>
      <c r="K150" t="inlineStr"/>
      <c r="L150" t="inlineStr"/>
      <c r="M150" t="inlineStr"/>
      <c r="N150" t="inlineStr">
        <is>
          <t>yes</t>
        </is>
      </c>
      <c r="O150" t="inlineStr">
        <is>
          <t>pixel_heuristic</t>
        </is>
      </c>
      <c r="P150">
        <f>HYPERLINK("https://knru.ru/catalog/irinovskiy-pr-542687423/","ссылка")</f>
        <v/>
      </c>
      <c r="Q150" t="inlineStr"/>
      <c r="R150" t="inlineStr">
        <is>
          <t>Нет у нас</t>
        </is>
      </c>
      <c r="S150" t="n">
        <v>0</v>
      </c>
      <c r="T150" t="inlineStr">
        <is>
          <t>Совпадений по улице+дому не найдено</t>
        </is>
      </c>
      <c r="U150" t="n">
        <v>199</v>
      </c>
      <c r="V150" t="n">
        <v>9</v>
      </c>
      <c r="W150" t="n">
        <v>7</v>
      </c>
      <c r="X150" t="n">
        <v>35336000</v>
      </c>
      <c r="Y150" t="inlineStr"/>
      <c r="Z150" t="inlineStr"/>
      <c r="AA150" t="inlineStr">
        <is>
          <t>https://knru.ru/catalog/irinovskiy-pr-542687423/</t>
        </is>
      </c>
      <c r="AB150" t="inlineStr">
        <is>
          <t>A+</t>
        </is>
      </c>
    </row>
    <row r="151">
      <c r="A151" t="n">
        <v>200</v>
      </c>
      <c r="B151" t="n">
        <v>9</v>
      </c>
      <c r="C151" t="n">
        <v>8</v>
      </c>
      <c r="D151" t="n">
        <v>368959580</v>
      </c>
      <c r="E151" t="inlineStr">
        <is>
          <t>Красногвардейский</t>
        </is>
      </c>
      <c r="F151" t="inlineStr">
        <is>
          <t>Ириновский пр.</t>
        </is>
      </c>
      <c r="G151" t="n">
        <v>23.8</v>
      </c>
      <c r="H151" t="inlineStr">
        <is>
          <t>8 830 000</t>
        </is>
      </c>
      <c r="I151" t="inlineStr"/>
      <c r="J151" t="inlineStr"/>
      <c r="K151" t="inlineStr"/>
      <c r="L151" t="inlineStr"/>
      <c r="M151" t="inlineStr"/>
      <c r="N151" t="inlineStr">
        <is>
          <t>yes</t>
        </is>
      </c>
      <c r="O151" t="inlineStr">
        <is>
          <t>pixel_heuristic</t>
        </is>
      </c>
      <c r="P151">
        <f>HYPERLINK("https://knru.ru/catalog/irinovskiy-pr-368959580/","ссылка")</f>
        <v/>
      </c>
      <c r="Q151" t="inlineStr"/>
      <c r="R151" t="inlineStr">
        <is>
          <t>Нет у нас</t>
        </is>
      </c>
      <c r="S151" t="n">
        <v>0</v>
      </c>
      <c r="T151" t="inlineStr">
        <is>
          <t>Совпадений по улице+дому не найдено</t>
        </is>
      </c>
      <c r="U151" t="n">
        <v>200</v>
      </c>
      <c r="V151" t="n">
        <v>9</v>
      </c>
      <c r="W151" t="n">
        <v>8</v>
      </c>
      <c r="X151" t="n">
        <v>8830000</v>
      </c>
      <c r="Y151" t="inlineStr"/>
      <c r="Z151" t="inlineStr"/>
      <c r="AA151" t="inlineStr">
        <is>
          <t>https://knru.ru/catalog/irinovskiy-pr-368959580/</t>
        </is>
      </c>
      <c r="AB151" t="inlineStr">
        <is>
          <t>A+</t>
        </is>
      </c>
    </row>
    <row r="152">
      <c r="A152" t="n">
        <v>201</v>
      </c>
      <c r="B152" t="n">
        <v>9</v>
      </c>
      <c r="C152" t="n">
        <v>9</v>
      </c>
      <c r="D152" t="n">
        <v>1314725551</v>
      </c>
      <c r="E152" t="inlineStr">
        <is>
          <t>Красногвардейский</t>
        </is>
      </c>
      <c r="F152" t="inlineStr">
        <is>
          <t>Ириновский пр.</t>
        </is>
      </c>
      <c r="G152" t="n">
        <v>18.6</v>
      </c>
      <c r="H152" t="inlineStr">
        <is>
          <t>6 496 000</t>
        </is>
      </c>
      <c r="I152" t="inlineStr"/>
      <c r="J152" t="inlineStr"/>
      <c r="K152" t="inlineStr"/>
      <c r="L152" t="inlineStr"/>
      <c r="M152" t="inlineStr"/>
      <c r="N152" t="inlineStr">
        <is>
          <t>yes</t>
        </is>
      </c>
      <c r="O152" t="inlineStr">
        <is>
          <t>pixel_heuristic</t>
        </is>
      </c>
      <c r="P152">
        <f>HYPERLINK("https://knru.ru/catalog/irinovskiy-pr-1314725551/","ссылка")</f>
        <v/>
      </c>
      <c r="Q152" t="inlineStr"/>
      <c r="R152" t="inlineStr">
        <is>
          <t>Нет у нас</t>
        </is>
      </c>
      <c r="S152" t="n">
        <v>0</v>
      </c>
      <c r="T152" t="inlineStr">
        <is>
          <t>Совпадений по улице+дому не найдено</t>
        </is>
      </c>
      <c r="U152" t="n">
        <v>201</v>
      </c>
      <c r="V152" t="n">
        <v>9</v>
      </c>
      <c r="W152" t="n">
        <v>9</v>
      </c>
      <c r="X152" t="n">
        <v>6496000</v>
      </c>
      <c r="Y152" t="inlineStr"/>
      <c r="Z152" t="inlineStr"/>
      <c r="AA152" t="inlineStr">
        <is>
          <t>https://knru.ru/catalog/irinovskiy-pr-1314725551/</t>
        </is>
      </c>
      <c r="AB152" t="inlineStr">
        <is>
          <t>B</t>
        </is>
      </c>
    </row>
    <row r="153">
      <c r="A153" t="n">
        <v>202</v>
      </c>
      <c r="B153" t="n">
        <v>9</v>
      </c>
      <c r="C153" t="n">
        <v>10</v>
      </c>
      <c r="D153" t="n">
        <v>2045875368</v>
      </c>
      <c r="E153" t="inlineStr">
        <is>
          <t>Красногвардейский</t>
        </is>
      </c>
      <c r="F153" t="inlineStr">
        <is>
          <t>Ириновский пр.</t>
        </is>
      </c>
      <c r="G153" t="n">
        <v>18.7</v>
      </c>
      <c r="H153" t="inlineStr">
        <is>
          <t>6 545 000</t>
        </is>
      </c>
      <c r="I153" t="inlineStr"/>
      <c r="J153" t="inlineStr"/>
      <c r="K153" t="inlineStr"/>
      <c r="L153" t="inlineStr"/>
      <c r="M153" t="inlineStr"/>
      <c r="N153" t="inlineStr">
        <is>
          <t>yes</t>
        </is>
      </c>
      <c r="O153" t="inlineStr">
        <is>
          <t>pixel_heuristic</t>
        </is>
      </c>
      <c r="P153">
        <f>HYPERLINK("https://knru.ru/catalog/irinovskiy-pr-2045875368/","ссылка")</f>
        <v/>
      </c>
      <c r="Q153" t="inlineStr"/>
      <c r="R153" t="inlineStr">
        <is>
          <t>Нет у нас</t>
        </is>
      </c>
      <c r="S153" t="n">
        <v>0</v>
      </c>
      <c r="T153" t="inlineStr">
        <is>
          <t>Совпадений по улице+дому не найдено</t>
        </is>
      </c>
      <c r="U153" t="n">
        <v>202</v>
      </c>
      <c r="V153" t="n">
        <v>9</v>
      </c>
      <c r="W153" t="n">
        <v>10</v>
      </c>
      <c r="X153" t="n">
        <v>6545000</v>
      </c>
      <c r="Y153" t="inlineStr"/>
      <c r="Z153" t="inlineStr"/>
      <c r="AA153" t="inlineStr">
        <is>
          <t>https://knru.ru/catalog/irinovskiy-pr-2045875368/</t>
        </is>
      </c>
      <c r="AB153" t="inlineStr">
        <is>
          <t>B</t>
        </is>
      </c>
    </row>
    <row r="154">
      <c r="A154" t="n">
        <v>203</v>
      </c>
      <c r="B154" t="n">
        <v>9</v>
      </c>
      <c r="C154" t="n">
        <v>11</v>
      </c>
      <c r="D154" t="inlineStr"/>
      <c r="E154" t="inlineStr">
        <is>
          <t>Красногвардейский</t>
        </is>
      </c>
      <c r="F154" t="inlineStr">
        <is>
          <t>Ириновский пр.</t>
        </is>
      </c>
      <c r="G154" t="n">
        <v>39.8</v>
      </c>
      <c r="H154" t="inlineStr">
        <is>
          <t>13 916 000</t>
        </is>
      </c>
      <c r="I154" t="inlineStr"/>
      <c r="J154" t="inlineStr"/>
      <c r="K154" t="inlineStr"/>
      <c r="L154" t="inlineStr"/>
      <c r="M154" t="inlineStr"/>
      <c r="N154" t="inlineStr">
        <is>
          <t>yes</t>
        </is>
      </c>
      <c r="O154" t="inlineStr">
        <is>
          <t>pixel_heuristic</t>
        </is>
      </c>
      <c r="P154">
        <f>HYPERLINK("https://knru.ru/catalog/irinovskiy-pr/","ссылка")</f>
        <v/>
      </c>
      <c r="Q154" t="inlineStr"/>
      <c r="R154" t="inlineStr">
        <is>
          <t>Нет у нас</t>
        </is>
      </c>
      <c r="S154" t="n">
        <v>0</v>
      </c>
      <c r="T154" t="inlineStr">
        <is>
          <t>Совпадений по улице+дому не найдено</t>
        </is>
      </c>
      <c r="U154" t="n">
        <v>203</v>
      </c>
      <c r="V154" t="n">
        <v>9</v>
      </c>
      <c r="W154" t="n">
        <v>11</v>
      </c>
      <c r="X154" t="n">
        <v>13916000</v>
      </c>
      <c r="Y154" t="inlineStr"/>
      <c r="Z154" t="inlineStr"/>
      <c r="AA154" t="inlineStr">
        <is>
          <t>https://knru.ru/catalog/irinovskiy-pr/</t>
        </is>
      </c>
      <c r="AB154" t="inlineStr">
        <is>
          <t>B</t>
        </is>
      </c>
    </row>
    <row r="155">
      <c r="A155" t="n">
        <v>204</v>
      </c>
      <c r="B155" t="n">
        <v>9</v>
      </c>
      <c r="C155" t="n">
        <v>12</v>
      </c>
      <c r="D155" t="n">
        <v>911491797</v>
      </c>
      <c r="E155" t="inlineStr">
        <is>
          <t>Московский</t>
        </is>
      </c>
      <c r="F155" t="inlineStr">
        <is>
          <t>Типанова ул., д. 19/А</t>
        </is>
      </c>
      <c r="G155" t="n">
        <v>81.40000000000001</v>
      </c>
      <c r="H155" t="inlineStr">
        <is>
          <t>23 500 000</t>
        </is>
      </c>
      <c r="I155" t="inlineStr"/>
      <c r="J155" t="inlineStr"/>
      <c r="K155" t="inlineStr"/>
      <c r="L155" t="inlineStr"/>
      <c r="M155" t="inlineStr"/>
      <c r="N155" t="inlineStr">
        <is>
          <t>no</t>
        </is>
      </c>
      <c r="O155" t="inlineStr">
        <is>
          <t>none</t>
        </is>
      </c>
      <c r="P155">
        <f>HYPERLINK("https://knru.ru/catalog/tipanova-ul-d-19-a-911491797/","ссылка")</f>
        <v/>
      </c>
      <c r="Q155" t="inlineStr"/>
      <c r="R155" t="inlineStr">
        <is>
          <t>Нет у нас</t>
        </is>
      </c>
      <c r="S155" t="n">
        <v>0</v>
      </c>
      <c r="T155" t="inlineStr">
        <is>
          <t>Совпадений по улице+дому не найдено</t>
        </is>
      </c>
      <c r="U155" t="n">
        <v>204</v>
      </c>
      <c r="V155" t="n">
        <v>9</v>
      </c>
      <c r="W155" t="n">
        <v>12</v>
      </c>
      <c r="X155" t="n">
        <v>23500000</v>
      </c>
      <c r="Y155" t="inlineStr"/>
      <c r="Z155" t="inlineStr"/>
      <c r="AA155" t="inlineStr">
        <is>
          <t>https://knru.ru/catalog/tipanova-ul-d-19-a-911491797/</t>
        </is>
      </c>
      <c r="AB155" t="inlineStr">
        <is>
          <t>B</t>
        </is>
      </c>
    </row>
    <row r="156">
      <c r="A156" t="n">
        <v>205</v>
      </c>
      <c r="B156" t="n">
        <v>9</v>
      </c>
      <c r="C156" t="n">
        <v>13</v>
      </c>
      <c r="D156" t="inlineStr"/>
      <c r="E156" t="inlineStr">
        <is>
          <t>Московский</t>
        </is>
      </c>
      <c r="F156" t="inlineStr">
        <is>
          <t>Типанова ул., д. 19/А</t>
        </is>
      </c>
      <c r="G156" t="n">
        <v>109.3</v>
      </c>
      <c r="H156" t="inlineStr">
        <is>
          <t>31 000 000</t>
        </is>
      </c>
      <c r="I156" t="inlineStr"/>
      <c r="J156" t="inlineStr"/>
      <c r="K156" t="inlineStr"/>
      <c r="L156" t="inlineStr"/>
      <c r="M156" t="inlineStr"/>
      <c r="N156" t="inlineStr">
        <is>
          <t>no</t>
        </is>
      </c>
      <c r="O156" t="inlineStr">
        <is>
          <t>none</t>
        </is>
      </c>
      <c r="P156">
        <f>HYPERLINK("https://knru.ru/catalog/tipanova-ul-d-19-a/","ссылка")</f>
        <v/>
      </c>
      <c r="Q156" t="inlineStr"/>
      <c r="R156" t="inlineStr">
        <is>
          <t>Нет у нас</t>
        </is>
      </c>
      <c r="S156" t="n">
        <v>0</v>
      </c>
      <c r="T156" t="inlineStr">
        <is>
          <t>Совпадений по улице+дому не найдено</t>
        </is>
      </c>
      <c r="U156" t="n">
        <v>205</v>
      </c>
      <c r="V156" t="n">
        <v>9</v>
      </c>
      <c r="W156" t="n">
        <v>13</v>
      </c>
      <c r="X156" t="n">
        <v>31000000</v>
      </c>
      <c r="Y156" t="inlineStr"/>
      <c r="Z156" t="inlineStr"/>
      <c r="AA156" t="inlineStr">
        <is>
          <t>https://knru.ru/catalog/tipanova-ul-d-19-a/</t>
        </is>
      </c>
      <c r="AB156" t="inlineStr">
        <is>
          <t>B</t>
        </is>
      </c>
    </row>
    <row r="157">
      <c r="A157" t="n">
        <v>206</v>
      </c>
      <c r="B157" t="n">
        <v>9</v>
      </c>
      <c r="C157" t="n">
        <v>14</v>
      </c>
      <c r="D157" t="n">
        <v>449717382</v>
      </c>
      <c r="E157" t="inlineStr">
        <is>
          <t>Выборгский</t>
        </is>
      </c>
      <c r="F157" t="inlineStr">
        <is>
          <t>Кустодиева ул., д. 5 корп.1 стр.1</t>
        </is>
      </c>
      <c r="G157" t="n">
        <v>104.4</v>
      </c>
      <c r="H157" t="inlineStr">
        <is>
          <t>33 451 982</t>
        </is>
      </c>
      <c r="I157" t="inlineStr"/>
      <c r="J157" t="inlineStr"/>
      <c r="K157" t="inlineStr"/>
      <c r="L157" t="inlineStr"/>
      <c r="M157" t="inlineStr"/>
      <c r="N157" t="inlineStr">
        <is>
          <t>yes</t>
        </is>
      </c>
      <c r="O157" t="inlineStr">
        <is>
          <t>pixel_heuristic</t>
        </is>
      </c>
      <c r="P157">
        <f>HYPERLINK("https://knru.ru/catalog/kustodieva-ul-d-5-korp-1-str-1-449717382/","ссылка")</f>
        <v/>
      </c>
      <c r="Q157" t="inlineStr"/>
      <c r="R157" t="inlineStr">
        <is>
          <t>Нет у нас</t>
        </is>
      </c>
      <c r="S157" t="n">
        <v>0</v>
      </c>
      <c r="T157" t="inlineStr">
        <is>
          <t>Совпадений по улице+дому не найдено</t>
        </is>
      </c>
      <c r="U157" t="n">
        <v>206</v>
      </c>
      <c r="V157" t="n">
        <v>9</v>
      </c>
      <c r="W157" t="n">
        <v>14</v>
      </c>
      <c r="X157" t="n">
        <v>33451982</v>
      </c>
      <c r="Y157" t="inlineStr"/>
      <c r="Z157" t="inlineStr"/>
      <c r="AA157" t="inlineStr">
        <is>
          <t>https://knru.ru/catalog/kustodieva-ul-d-5-korp-1-str-1-449717382/</t>
        </is>
      </c>
      <c r="AB157" t="inlineStr">
        <is>
          <t>B</t>
        </is>
      </c>
    </row>
    <row r="158">
      <c r="A158" t="n">
        <v>207</v>
      </c>
      <c r="B158" t="n">
        <v>9</v>
      </c>
      <c r="C158" t="n">
        <v>15</v>
      </c>
      <c r="D158" t="n">
        <v>977232919</v>
      </c>
      <c r="E158" t="inlineStr">
        <is>
          <t>Выборгский</t>
        </is>
      </c>
      <c r="F158" t="inlineStr">
        <is>
          <t>Кустодиева ул., д. 5 корп.1 стр.1</t>
        </is>
      </c>
      <c r="G158" t="n">
        <v>326.1</v>
      </c>
      <c r="H158" t="inlineStr">
        <is>
          <t>59 077 163</t>
        </is>
      </c>
      <c r="I158" t="inlineStr"/>
      <c r="J158" t="inlineStr"/>
      <c r="K158" t="inlineStr"/>
      <c r="L158" t="inlineStr"/>
      <c r="M158" t="inlineStr"/>
      <c r="N158" t="inlineStr">
        <is>
          <t>yes</t>
        </is>
      </c>
      <c r="O158" t="inlineStr">
        <is>
          <t>pixel_heuristic</t>
        </is>
      </c>
      <c r="P158">
        <f>HYPERLINK("https://knru.ru/catalog/kustodieva-ul-d-5-korp-1-str-1-977232919/","ссылка")</f>
        <v/>
      </c>
      <c r="Q158" t="inlineStr"/>
      <c r="R158" t="inlineStr">
        <is>
          <t>Нет у нас</t>
        </is>
      </c>
      <c r="S158" t="n">
        <v>0</v>
      </c>
      <c r="T158" t="inlineStr">
        <is>
          <t>Совпадений по улице+дому не найдено</t>
        </is>
      </c>
      <c r="U158" t="n">
        <v>207</v>
      </c>
      <c r="V158" t="n">
        <v>9</v>
      </c>
      <c r="W158" t="n">
        <v>15</v>
      </c>
      <c r="X158" t="n">
        <v>59077163</v>
      </c>
      <c r="Y158" t="inlineStr"/>
      <c r="Z158" t="inlineStr"/>
      <c r="AA158" t="inlineStr">
        <is>
          <t>https://knru.ru/catalog/kustodieva-ul-d-5-korp-1-str-1-977232919/</t>
        </is>
      </c>
      <c r="AB158" t="inlineStr">
        <is>
          <t>B</t>
        </is>
      </c>
    </row>
    <row r="159">
      <c r="A159" t="n">
        <v>208</v>
      </c>
      <c r="B159" t="n">
        <v>9</v>
      </c>
      <c r="C159" t="n">
        <v>16</v>
      </c>
      <c r="D159" t="n">
        <v>1182277565</v>
      </c>
      <c r="E159" t="inlineStr">
        <is>
          <t>Выборгский</t>
        </is>
      </c>
      <c r="F159" t="inlineStr">
        <is>
          <t>Кустодиева ул., д. 5 корп.1 стр.1</t>
        </is>
      </c>
      <c r="G159" t="n">
        <v>325.6</v>
      </c>
      <c r="H159" t="inlineStr">
        <is>
          <t>58 986 582</t>
        </is>
      </c>
      <c r="I159" t="inlineStr"/>
      <c r="J159" t="inlineStr"/>
      <c r="K159" t="inlineStr"/>
      <c r="L159" t="inlineStr"/>
      <c r="M159" t="inlineStr"/>
      <c r="N159" t="inlineStr">
        <is>
          <t>yes</t>
        </is>
      </c>
      <c r="O159" t="inlineStr">
        <is>
          <t>pixel_heuristic</t>
        </is>
      </c>
      <c r="P159">
        <f>HYPERLINK("https://knru.ru/catalog/kustodieva-ul-d-5-korp-1-str-1-1182277565/","ссылка")</f>
        <v/>
      </c>
      <c r="Q159" t="inlineStr"/>
      <c r="R159" t="inlineStr">
        <is>
          <t>Нет у нас</t>
        </is>
      </c>
      <c r="S159" t="n">
        <v>0</v>
      </c>
      <c r="T159" t="inlineStr">
        <is>
          <t>Совпадений по улице+дому не найдено</t>
        </is>
      </c>
      <c r="U159" t="n">
        <v>208</v>
      </c>
      <c r="V159" t="n">
        <v>9</v>
      </c>
      <c r="W159" t="n">
        <v>16</v>
      </c>
      <c r="X159" t="n">
        <v>58986582</v>
      </c>
      <c r="Y159" t="inlineStr"/>
      <c r="Z159" t="inlineStr"/>
      <c r="AA159" t="inlineStr">
        <is>
          <t>https://knru.ru/catalog/kustodieva-ul-d-5-korp-1-str-1-1182277565/</t>
        </is>
      </c>
      <c r="AB159" t="inlineStr">
        <is>
          <t>B</t>
        </is>
      </c>
    </row>
    <row r="160">
      <c r="A160" t="n">
        <v>209</v>
      </c>
      <c r="B160" t="n">
        <v>9</v>
      </c>
      <c r="C160" t="n">
        <v>17</v>
      </c>
      <c r="D160" t="n">
        <v>612343911</v>
      </c>
      <c r="E160" t="inlineStr">
        <is>
          <t>Выборгский</t>
        </is>
      </c>
      <c r="F160" t="inlineStr">
        <is>
          <t>Кустодиева ул., д. 5 корп.1 стр.1</t>
        </is>
      </c>
      <c r="G160" t="n">
        <v>309.4</v>
      </c>
      <c r="H160" t="inlineStr">
        <is>
          <t>56 051 745</t>
        </is>
      </c>
      <c r="I160" t="inlineStr"/>
      <c r="J160" t="inlineStr"/>
      <c r="K160" t="inlineStr"/>
      <c r="L160" t="inlineStr"/>
      <c r="M160" t="inlineStr"/>
      <c r="N160" t="inlineStr">
        <is>
          <t>yes</t>
        </is>
      </c>
      <c r="O160" t="inlineStr">
        <is>
          <t>pixel_heuristic</t>
        </is>
      </c>
      <c r="P160">
        <f>HYPERLINK("https://knru.ru/catalog/kustodieva-ul-d-5-korp-1-str-1-612343911/","ссылка")</f>
        <v/>
      </c>
      <c r="Q160" t="inlineStr"/>
      <c r="R160" t="inlineStr">
        <is>
          <t>Нет у нас</t>
        </is>
      </c>
      <c r="S160" t="n">
        <v>0</v>
      </c>
      <c r="T160" t="inlineStr">
        <is>
          <t>Совпадений по улице+дому не найдено</t>
        </is>
      </c>
      <c r="U160" t="n">
        <v>209</v>
      </c>
      <c r="V160" t="n">
        <v>9</v>
      </c>
      <c r="W160" t="n">
        <v>17</v>
      </c>
      <c r="X160" t="n">
        <v>56051745</v>
      </c>
      <c r="Y160" t="inlineStr"/>
      <c r="Z160" t="inlineStr"/>
      <c r="AA160" t="inlineStr">
        <is>
          <t>https://knru.ru/catalog/kustodieva-ul-d-5-korp-1-str-1-612343911/</t>
        </is>
      </c>
      <c r="AB160" t="inlineStr">
        <is>
          <t>B</t>
        </is>
      </c>
    </row>
    <row r="161">
      <c r="A161" t="n">
        <v>210</v>
      </c>
      <c r="B161" t="n">
        <v>9</v>
      </c>
      <c r="C161" t="n">
        <v>18</v>
      </c>
      <c r="D161" t="n">
        <v>523600851</v>
      </c>
      <c r="E161" t="inlineStr">
        <is>
          <t>Выборгский</t>
        </is>
      </c>
      <c r="F161" t="inlineStr">
        <is>
          <t>Кустодиева ул., д. 5 корп.1 стр.1</t>
        </is>
      </c>
      <c r="G161" t="n">
        <v>171</v>
      </c>
      <c r="H161" t="inlineStr">
        <is>
          <t>34 380 713</t>
        </is>
      </c>
      <c r="I161" t="inlineStr"/>
      <c r="J161" t="inlineStr"/>
      <c r="K161" t="inlineStr"/>
      <c r="L161" t="inlineStr"/>
      <c r="M161" t="inlineStr"/>
      <c r="N161" t="inlineStr">
        <is>
          <t>yes</t>
        </is>
      </c>
      <c r="O161" t="inlineStr">
        <is>
          <t>pixel_heuristic</t>
        </is>
      </c>
      <c r="P161">
        <f>HYPERLINK("https://knru.ru/catalog/kustodieva-ul-d-5-korp-1-str-1-523600851/","ссылка")</f>
        <v/>
      </c>
      <c r="Q161" t="inlineStr"/>
      <c r="R161" t="inlineStr">
        <is>
          <t>Нет у нас</t>
        </is>
      </c>
      <c r="S161" t="n">
        <v>0</v>
      </c>
      <c r="T161" t="inlineStr">
        <is>
          <t>Совпадений по улице+дому не найдено</t>
        </is>
      </c>
      <c r="U161" t="n">
        <v>210</v>
      </c>
      <c r="V161" t="n">
        <v>9</v>
      </c>
      <c r="W161" t="n">
        <v>18</v>
      </c>
      <c r="X161" t="n">
        <v>34380713</v>
      </c>
      <c r="Y161" t="inlineStr"/>
      <c r="Z161" t="inlineStr"/>
      <c r="AA161" t="inlineStr">
        <is>
          <t>https://knru.ru/catalog/kustodieva-ul-d-5-korp-1-str-1-523600851/</t>
        </is>
      </c>
      <c r="AB161" t="inlineStr">
        <is>
          <t>B</t>
        </is>
      </c>
    </row>
    <row r="162">
      <c r="A162" t="n">
        <v>211</v>
      </c>
      <c r="B162" t="n">
        <v>9</v>
      </c>
      <c r="C162" t="n">
        <v>19</v>
      </c>
      <c r="D162" t="n">
        <v>864031703</v>
      </c>
      <c r="E162" t="inlineStr">
        <is>
          <t>Выборгский</t>
        </is>
      </c>
      <c r="F162" t="inlineStr">
        <is>
          <t>Кустодиева ул., д. 5 корп.1 стр.1</t>
        </is>
      </c>
      <c r="G162" t="n">
        <v>177.9</v>
      </c>
      <c r="H162" t="inlineStr">
        <is>
          <t>53 463 789</t>
        </is>
      </c>
      <c r="I162" t="inlineStr"/>
      <c r="J162" t="inlineStr"/>
      <c r="K162" t="inlineStr"/>
      <c r="L162" t="inlineStr"/>
      <c r="M162" t="inlineStr"/>
      <c r="N162" t="inlineStr">
        <is>
          <t>yes</t>
        </is>
      </c>
      <c r="O162" t="inlineStr">
        <is>
          <t>pixel_heuristic</t>
        </is>
      </c>
      <c r="P162">
        <f>HYPERLINK("https://knru.ru/catalog/kustodieva-ul-d-5-korp-1-str-1-864031703/","ссылка")</f>
        <v/>
      </c>
      <c r="Q162" t="inlineStr"/>
      <c r="R162" t="inlineStr">
        <is>
          <t>Нет у нас</t>
        </is>
      </c>
      <c r="S162" t="n">
        <v>0</v>
      </c>
      <c r="T162" t="inlineStr">
        <is>
          <t>Совпадений по улице+дому не найдено</t>
        </is>
      </c>
      <c r="U162" t="n">
        <v>211</v>
      </c>
      <c r="V162" t="n">
        <v>9</v>
      </c>
      <c r="W162" t="n">
        <v>19</v>
      </c>
      <c r="X162" t="n">
        <v>53463789</v>
      </c>
      <c r="Y162" t="inlineStr"/>
      <c r="Z162" t="inlineStr"/>
      <c r="AA162" t="inlineStr">
        <is>
          <t>https://knru.ru/catalog/kustodieva-ul-d-5-korp-1-str-1-864031703/</t>
        </is>
      </c>
      <c r="AB162" t="inlineStr">
        <is>
          <t>B</t>
        </is>
      </c>
    </row>
    <row r="163">
      <c r="A163" t="n">
        <v>212</v>
      </c>
      <c r="B163" t="n">
        <v>9</v>
      </c>
      <c r="C163" t="n">
        <v>20</v>
      </c>
      <c r="D163" t="n">
        <v>2125618303</v>
      </c>
      <c r="E163" t="inlineStr">
        <is>
          <t>Выборгский</t>
        </is>
      </c>
      <c r="F163" t="inlineStr">
        <is>
          <t>Кустодиева ул., д. 5 корп.1 стр.1</t>
        </is>
      </c>
      <c r="G163" t="n">
        <v>150.8</v>
      </c>
      <c r="H163" t="inlineStr">
        <is>
          <t>45 319 502</t>
        </is>
      </c>
      <c r="I163" t="inlineStr"/>
      <c r="J163" t="inlineStr"/>
      <c r="K163" t="inlineStr"/>
      <c r="L163" t="inlineStr"/>
      <c r="M163" t="inlineStr"/>
      <c r="N163" t="inlineStr">
        <is>
          <t>yes</t>
        </is>
      </c>
      <c r="O163" t="inlineStr">
        <is>
          <t>pixel_heuristic</t>
        </is>
      </c>
      <c r="P163">
        <f>HYPERLINK("https://knru.ru/catalog/kustodieva-ul-d-5-korp-1-str-1-2125618303/","ссылка")</f>
        <v/>
      </c>
      <c r="Q163" t="inlineStr"/>
      <c r="R163" t="inlineStr">
        <is>
          <t>Нет у нас</t>
        </is>
      </c>
      <c r="S163" t="n">
        <v>0</v>
      </c>
      <c r="T163" t="inlineStr">
        <is>
          <t>Совпадений по улице+дому не найдено</t>
        </is>
      </c>
      <c r="U163" t="n">
        <v>212</v>
      </c>
      <c r="V163" t="n">
        <v>9</v>
      </c>
      <c r="W163" t="n">
        <v>20</v>
      </c>
      <c r="X163" t="n">
        <v>45319502</v>
      </c>
      <c r="Y163" t="inlineStr"/>
      <c r="Z163" t="inlineStr"/>
      <c r="AA163" t="inlineStr">
        <is>
          <t>https://knru.ru/catalog/kustodieva-ul-d-5-korp-1-str-1-2125618303/</t>
        </is>
      </c>
      <c r="AB163" t="inlineStr">
        <is>
          <t>B</t>
        </is>
      </c>
    </row>
    <row r="164">
      <c r="A164" t="n">
        <v>213</v>
      </c>
      <c r="B164" t="n">
        <v>9</v>
      </c>
      <c r="C164" t="n">
        <v>21</v>
      </c>
      <c r="D164" t="n">
        <v>2072958179</v>
      </c>
      <c r="E164" t="inlineStr">
        <is>
          <t>Выборгский</t>
        </is>
      </c>
      <c r="F164" t="inlineStr">
        <is>
          <t>Кустодиева ул., д. 5 корп.1 стр.1</t>
        </is>
      </c>
      <c r="G164" t="n">
        <v>174.5</v>
      </c>
      <c r="H164" t="inlineStr">
        <is>
          <t>52 441 996</t>
        </is>
      </c>
      <c r="I164" t="inlineStr"/>
      <c r="J164" t="inlineStr"/>
      <c r="K164" t="inlineStr"/>
      <c r="L164" t="inlineStr"/>
      <c r="M164" t="inlineStr"/>
      <c r="N164" t="inlineStr">
        <is>
          <t>yes</t>
        </is>
      </c>
      <c r="O164" t="inlineStr">
        <is>
          <t>pixel_heuristic</t>
        </is>
      </c>
      <c r="P164">
        <f>HYPERLINK("https://knru.ru/catalog/kustodieva-ul-d-5-korp-1-str-1-2072958179/","ссылка")</f>
        <v/>
      </c>
      <c r="Q164" t="inlineStr"/>
      <c r="R164" t="inlineStr">
        <is>
          <t>Нет у нас</t>
        </is>
      </c>
      <c r="S164" t="n">
        <v>0</v>
      </c>
      <c r="T164" t="inlineStr">
        <is>
          <t>Совпадений по улице+дому не найдено</t>
        </is>
      </c>
      <c r="U164" t="n">
        <v>213</v>
      </c>
      <c r="V164" t="n">
        <v>9</v>
      </c>
      <c r="W164" t="n">
        <v>21</v>
      </c>
      <c r="X164" t="n">
        <v>52441996</v>
      </c>
      <c r="Y164" t="inlineStr"/>
      <c r="Z164" t="inlineStr"/>
      <c r="AA164" t="inlineStr">
        <is>
          <t>https://knru.ru/catalog/kustodieva-ul-d-5-korp-1-str-1-2072958179/</t>
        </is>
      </c>
      <c r="AB164" t="inlineStr">
        <is>
          <t>B</t>
        </is>
      </c>
    </row>
    <row r="165">
      <c r="A165" t="n">
        <v>214</v>
      </c>
      <c r="B165" t="n">
        <v>9</v>
      </c>
      <c r="C165" t="n">
        <v>22</v>
      </c>
      <c r="D165" t="n">
        <v>680636117</v>
      </c>
      <c r="E165" t="inlineStr">
        <is>
          <t>Выборгский</t>
        </is>
      </c>
      <c r="F165" t="inlineStr">
        <is>
          <t>Кустодиева ул., д. 5 корп.1 стр.1</t>
        </is>
      </c>
      <c r="G165" t="n">
        <v>316.3</v>
      </c>
      <c r="H165" t="inlineStr">
        <is>
          <t>91 910 504</t>
        </is>
      </c>
      <c r="I165" t="inlineStr"/>
      <c r="J165" t="inlineStr"/>
      <c r="K165" t="inlineStr"/>
      <c r="L165" t="inlineStr"/>
      <c r="M165" t="inlineStr"/>
      <c r="N165" t="inlineStr">
        <is>
          <t>yes</t>
        </is>
      </c>
      <c r="O165" t="inlineStr">
        <is>
          <t>pixel_heuristic</t>
        </is>
      </c>
      <c r="P165">
        <f>HYPERLINK("https://knru.ru/catalog/kustodieva-ul-d-5-korp-1-str-1-680636117/","ссылка")</f>
        <v/>
      </c>
      <c r="Q165" t="inlineStr"/>
      <c r="R165" t="inlineStr">
        <is>
          <t>Нет у нас</t>
        </is>
      </c>
      <c r="S165" t="n">
        <v>0</v>
      </c>
      <c r="T165" t="inlineStr">
        <is>
          <t>Совпадений по улице+дому не найдено</t>
        </is>
      </c>
      <c r="U165" t="n">
        <v>214</v>
      </c>
      <c r="V165" t="n">
        <v>9</v>
      </c>
      <c r="W165" t="n">
        <v>22</v>
      </c>
      <c r="X165" t="n">
        <v>91910504</v>
      </c>
      <c r="Y165" t="inlineStr"/>
      <c r="Z165" t="inlineStr"/>
      <c r="AA165" t="inlineStr">
        <is>
          <t>https://knru.ru/catalog/kustodieva-ul-d-5-korp-1-str-1-680636117/</t>
        </is>
      </c>
      <c r="AB165" t="inlineStr">
        <is>
          <t>B</t>
        </is>
      </c>
    </row>
    <row r="166">
      <c r="A166" t="n">
        <v>215</v>
      </c>
      <c r="B166" t="n">
        <v>9</v>
      </c>
      <c r="C166" t="n">
        <v>23</v>
      </c>
      <c r="D166" t="n">
        <v>1236697519</v>
      </c>
      <c r="E166" t="inlineStr">
        <is>
          <t>Выборгский</t>
        </is>
      </c>
      <c r="F166" t="inlineStr">
        <is>
          <t>Кустодиева ул., д. 5 корп.1 стр.1</t>
        </is>
      </c>
      <c r="G166" t="n">
        <v>175</v>
      </c>
      <c r="H166" t="inlineStr">
        <is>
          <t>52 592 260</t>
        </is>
      </c>
      <c r="I166" t="inlineStr"/>
      <c r="J166" t="inlineStr"/>
      <c r="K166" t="inlineStr"/>
      <c r="L166" t="inlineStr"/>
      <c r="M166" t="inlineStr"/>
      <c r="N166" t="inlineStr">
        <is>
          <t>yes</t>
        </is>
      </c>
      <c r="O166" t="inlineStr">
        <is>
          <t>pixel_heuristic</t>
        </is>
      </c>
      <c r="P166">
        <f>HYPERLINK("https://knru.ru/catalog/kustodieva-ul-d-5-korp-1-str-1-1236697519/","ссылка")</f>
        <v/>
      </c>
      <c r="Q166" t="inlineStr"/>
      <c r="R166" t="inlineStr">
        <is>
          <t>Нет у нас</t>
        </is>
      </c>
      <c r="S166" t="n">
        <v>0</v>
      </c>
      <c r="T166" t="inlineStr">
        <is>
          <t>Совпадений по улице+дому не найдено</t>
        </is>
      </c>
      <c r="U166" t="n">
        <v>215</v>
      </c>
      <c r="V166" t="n">
        <v>9</v>
      </c>
      <c r="W166" t="n">
        <v>23</v>
      </c>
      <c r="X166" t="n">
        <v>52592260</v>
      </c>
      <c r="Y166" t="inlineStr"/>
      <c r="Z166" t="inlineStr"/>
      <c r="AA166" t="inlineStr">
        <is>
          <t>https://knru.ru/catalog/kustodieva-ul-d-5-korp-1-str-1-1236697519/</t>
        </is>
      </c>
      <c r="AB166" t="inlineStr">
        <is>
          <t>B</t>
        </is>
      </c>
    </row>
    <row r="167">
      <c r="A167" t="n">
        <v>216</v>
      </c>
      <c r="B167" t="n">
        <v>9</v>
      </c>
      <c r="C167" t="n">
        <v>24</v>
      </c>
      <c r="D167" t="n">
        <v>634225488</v>
      </c>
      <c r="E167" t="inlineStr">
        <is>
          <t>Выборгский</t>
        </is>
      </c>
      <c r="F167" t="inlineStr">
        <is>
          <t>Кустодиева ул., д. 5 корп.1 стр.1</t>
        </is>
      </c>
      <c r="G167" t="n">
        <v>153.1</v>
      </c>
      <c r="H167" t="inlineStr">
        <is>
          <t>46 010 714</t>
        </is>
      </c>
      <c r="I167" t="inlineStr"/>
      <c r="J167" t="inlineStr"/>
      <c r="K167" t="inlineStr"/>
      <c r="L167" t="inlineStr"/>
      <c r="M167" t="inlineStr"/>
      <c r="N167" t="inlineStr">
        <is>
          <t>yes</t>
        </is>
      </c>
      <c r="O167" t="inlineStr">
        <is>
          <t>pixel_heuristic</t>
        </is>
      </c>
      <c r="P167">
        <f>HYPERLINK("https://knru.ru/catalog/kustodieva-ul-d-5-korp-1-str-1-634225488/","ссылка")</f>
        <v/>
      </c>
      <c r="Q167" t="inlineStr"/>
      <c r="R167" t="inlineStr">
        <is>
          <t>Нет у нас</t>
        </is>
      </c>
      <c r="S167" t="n">
        <v>0</v>
      </c>
      <c r="T167" t="inlineStr">
        <is>
          <t>Совпадений по улице+дому не найдено</t>
        </is>
      </c>
      <c r="U167" t="n">
        <v>216</v>
      </c>
      <c r="V167" t="n">
        <v>9</v>
      </c>
      <c r="W167" t="n">
        <v>24</v>
      </c>
      <c r="X167" t="n">
        <v>46010714</v>
      </c>
      <c r="Y167" t="inlineStr"/>
      <c r="Z167" t="inlineStr"/>
      <c r="AA167" t="inlineStr">
        <is>
          <t>https://knru.ru/catalog/kustodieva-ul-d-5-korp-1-str-1-634225488/</t>
        </is>
      </c>
      <c r="AB167" t="inlineStr">
        <is>
          <t>B</t>
        </is>
      </c>
    </row>
    <row r="168">
      <c r="A168" t="n">
        <v>221</v>
      </c>
      <c r="B168" t="n">
        <v>10</v>
      </c>
      <c r="C168" t="n">
        <v>5</v>
      </c>
      <c r="D168" t="n">
        <v>1235928923</v>
      </c>
      <c r="E168" t="inlineStr">
        <is>
          <t>Выборгский</t>
        </is>
      </c>
      <c r="F168" t="inlineStr">
        <is>
          <t>Кустодиева ул., д. 7 корп.1 стр.1</t>
        </is>
      </c>
      <c r="G168" t="n">
        <v>346.8</v>
      </c>
      <c r="H168" t="inlineStr">
        <is>
          <t>62 827 231</t>
        </is>
      </c>
      <c r="I168" t="inlineStr"/>
      <c r="J168" t="inlineStr"/>
      <c r="K168" t="inlineStr"/>
      <c r="L168" t="inlineStr"/>
      <c r="M168" t="inlineStr"/>
      <c r="N168" t="inlineStr">
        <is>
          <t>no</t>
        </is>
      </c>
      <c r="O168" t="inlineStr">
        <is>
          <t>none</t>
        </is>
      </c>
      <c r="P168">
        <f>HYPERLINK("https://knru.ru/catalog/kustodieva-ul-d-7-korp-1-str-1-1235928923/","ссылка")</f>
        <v/>
      </c>
      <c r="Q168" t="inlineStr"/>
      <c r="R168" t="inlineStr">
        <is>
          <t>Нет у нас</t>
        </is>
      </c>
      <c r="S168" t="n">
        <v>0</v>
      </c>
      <c r="T168" t="inlineStr">
        <is>
          <t>Совпадений по улице+дому не найдено</t>
        </is>
      </c>
      <c r="U168" t="n">
        <v>221</v>
      </c>
      <c r="V168" t="n">
        <v>10</v>
      </c>
      <c r="W168" t="n">
        <v>5</v>
      </c>
      <c r="X168" t="n">
        <v>62827231</v>
      </c>
      <c r="Y168" t="inlineStr"/>
      <c r="Z168" t="inlineStr"/>
      <c r="AA168" t="inlineStr">
        <is>
          <t>https://knru.ru/catalog/kustodieva-ul-d-7-korp-1-str-1-1235928923/</t>
        </is>
      </c>
      <c r="AB168" t="inlineStr">
        <is>
          <t>B</t>
        </is>
      </c>
    </row>
    <row r="169">
      <c r="A169" t="n">
        <v>222</v>
      </c>
      <c r="B169" t="n">
        <v>10</v>
      </c>
      <c r="C169" t="n">
        <v>6</v>
      </c>
      <c r="D169" t="n">
        <v>435326519</v>
      </c>
      <c r="E169" t="inlineStr">
        <is>
          <t>Выборгский</t>
        </is>
      </c>
      <c r="F169" t="inlineStr">
        <is>
          <t>Кустодиева ул., д. 7 корп.1 стр.1</t>
        </is>
      </c>
      <c r="G169" t="n">
        <v>257</v>
      </c>
      <c r="H169" t="inlineStr">
        <is>
          <t>74 679 101</t>
        </is>
      </c>
      <c r="I169" t="inlineStr"/>
      <c r="J169" t="inlineStr"/>
      <c r="K169" t="inlineStr"/>
      <c r="L169" t="inlineStr"/>
      <c r="M169" t="inlineStr"/>
      <c r="N169" t="inlineStr">
        <is>
          <t>no</t>
        </is>
      </c>
      <c r="O169" t="inlineStr">
        <is>
          <t>none</t>
        </is>
      </c>
      <c r="P169">
        <f>HYPERLINK("https://knru.ru/catalog/kustodieva-ul-d-7-korp-1-str-1-435326519/","ссылка")</f>
        <v/>
      </c>
      <c r="Q169" t="inlineStr"/>
      <c r="R169" t="inlineStr">
        <is>
          <t>Нет у нас</t>
        </is>
      </c>
      <c r="S169" t="n">
        <v>0</v>
      </c>
      <c r="T169" t="inlineStr">
        <is>
          <t>Совпадений по улице+дому не найдено</t>
        </is>
      </c>
      <c r="U169" t="n">
        <v>222</v>
      </c>
      <c r="V169" t="n">
        <v>10</v>
      </c>
      <c r="W169" t="n">
        <v>6</v>
      </c>
      <c r="X169" t="n">
        <v>74679101</v>
      </c>
      <c r="Y169" t="inlineStr"/>
      <c r="Z169" t="inlineStr"/>
      <c r="AA169" t="inlineStr">
        <is>
          <t>https://knru.ru/catalog/kustodieva-ul-d-7-korp-1-str-1-435326519/</t>
        </is>
      </c>
      <c r="AB169" t="inlineStr">
        <is>
          <t>B</t>
        </is>
      </c>
    </row>
    <row r="170">
      <c r="A170" t="n">
        <v>223</v>
      </c>
      <c r="B170" t="n">
        <v>10</v>
      </c>
      <c r="C170" t="n">
        <v>7</v>
      </c>
      <c r="D170" t="n">
        <v>206285589</v>
      </c>
      <c r="E170" t="inlineStr">
        <is>
          <t>Выборгский</t>
        </is>
      </c>
      <c r="F170" t="inlineStr">
        <is>
          <t>Кустодиева ул., д. 7 корп.1 стр.1</t>
        </is>
      </c>
      <c r="G170" t="n">
        <v>214.5</v>
      </c>
      <c r="H170" t="inlineStr">
        <is>
          <t>62 329 444</t>
        </is>
      </c>
      <c r="I170" t="inlineStr"/>
      <c r="J170" t="inlineStr"/>
      <c r="K170" t="inlineStr"/>
      <c r="L170" t="inlineStr"/>
      <c r="M170" t="inlineStr"/>
      <c r="N170" t="inlineStr">
        <is>
          <t>no</t>
        </is>
      </c>
      <c r="O170" t="inlineStr">
        <is>
          <t>none</t>
        </is>
      </c>
      <c r="P170">
        <f>HYPERLINK("https://knru.ru/catalog/kustodieva-ul-d-7-korp-1-str-1-206285589/","ссылка")</f>
        <v/>
      </c>
      <c r="Q170" t="inlineStr"/>
      <c r="R170" t="inlineStr">
        <is>
          <t>Нет у нас</t>
        </is>
      </c>
      <c r="S170" t="n">
        <v>0</v>
      </c>
      <c r="T170" t="inlineStr">
        <is>
          <t>Совпадений по улице+дому не найдено</t>
        </is>
      </c>
      <c r="U170" t="n">
        <v>223</v>
      </c>
      <c r="V170" t="n">
        <v>10</v>
      </c>
      <c r="W170" t="n">
        <v>7</v>
      </c>
      <c r="X170" t="n">
        <v>62329444</v>
      </c>
      <c r="Y170" t="inlineStr"/>
      <c r="Z170" t="inlineStr"/>
      <c r="AA170" t="inlineStr">
        <is>
          <t>https://knru.ru/catalog/kustodieva-ul-d-7-korp-1-str-1-206285589/</t>
        </is>
      </c>
      <c r="AB170" t="inlineStr">
        <is>
          <t>B</t>
        </is>
      </c>
    </row>
    <row r="171">
      <c r="A171" t="n">
        <v>224</v>
      </c>
      <c r="B171" t="n">
        <v>10</v>
      </c>
      <c r="C171" t="n">
        <v>8</v>
      </c>
      <c r="D171" t="n">
        <v>465770786</v>
      </c>
      <c r="E171" t="inlineStr">
        <is>
          <t>Выборгский</t>
        </is>
      </c>
      <c r="F171" t="inlineStr">
        <is>
          <t>Кустодиева ул., д. 7 корп.1 стр.1</t>
        </is>
      </c>
      <c r="G171" t="n">
        <v>238.2</v>
      </c>
      <c r="H171" t="inlineStr">
        <is>
          <t>43 152 960</t>
        </is>
      </c>
      <c r="I171" t="inlineStr"/>
      <c r="J171" t="inlineStr"/>
      <c r="K171" t="inlineStr"/>
      <c r="L171" t="inlineStr"/>
      <c r="M171" t="inlineStr"/>
      <c r="N171" t="inlineStr">
        <is>
          <t>no</t>
        </is>
      </c>
      <c r="O171" t="inlineStr">
        <is>
          <t>none</t>
        </is>
      </c>
      <c r="P171">
        <f>HYPERLINK("https://knru.ru/catalog/kustodieva-ul-d-7-korp-1-str-1-465770786/","ссылка")</f>
        <v/>
      </c>
      <c r="Q171" t="inlineStr"/>
      <c r="R171" t="inlineStr">
        <is>
          <t>Нет у нас</t>
        </is>
      </c>
      <c r="S171" t="n">
        <v>0</v>
      </c>
      <c r="T171" t="inlineStr">
        <is>
          <t>Совпадений по улице+дому не найдено</t>
        </is>
      </c>
      <c r="U171" t="n">
        <v>224</v>
      </c>
      <c r="V171" t="n">
        <v>10</v>
      </c>
      <c r="W171" t="n">
        <v>8</v>
      </c>
      <c r="X171" t="n">
        <v>43152960</v>
      </c>
      <c r="Y171" t="inlineStr"/>
      <c r="Z171" t="inlineStr"/>
      <c r="AA171" t="inlineStr">
        <is>
          <t>https://knru.ru/catalog/kustodieva-ul-d-7-korp-1-str-1-465770786/</t>
        </is>
      </c>
      <c r="AB171" t="inlineStr">
        <is>
          <t>B</t>
        </is>
      </c>
    </row>
    <row r="172">
      <c r="A172" t="n">
        <v>225</v>
      </c>
      <c r="B172" t="n">
        <v>10</v>
      </c>
      <c r="C172" t="n">
        <v>9</v>
      </c>
      <c r="D172" t="n">
        <v>1929794395</v>
      </c>
      <c r="E172" t="inlineStr">
        <is>
          <t>Выборгский</t>
        </is>
      </c>
      <c r="F172" t="inlineStr">
        <is>
          <t>Кустодиева ул., д. 7 корп.1 стр.1</t>
        </is>
      </c>
      <c r="G172" t="n">
        <v>260.5</v>
      </c>
      <c r="H172" t="inlineStr">
        <is>
          <t>47 192 889</t>
        </is>
      </c>
      <c r="I172" t="inlineStr"/>
      <c r="J172" t="inlineStr"/>
      <c r="K172" t="inlineStr"/>
      <c r="L172" t="inlineStr"/>
      <c r="M172" t="inlineStr"/>
      <c r="N172" t="inlineStr">
        <is>
          <t>no</t>
        </is>
      </c>
      <c r="O172" t="inlineStr">
        <is>
          <t>none</t>
        </is>
      </c>
      <c r="P172">
        <f>HYPERLINK("https://knru.ru/catalog/kustodieva-ul-d-7-korp-1-str-1-1929794395/","ссылка")</f>
        <v/>
      </c>
      <c r="Q172" t="inlineStr"/>
      <c r="R172" t="inlineStr">
        <is>
          <t>Нет у нас</t>
        </is>
      </c>
      <c r="S172" t="n">
        <v>0</v>
      </c>
      <c r="T172" t="inlineStr">
        <is>
          <t>Совпадений по улице+дому не найдено</t>
        </is>
      </c>
      <c r="U172" t="n">
        <v>225</v>
      </c>
      <c r="V172" t="n">
        <v>10</v>
      </c>
      <c r="W172" t="n">
        <v>9</v>
      </c>
      <c r="X172" t="n">
        <v>47192889</v>
      </c>
      <c r="Y172" t="inlineStr"/>
      <c r="Z172" t="inlineStr"/>
      <c r="AA172" t="inlineStr">
        <is>
          <t>https://knru.ru/catalog/kustodieva-ul-d-7-korp-1-str-1-1929794395/</t>
        </is>
      </c>
      <c r="AB172" t="inlineStr">
        <is>
          <t>B</t>
        </is>
      </c>
    </row>
    <row r="173">
      <c r="A173" t="n">
        <v>226</v>
      </c>
      <c r="B173" t="n">
        <v>10</v>
      </c>
      <c r="C173" t="n">
        <v>10</v>
      </c>
      <c r="D173" t="n">
        <v>260112131</v>
      </c>
      <c r="E173" t="inlineStr">
        <is>
          <t>Выборгский</t>
        </is>
      </c>
      <c r="F173" t="inlineStr">
        <is>
          <t>Кустодиева ул., д. 7 корп.1 стр.1</t>
        </is>
      </c>
      <c r="G173" t="n">
        <v>296.7</v>
      </c>
      <c r="H173" t="inlineStr">
        <is>
          <t>53 750 979</t>
        </is>
      </c>
      <c r="I173" t="inlineStr"/>
      <c r="J173" t="inlineStr"/>
      <c r="K173" t="inlineStr"/>
      <c r="L173" t="inlineStr"/>
      <c r="M173" t="inlineStr"/>
      <c r="N173" t="inlineStr">
        <is>
          <t>no</t>
        </is>
      </c>
      <c r="O173" t="inlineStr">
        <is>
          <t>none</t>
        </is>
      </c>
      <c r="P173">
        <f>HYPERLINK("https://knru.ru/catalog/kustodieva-ul-d-7-korp-1-str-1-260112131/","ссылка")</f>
        <v/>
      </c>
      <c r="Q173" t="inlineStr"/>
      <c r="R173" t="inlineStr">
        <is>
          <t>Нет у нас</t>
        </is>
      </c>
      <c r="S173" t="n">
        <v>0</v>
      </c>
      <c r="T173" t="inlineStr">
        <is>
          <t>Совпадений по улице+дому не найдено</t>
        </is>
      </c>
      <c r="U173" t="n">
        <v>226</v>
      </c>
      <c r="V173" t="n">
        <v>10</v>
      </c>
      <c r="W173" t="n">
        <v>10</v>
      </c>
      <c r="X173" t="n">
        <v>53750979</v>
      </c>
      <c r="Y173" t="inlineStr"/>
      <c r="Z173" t="inlineStr"/>
      <c r="AA173" t="inlineStr">
        <is>
          <t>https://knru.ru/catalog/kustodieva-ul-d-7-korp-1-str-1-260112131/</t>
        </is>
      </c>
      <c r="AB173" t="inlineStr">
        <is>
          <t>B</t>
        </is>
      </c>
    </row>
    <row r="174">
      <c r="A174" t="n">
        <v>227</v>
      </c>
      <c r="B174" t="n">
        <v>10</v>
      </c>
      <c r="C174" t="n">
        <v>11</v>
      </c>
      <c r="D174" t="n">
        <v>1</v>
      </c>
      <c r="E174" t="inlineStr">
        <is>
          <t>Выборгский</t>
        </is>
      </c>
      <c r="F174" t="inlineStr">
        <is>
          <t>Кустодиева ул., д. 7 корп.1 стр.1</t>
        </is>
      </c>
      <c r="G174" t="n">
        <v>255.5</v>
      </c>
      <c r="H174" t="inlineStr">
        <is>
          <t>46 287 075</t>
        </is>
      </c>
      <c r="I174" t="inlineStr"/>
      <c r="J174" t="inlineStr"/>
      <c r="K174" t="inlineStr"/>
      <c r="L174" t="inlineStr"/>
      <c r="M174" t="inlineStr"/>
      <c r="N174" t="inlineStr">
        <is>
          <t>no</t>
        </is>
      </c>
      <c r="O174" t="inlineStr">
        <is>
          <t>none</t>
        </is>
      </c>
      <c r="P174">
        <f>HYPERLINK("https://knru.ru/catalog/kustodieva-ul-d-7-korp-1-str-1/","ссылка")</f>
        <v/>
      </c>
      <c r="Q174" t="inlineStr"/>
      <c r="R174" t="inlineStr">
        <is>
          <t>Нет у нас</t>
        </is>
      </c>
      <c r="S174" t="n">
        <v>0</v>
      </c>
      <c r="T174" t="inlineStr">
        <is>
          <t>Совпадений по улице+дому не найдено</t>
        </is>
      </c>
      <c r="U174" t="n">
        <v>227</v>
      </c>
      <c r="V174" t="n">
        <v>10</v>
      </c>
      <c r="W174" t="n">
        <v>11</v>
      </c>
      <c r="X174" t="n">
        <v>46287075</v>
      </c>
      <c r="Y174" t="inlineStr"/>
      <c r="Z174" t="inlineStr"/>
      <c r="AA174" t="inlineStr">
        <is>
          <t>https://knru.ru/catalog/kustodieva-ul-d-7-korp-1-str-1/</t>
        </is>
      </c>
      <c r="AB174" t="inlineStr">
        <is>
          <t>B</t>
        </is>
      </c>
    </row>
    <row r="175">
      <c r="A175" t="n">
        <v>229</v>
      </c>
      <c r="B175" t="n">
        <v>10</v>
      </c>
      <c r="C175" t="n">
        <v>13</v>
      </c>
      <c r="D175" t="n">
        <v>1243863851</v>
      </c>
      <c r="E175" t="inlineStr">
        <is>
          <t>Приморский</t>
        </is>
      </c>
      <c r="F175" t="inlineStr">
        <is>
          <t>Суздальское шос.</t>
        </is>
      </c>
      <c r="G175" t="n">
        <v>57.5</v>
      </c>
      <c r="H175" t="inlineStr">
        <is>
          <t>21 771 165</t>
        </is>
      </c>
      <c r="I175" t="inlineStr"/>
      <c r="J175" t="inlineStr"/>
      <c r="K175" t="inlineStr"/>
      <c r="L175" t="inlineStr"/>
      <c r="M175" t="inlineStr"/>
      <c r="N175" t="inlineStr">
        <is>
          <t>yes</t>
        </is>
      </c>
      <c r="O175" t="inlineStr">
        <is>
          <t>pixel_heuristic</t>
        </is>
      </c>
      <c r="P175">
        <f>HYPERLINK("https://knru.ru/catalog/suzdalskoe-shos-1243863851/","ссылка")</f>
        <v/>
      </c>
      <c r="Q175" t="inlineStr"/>
      <c r="R175" t="inlineStr">
        <is>
          <t>Нет у нас</t>
        </is>
      </c>
      <c r="S175" t="n">
        <v>0</v>
      </c>
      <c r="T175" t="inlineStr">
        <is>
          <t>Совпадений по улице+дому не найдено</t>
        </is>
      </c>
      <c r="U175" t="n">
        <v>229</v>
      </c>
      <c r="V175" t="n">
        <v>10</v>
      </c>
      <c r="W175" t="n">
        <v>13</v>
      </c>
      <c r="X175" t="n">
        <v>21771165</v>
      </c>
      <c r="Y175" t="inlineStr"/>
      <c r="Z175" t="inlineStr"/>
      <c r="AA175" t="inlineStr">
        <is>
          <t>https://knru.ru/catalog/suzdalskoe-shos-1243863851/</t>
        </is>
      </c>
      <c r="AB175" t="inlineStr">
        <is>
          <t>B</t>
        </is>
      </c>
    </row>
    <row r="176">
      <c r="A176" t="n">
        <v>230</v>
      </c>
      <c r="B176" t="n">
        <v>10</v>
      </c>
      <c r="C176" t="n">
        <v>14</v>
      </c>
      <c r="D176" t="n">
        <v>579448495</v>
      </c>
      <c r="E176" t="inlineStr">
        <is>
          <t>Приморский</t>
        </is>
      </c>
      <c r="F176" t="inlineStr">
        <is>
          <t>Суздальское шос.</t>
        </is>
      </c>
      <c r="G176" t="n">
        <v>69.7</v>
      </c>
      <c r="H176" t="inlineStr">
        <is>
          <t>25 102 571</t>
        </is>
      </c>
      <c r="I176" t="inlineStr"/>
      <c r="J176" t="inlineStr"/>
      <c r="K176" t="inlineStr"/>
      <c r="L176" t="inlineStr"/>
      <c r="M176" t="inlineStr"/>
      <c r="N176" t="inlineStr">
        <is>
          <t>yes</t>
        </is>
      </c>
      <c r="O176" t="inlineStr">
        <is>
          <t>pixel_heuristic</t>
        </is>
      </c>
      <c r="P176">
        <f>HYPERLINK("https://knru.ru/catalog/suzdalskoe-shos-579448495/","ссылка")</f>
        <v/>
      </c>
      <c r="Q176" t="inlineStr"/>
      <c r="R176" t="inlineStr">
        <is>
          <t>Нет у нас</t>
        </is>
      </c>
      <c r="S176" t="n">
        <v>0</v>
      </c>
      <c r="T176" t="inlineStr">
        <is>
          <t>Совпадений по улице+дому не найдено</t>
        </is>
      </c>
      <c r="U176" t="n">
        <v>230</v>
      </c>
      <c r="V176" t="n">
        <v>10</v>
      </c>
      <c r="W176" t="n">
        <v>14</v>
      </c>
      <c r="X176" t="n">
        <v>25102571</v>
      </c>
      <c r="Y176" t="inlineStr"/>
      <c r="Z176" t="inlineStr"/>
      <c r="AA176" t="inlineStr">
        <is>
          <t>https://knru.ru/catalog/suzdalskoe-shos-579448495/</t>
        </is>
      </c>
      <c r="AB176" t="inlineStr">
        <is>
          <t>B</t>
        </is>
      </c>
    </row>
    <row r="177">
      <c r="A177" t="n">
        <v>231</v>
      </c>
      <c r="B177" t="n">
        <v>10</v>
      </c>
      <c r="C177" t="n">
        <v>15</v>
      </c>
      <c r="D177" t="n">
        <v>43665530</v>
      </c>
      <c r="E177" t="inlineStr">
        <is>
          <t>Приморский</t>
        </is>
      </c>
      <c r="F177" t="inlineStr">
        <is>
          <t>Суздальское шос.</t>
        </is>
      </c>
      <c r="G177" t="n">
        <v>118.2</v>
      </c>
      <c r="H177" t="inlineStr">
        <is>
          <t>39 620 640</t>
        </is>
      </c>
      <c r="I177" t="inlineStr"/>
      <c r="J177" t="inlineStr"/>
      <c r="K177" t="inlineStr"/>
      <c r="L177" t="inlineStr"/>
      <c r="M177" t="inlineStr"/>
      <c r="N177" t="inlineStr">
        <is>
          <t>yes</t>
        </is>
      </c>
      <c r="O177" t="inlineStr">
        <is>
          <t>pixel_heuristic</t>
        </is>
      </c>
      <c r="P177">
        <f>HYPERLINK("https://knru.ru/catalog/suzdalskoe-shos-43665530/","ссылка")</f>
        <v/>
      </c>
      <c r="Q177" t="inlineStr"/>
      <c r="R177" t="inlineStr">
        <is>
          <t>Нет у нас</t>
        </is>
      </c>
      <c r="S177" t="n">
        <v>0</v>
      </c>
      <c r="T177" t="inlineStr">
        <is>
          <t>Совпадений по улице+дому не найдено</t>
        </is>
      </c>
      <c r="U177" t="n">
        <v>231</v>
      </c>
      <c r="V177" t="n">
        <v>10</v>
      </c>
      <c r="W177" t="n">
        <v>15</v>
      </c>
      <c r="X177" t="n">
        <v>39620640</v>
      </c>
      <c r="Y177" t="inlineStr"/>
      <c r="Z177" t="inlineStr"/>
      <c r="AA177" t="inlineStr">
        <is>
          <t>https://knru.ru/catalog/suzdalskoe-shos-43665530/</t>
        </is>
      </c>
      <c r="AB177" t="inlineStr">
        <is>
          <t>B</t>
        </is>
      </c>
    </row>
    <row r="178">
      <c r="A178" t="n">
        <v>238</v>
      </c>
      <c r="B178" t="n">
        <v>10</v>
      </c>
      <c r="C178" t="n">
        <v>22</v>
      </c>
      <c r="D178" t="n">
        <v>269066593</v>
      </c>
      <c r="E178" t="inlineStr">
        <is>
          <t>Московский</t>
        </is>
      </c>
      <c r="F178" t="inlineStr">
        <is>
          <t>Московский пр., д. дом 115 литера В</t>
        </is>
      </c>
      <c r="G178" t="n">
        <v>35.5</v>
      </c>
      <c r="H178" t="inlineStr">
        <is>
          <t>16 431 675</t>
        </is>
      </c>
      <c r="I178" t="inlineStr"/>
      <c r="J178" t="inlineStr"/>
      <c r="K178" t="inlineStr"/>
      <c r="L178" t="inlineStr"/>
      <c r="M178" t="inlineStr"/>
      <c r="N178" t="inlineStr">
        <is>
          <t>yes</t>
        </is>
      </c>
      <c r="O178" t="inlineStr">
        <is>
          <t>pixel_heuristic</t>
        </is>
      </c>
      <c r="P178">
        <f>HYPERLINK("https://knru.ru/catalog/moskovskiy-pr-d-dom-115-litera-v-269066593/","ссылка")</f>
        <v/>
      </c>
      <c r="Q178" t="inlineStr"/>
      <c r="R178" t="inlineStr">
        <is>
          <t>Нет у нас</t>
        </is>
      </c>
      <c r="S178" t="n">
        <v>0</v>
      </c>
      <c r="T178" t="inlineStr">
        <is>
          <t>Совпадений по улице+дому не найдено</t>
        </is>
      </c>
      <c r="U178" t="n">
        <v>238</v>
      </c>
      <c r="V178" t="n">
        <v>10</v>
      </c>
      <c r="W178" t="n">
        <v>22</v>
      </c>
      <c r="X178" t="n">
        <v>16431675</v>
      </c>
      <c r="Y178" t="inlineStr"/>
      <c r="Z178" t="inlineStr"/>
      <c r="AA178" t="inlineStr">
        <is>
          <t>https://knru.ru/catalog/moskovskiy-pr-d-dom-115-litera-v-269066593/</t>
        </is>
      </c>
      <c r="AB178" t="inlineStr">
        <is>
          <t>B</t>
        </is>
      </c>
    </row>
    <row r="179">
      <c r="A179" t="n">
        <v>239</v>
      </c>
      <c r="B179" t="n">
        <v>10</v>
      </c>
      <c r="C179" t="n">
        <v>23</v>
      </c>
      <c r="D179" t="n">
        <v>1756150942</v>
      </c>
      <c r="E179" t="inlineStr">
        <is>
          <t>Московский</t>
        </is>
      </c>
      <c r="F179" t="inlineStr">
        <is>
          <t>Московский пр., д. дом 115 литера В</t>
        </is>
      </c>
      <c r="G179" t="n">
        <v>47.7</v>
      </c>
      <c r="H179" t="inlineStr">
        <is>
          <t>21 171 438</t>
        </is>
      </c>
      <c r="I179" t="inlineStr"/>
      <c r="J179" t="inlineStr"/>
      <c r="K179" t="inlineStr"/>
      <c r="L179" t="inlineStr"/>
      <c r="M179" t="inlineStr"/>
      <c r="N179" t="inlineStr">
        <is>
          <t>yes</t>
        </is>
      </c>
      <c r="O179" t="inlineStr">
        <is>
          <t>pixel_heuristic</t>
        </is>
      </c>
      <c r="P179">
        <f>HYPERLINK("https://knru.ru/catalog/moskovskiy-pr-d-dom-115-litera-v-1756150942/","ссылка")</f>
        <v/>
      </c>
      <c r="Q179" t="inlineStr"/>
      <c r="R179" t="inlineStr">
        <is>
          <t>Нет у нас</t>
        </is>
      </c>
      <c r="S179" t="n">
        <v>0</v>
      </c>
      <c r="T179" t="inlineStr">
        <is>
          <t>Совпадений по улице+дому не найдено</t>
        </is>
      </c>
      <c r="U179" t="n">
        <v>239</v>
      </c>
      <c r="V179" t="n">
        <v>10</v>
      </c>
      <c r="W179" t="n">
        <v>23</v>
      </c>
      <c r="X179" t="n">
        <v>21171438</v>
      </c>
      <c r="Y179" t="inlineStr"/>
      <c r="Z179" t="inlineStr"/>
      <c r="AA179" t="inlineStr">
        <is>
          <t>https://knru.ru/catalog/moskovskiy-pr-d-dom-115-litera-v-1756150942/</t>
        </is>
      </c>
      <c r="AB179" t="inlineStr">
        <is>
          <t>B</t>
        </is>
      </c>
    </row>
    <row r="180">
      <c r="A180" t="n">
        <v>240</v>
      </c>
      <c r="B180" t="n">
        <v>10</v>
      </c>
      <c r="C180" t="n">
        <v>24</v>
      </c>
      <c r="D180" t="n">
        <v>89119475</v>
      </c>
      <c r="E180" t="inlineStr">
        <is>
          <t>Московский</t>
        </is>
      </c>
      <c r="F180" t="inlineStr">
        <is>
          <t>Московский пр., д. дом 115 литера В</t>
        </is>
      </c>
      <c r="G180" t="n">
        <v>35.6</v>
      </c>
      <c r="H180" t="inlineStr">
        <is>
          <t>16 501 143</t>
        </is>
      </c>
      <c r="I180" t="inlineStr"/>
      <c r="J180" t="inlineStr"/>
      <c r="K180" t="inlineStr"/>
      <c r="L180" t="inlineStr"/>
      <c r="M180" t="inlineStr"/>
      <c r="N180" t="inlineStr">
        <is>
          <t>yes</t>
        </is>
      </c>
      <c r="O180" t="inlineStr">
        <is>
          <t>pixel_heuristic</t>
        </is>
      </c>
      <c r="P180">
        <f>HYPERLINK("https://knru.ru/catalog/moskovskiy-pr-d-dom-115-litera-v-89119475/","ссылка")</f>
        <v/>
      </c>
      <c r="Q180" t="inlineStr"/>
      <c r="R180" t="inlineStr">
        <is>
          <t>Нет у нас</t>
        </is>
      </c>
      <c r="S180" t="n">
        <v>0</v>
      </c>
      <c r="T180" t="inlineStr">
        <is>
          <t>Совпадений по улице+дому не найдено</t>
        </is>
      </c>
      <c r="U180" t="n">
        <v>240</v>
      </c>
      <c r="V180" t="n">
        <v>10</v>
      </c>
      <c r="W180" t="n">
        <v>24</v>
      </c>
      <c r="X180" t="n">
        <v>16501143</v>
      </c>
      <c r="Y180" t="inlineStr"/>
      <c r="Z180" t="inlineStr"/>
      <c r="AA180" t="inlineStr">
        <is>
          <t>https://knru.ru/catalog/moskovskiy-pr-d-dom-115-litera-v-89119475/</t>
        </is>
      </c>
      <c r="AB180" t="inlineStr">
        <is>
          <t>B</t>
        </is>
      </c>
    </row>
    <row r="181">
      <c r="A181" t="n">
        <v>241</v>
      </c>
      <c r="B181" t="n">
        <v>11</v>
      </c>
      <c r="C181" t="n">
        <v>1</v>
      </c>
      <c r="D181" t="n">
        <v>822324784</v>
      </c>
      <c r="E181" t="inlineStr">
        <is>
          <t>Московский</t>
        </is>
      </c>
      <c r="F181" t="inlineStr">
        <is>
          <t>Московский пр., д. дом 115 литера В</t>
        </is>
      </c>
      <c r="G181" t="n">
        <v>35.4</v>
      </c>
      <c r="H181" t="inlineStr">
        <is>
          <t>16 403 887</t>
        </is>
      </c>
      <c r="I181" t="inlineStr"/>
      <c r="J181" t="inlineStr"/>
      <c r="K181" t="inlineStr"/>
      <c r="L181" t="inlineStr"/>
      <c r="M181" t="inlineStr"/>
      <c r="N181" t="inlineStr">
        <is>
          <t>yes</t>
        </is>
      </c>
      <c r="O181" t="inlineStr">
        <is>
          <t>pixel_heuristic</t>
        </is>
      </c>
      <c r="P181">
        <f>HYPERLINK("https://knru.ru/catalog/moskovskiy-pr-d-dom-115-litera-v-822324784/","ссылка")</f>
        <v/>
      </c>
      <c r="Q181" t="inlineStr"/>
      <c r="R181" t="inlineStr">
        <is>
          <t>Нет у нас</t>
        </is>
      </c>
      <c r="S181" t="n">
        <v>0</v>
      </c>
      <c r="T181" t="inlineStr">
        <is>
          <t>Совпадений по улице+дому не найдено</t>
        </is>
      </c>
      <c r="U181" t="n">
        <v>241</v>
      </c>
      <c r="V181" t="n">
        <v>11</v>
      </c>
      <c r="W181" t="n">
        <v>1</v>
      </c>
      <c r="X181" t="n">
        <v>16403887</v>
      </c>
      <c r="Y181" t="inlineStr"/>
      <c r="Z181" t="inlineStr"/>
      <c r="AA181" t="inlineStr">
        <is>
          <t>https://knru.ru/catalog/moskovskiy-pr-d-dom-115-litera-v-822324784/</t>
        </is>
      </c>
      <c r="AB181" t="inlineStr">
        <is>
          <t>B</t>
        </is>
      </c>
    </row>
    <row r="182">
      <c r="A182" t="n">
        <v>242</v>
      </c>
      <c r="B182" t="n">
        <v>11</v>
      </c>
      <c r="C182" t="n">
        <v>2</v>
      </c>
      <c r="D182" t="n">
        <v>1395814045</v>
      </c>
      <c r="E182" t="inlineStr">
        <is>
          <t>Московский</t>
        </is>
      </c>
      <c r="F182" t="inlineStr">
        <is>
          <t>Московский пр., д. дом 115 литера В</t>
        </is>
      </c>
      <c r="G182" t="n">
        <v>28.3</v>
      </c>
      <c r="H182" t="inlineStr">
        <is>
          <t>13 461 500</t>
        </is>
      </c>
      <c r="I182" t="inlineStr"/>
      <c r="J182" t="inlineStr"/>
      <c r="K182" t="inlineStr"/>
      <c r="L182" t="inlineStr"/>
      <c r="M182" t="inlineStr"/>
      <c r="N182" t="inlineStr">
        <is>
          <t>yes</t>
        </is>
      </c>
      <c r="O182" t="inlineStr">
        <is>
          <t>pixel_heuristic</t>
        </is>
      </c>
      <c r="P182">
        <f>HYPERLINK("https://knru.ru/catalog/moskovskiy-pr-d-dom-115-litera-v-1395814045/","ссылка")</f>
        <v/>
      </c>
      <c r="Q182" t="inlineStr"/>
      <c r="R182" t="inlineStr">
        <is>
          <t>Нет у нас</t>
        </is>
      </c>
      <c r="S182" t="n">
        <v>0</v>
      </c>
      <c r="T182" t="inlineStr">
        <is>
          <t>Совпадений по улице+дому не найдено</t>
        </is>
      </c>
      <c r="U182" t="n">
        <v>242</v>
      </c>
      <c r="V182" t="n">
        <v>11</v>
      </c>
      <c r="W182" t="n">
        <v>2</v>
      </c>
      <c r="X182" t="n">
        <v>13461500</v>
      </c>
      <c r="Y182" t="inlineStr"/>
      <c r="Z182" t="inlineStr"/>
      <c r="AA182" t="inlineStr">
        <is>
          <t>https://knru.ru/catalog/moskovskiy-pr-d-dom-115-litera-v-1395814045/</t>
        </is>
      </c>
      <c r="AB182" t="inlineStr">
        <is>
          <t>B</t>
        </is>
      </c>
    </row>
    <row r="183">
      <c r="A183" t="n">
        <v>243</v>
      </c>
      <c r="B183" t="n">
        <v>11</v>
      </c>
      <c r="C183" t="n">
        <v>3</v>
      </c>
      <c r="D183" t="n">
        <v>1473800785</v>
      </c>
      <c r="E183" t="inlineStr">
        <is>
          <t>Московский</t>
        </is>
      </c>
      <c r="F183" t="inlineStr">
        <is>
          <t>Московский пр., д. дом 115 литера В</t>
        </is>
      </c>
      <c r="G183" t="n">
        <v>35.7</v>
      </c>
      <c r="H183" t="inlineStr">
        <is>
          <t>16 538 193</t>
        </is>
      </c>
      <c r="I183" t="inlineStr"/>
      <c r="J183" t="inlineStr"/>
      <c r="K183" t="inlineStr"/>
      <c r="L183" t="inlineStr"/>
      <c r="M183" t="inlineStr"/>
      <c r="N183" t="inlineStr">
        <is>
          <t>yes</t>
        </is>
      </c>
      <c r="O183" t="inlineStr">
        <is>
          <t>pixel_heuristic</t>
        </is>
      </c>
      <c r="P183">
        <f>HYPERLINK("https://knru.ru/catalog/moskovskiy-pr-d-dom-115-litera-v-1473800785/","ссылка")</f>
        <v/>
      </c>
      <c r="Q183" t="inlineStr"/>
      <c r="R183" t="inlineStr">
        <is>
          <t>Нет у нас</t>
        </is>
      </c>
      <c r="S183" t="n">
        <v>0</v>
      </c>
      <c r="T183" t="inlineStr">
        <is>
          <t>Совпадений по улице+дому не найдено</t>
        </is>
      </c>
      <c r="U183" t="n">
        <v>243</v>
      </c>
      <c r="V183" t="n">
        <v>11</v>
      </c>
      <c r="W183" t="n">
        <v>3</v>
      </c>
      <c r="X183" t="n">
        <v>16538193</v>
      </c>
      <c r="Y183" t="inlineStr"/>
      <c r="Z183" t="inlineStr"/>
      <c r="AA183" t="inlineStr">
        <is>
          <t>https://knru.ru/catalog/moskovskiy-pr-d-dom-115-litera-v-1473800785/</t>
        </is>
      </c>
      <c r="AB183" t="inlineStr">
        <is>
          <t>B</t>
        </is>
      </c>
    </row>
    <row r="184">
      <c r="A184" t="n">
        <v>244</v>
      </c>
      <c r="B184" t="n">
        <v>11</v>
      </c>
      <c r="C184" t="n">
        <v>4</v>
      </c>
      <c r="D184" t="n">
        <v>1539000045</v>
      </c>
      <c r="E184" t="inlineStr">
        <is>
          <t>Московский</t>
        </is>
      </c>
      <c r="F184" t="inlineStr">
        <is>
          <t>Московский пр., д. дом 115 литера В</t>
        </is>
      </c>
      <c r="G184" t="n">
        <v>30</v>
      </c>
      <c r="H184" t="inlineStr">
        <is>
          <t>13 893 750</t>
        </is>
      </c>
      <c r="I184" t="inlineStr"/>
      <c r="J184" t="inlineStr"/>
      <c r="K184" t="inlineStr"/>
      <c r="L184" t="inlineStr"/>
      <c r="M184" t="inlineStr"/>
      <c r="N184" t="inlineStr">
        <is>
          <t>yes</t>
        </is>
      </c>
      <c r="O184" t="inlineStr">
        <is>
          <t>pixel_heuristic</t>
        </is>
      </c>
      <c r="P184">
        <f>HYPERLINK("https://knru.ru/catalog/moskovskiy-pr-d-dom-115-litera-v-1539000045/","ссылка")</f>
        <v/>
      </c>
      <c r="Q184" t="inlineStr"/>
      <c r="R184" t="inlineStr">
        <is>
          <t>Нет у нас</t>
        </is>
      </c>
      <c r="S184" t="n">
        <v>0</v>
      </c>
      <c r="T184" t="inlineStr">
        <is>
          <t>Совпадений по улице+дому не найдено</t>
        </is>
      </c>
      <c r="U184" t="n">
        <v>244</v>
      </c>
      <c r="V184" t="n">
        <v>11</v>
      </c>
      <c r="W184" t="n">
        <v>4</v>
      </c>
      <c r="X184" t="n">
        <v>13893750</v>
      </c>
      <c r="Y184" t="inlineStr"/>
      <c r="Z184" t="inlineStr"/>
      <c r="AA184" t="inlineStr">
        <is>
          <t>https://knru.ru/catalog/moskovskiy-pr-d-dom-115-litera-v-1539000045/</t>
        </is>
      </c>
      <c r="AB184" t="inlineStr">
        <is>
          <t>B</t>
        </is>
      </c>
    </row>
    <row r="185">
      <c r="A185" t="n">
        <v>245</v>
      </c>
      <c r="B185" t="n">
        <v>11</v>
      </c>
      <c r="C185" t="n">
        <v>5</v>
      </c>
      <c r="D185" t="n">
        <v>741305720</v>
      </c>
      <c r="E185" t="inlineStr">
        <is>
          <t>Московский</t>
        </is>
      </c>
      <c r="F185" t="inlineStr">
        <is>
          <t>Московский пр., д. дом 115 литера В</t>
        </is>
      </c>
      <c r="G185" t="n">
        <v>29.7</v>
      </c>
      <c r="H185" t="inlineStr">
        <is>
          <t>13 768 706</t>
        </is>
      </c>
      <c r="I185" t="inlineStr"/>
      <c r="J185" t="inlineStr"/>
      <c r="K185" t="inlineStr"/>
      <c r="L185" t="inlineStr"/>
      <c r="M185" t="inlineStr"/>
      <c r="N185" t="inlineStr">
        <is>
          <t>yes</t>
        </is>
      </c>
      <c r="O185" t="inlineStr">
        <is>
          <t>pixel_heuristic</t>
        </is>
      </c>
      <c r="P185">
        <f>HYPERLINK("https://knru.ru/catalog/moskovskiy-pr-d-dom-115-litera-v-741305720/","ссылка")</f>
        <v/>
      </c>
      <c r="Q185" t="inlineStr"/>
      <c r="R185" t="inlineStr">
        <is>
          <t>Нет у нас</t>
        </is>
      </c>
      <c r="S185" t="n">
        <v>0</v>
      </c>
      <c r="T185" t="inlineStr">
        <is>
          <t>Совпадений по улице+дому не найдено</t>
        </is>
      </c>
      <c r="U185" t="n">
        <v>245</v>
      </c>
      <c r="V185" t="n">
        <v>11</v>
      </c>
      <c r="W185" t="n">
        <v>5</v>
      </c>
      <c r="X185" t="n">
        <v>13768706</v>
      </c>
      <c r="Y185" t="inlineStr"/>
      <c r="Z185" t="inlineStr"/>
      <c r="AA185" t="inlineStr">
        <is>
          <t>https://knru.ru/catalog/moskovskiy-pr-d-dom-115-litera-v-741305720/</t>
        </is>
      </c>
      <c r="AB185" t="inlineStr">
        <is>
          <t>B</t>
        </is>
      </c>
    </row>
    <row r="186">
      <c r="A186" t="n">
        <v>246</v>
      </c>
      <c r="B186" t="n">
        <v>11</v>
      </c>
      <c r="C186" t="n">
        <v>6</v>
      </c>
      <c r="D186" t="n">
        <v>2051239516</v>
      </c>
      <c r="E186" t="inlineStr">
        <is>
          <t>Московский</t>
        </is>
      </c>
      <c r="F186" t="inlineStr">
        <is>
          <t>Московский пр., д. дом 115 литера В</t>
        </is>
      </c>
      <c r="G186" t="n">
        <v>27.8</v>
      </c>
      <c r="H186" t="inlineStr">
        <is>
          <t>13 209 750</t>
        </is>
      </c>
      <c r="I186" t="inlineStr"/>
      <c r="J186" t="inlineStr"/>
      <c r="K186" t="inlineStr"/>
      <c r="L186" t="inlineStr"/>
      <c r="M186" t="inlineStr"/>
      <c r="N186" t="inlineStr">
        <is>
          <t>yes</t>
        </is>
      </c>
      <c r="O186" t="inlineStr">
        <is>
          <t>pixel_heuristic</t>
        </is>
      </c>
      <c r="P186">
        <f>HYPERLINK("https://knru.ru/catalog/moskovskiy-pr-d-dom-115-litera-v-2051239516/","ссылка")</f>
        <v/>
      </c>
      <c r="Q186" t="inlineStr"/>
      <c r="R186" t="inlineStr">
        <is>
          <t>Нет у нас</t>
        </is>
      </c>
      <c r="S186" t="n">
        <v>0</v>
      </c>
      <c r="T186" t="inlineStr">
        <is>
          <t>Совпадений по улице+дому не найдено</t>
        </is>
      </c>
      <c r="U186" t="n">
        <v>246</v>
      </c>
      <c r="V186" t="n">
        <v>11</v>
      </c>
      <c r="W186" t="n">
        <v>6</v>
      </c>
      <c r="X186" t="n">
        <v>13209750</v>
      </c>
      <c r="Y186" t="inlineStr"/>
      <c r="Z186" t="inlineStr"/>
      <c r="AA186" t="inlineStr">
        <is>
          <t>https://knru.ru/catalog/moskovskiy-pr-d-dom-115-litera-v-2051239516/</t>
        </is>
      </c>
      <c r="AB186" t="inlineStr">
        <is>
          <t>B</t>
        </is>
      </c>
    </row>
    <row r="187">
      <c r="A187" t="n">
        <v>247</v>
      </c>
      <c r="B187" t="n">
        <v>11</v>
      </c>
      <c r="C187" t="n">
        <v>7</v>
      </c>
      <c r="D187" t="n">
        <v>1783525145</v>
      </c>
      <c r="E187" t="inlineStr">
        <is>
          <t>Московский</t>
        </is>
      </c>
      <c r="F187" t="inlineStr">
        <is>
          <t>Московский пр., д. дом 115 литера В</t>
        </is>
      </c>
      <c r="G187" t="n">
        <v>26.4</v>
      </c>
      <c r="H187" t="inlineStr">
        <is>
          <t>12 535 250</t>
        </is>
      </c>
      <c r="I187" t="inlineStr"/>
      <c r="J187" t="inlineStr"/>
      <c r="K187" t="inlineStr"/>
      <c r="L187" t="inlineStr"/>
      <c r="M187" t="inlineStr"/>
      <c r="N187" t="inlineStr">
        <is>
          <t>yes</t>
        </is>
      </c>
      <c r="O187" t="inlineStr">
        <is>
          <t>pixel_heuristic</t>
        </is>
      </c>
      <c r="P187">
        <f>HYPERLINK("https://knru.ru/catalog/moskovskiy-pr-d-dom-115-litera-v-1783525145/","ссылка")</f>
        <v/>
      </c>
      <c r="Q187" t="inlineStr"/>
      <c r="R187" t="inlineStr">
        <is>
          <t>Нет у нас</t>
        </is>
      </c>
      <c r="S187" t="n">
        <v>0</v>
      </c>
      <c r="T187" t="inlineStr">
        <is>
          <t>Совпадений по улице+дому не найдено</t>
        </is>
      </c>
      <c r="U187" t="n">
        <v>247</v>
      </c>
      <c r="V187" t="n">
        <v>11</v>
      </c>
      <c r="W187" t="n">
        <v>7</v>
      </c>
      <c r="X187" t="n">
        <v>12535250</v>
      </c>
      <c r="Y187" t="inlineStr"/>
      <c r="Z187" t="inlineStr"/>
      <c r="AA187" t="inlineStr">
        <is>
          <t>https://knru.ru/catalog/moskovskiy-pr-d-dom-115-litera-v-1783525145/</t>
        </is>
      </c>
      <c r="AB187" t="inlineStr">
        <is>
          <t>B</t>
        </is>
      </c>
    </row>
    <row r="188">
      <c r="A188" t="n">
        <v>248</v>
      </c>
      <c r="B188" t="n">
        <v>11</v>
      </c>
      <c r="C188" t="n">
        <v>8</v>
      </c>
      <c r="D188" t="n">
        <v>117518339</v>
      </c>
      <c r="E188" t="inlineStr">
        <is>
          <t>Московский</t>
        </is>
      </c>
      <c r="F188" t="inlineStr">
        <is>
          <t>Московский пр., д. дом 115 литера В</t>
        </is>
      </c>
      <c r="G188" t="n">
        <v>26</v>
      </c>
      <c r="H188" t="inlineStr">
        <is>
          <t>12 340 500</t>
        </is>
      </c>
      <c r="I188" t="inlineStr"/>
      <c r="J188" t="inlineStr"/>
      <c r="K188" t="inlineStr"/>
      <c r="L188" t="inlineStr"/>
      <c r="M188" t="inlineStr"/>
      <c r="N188" t="inlineStr">
        <is>
          <t>yes</t>
        </is>
      </c>
      <c r="O188" t="inlineStr">
        <is>
          <t>pixel_heuristic</t>
        </is>
      </c>
      <c r="P188">
        <f>HYPERLINK("https://knru.ru/catalog/moskovskiy-pr-d-dom-115-litera-v-117518339/","ссылка")</f>
        <v/>
      </c>
      <c r="Q188" t="inlineStr"/>
      <c r="R188" t="inlineStr">
        <is>
          <t>Нет у нас</t>
        </is>
      </c>
      <c r="S188" t="n">
        <v>0</v>
      </c>
      <c r="T188" t="inlineStr">
        <is>
          <t>Совпадений по улице+дому не найдено</t>
        </is>
      </c>
      <c r="U188" t="n">
        <v>248</v>
      </c>
      <c r="V188" t="n">
        <v>11</v>
      </c>
      <c r="W188" t="n">
        <v>8</v>
      </c>
      <c r="X188" t="n">
        <v>12340500</v>
      </c>
      <c r="Y188" t="inlineStr"/>
      <c r="Z188" t="inlineStr"/>
      <c r="AA188" t="inlineStr">
        <is>
          <t>https://knru.ru/catalog/moskovskiy-pr-d-dom-115-litera-v-117518339/</t>
        </is>
      </c>
      <c r="AB188" t="inlineStr">
        <is>
          <t>B</t>
        </is>
      </c>
    </row>
    <row r="189">
      <c r="A189" t="n">
        <v>249</v>
      </c>
      <c r="B189" t="n">
        <v>11</v>
      </c>
      <c r="C189" t="n">
        <v>9</v>
      </c>
      <c r="D189" t="n">
        <v>1867150402</v>
      </c>
      <c r="E189" t="inlineStr">
        <is>
          <t>Московский</t>
        </is>
      </c>
      <c r="F189" t="inlineStr">
        <is>
          <t>Московский пр., д. дом 115 литера В</t>
        </is>
      </c>
      <c r="G189" t="n">
        <v>38.7</v>
      </c>
      <c r="H189" t="inlineStr">
        <is>
          <t>17 472 400</t>
        </is>
      </c>
      <c r="I189" t="inlineStr"/>
      <c r="J189" t="inlineStr"/>
      <c r="K189" t="inlineStr"/>
      <c r="L189" t="inlineStr"/>
      <c r="M189" t="inlineStr"/>
      <c r="N189" t="inlineStr">
        <is>
          <t>yes</t>
        </is>
      </c>
      <c r="O189" t="inlineStr">
        <is>
          <t>pixel_heuristic</t>
        </is>
      </c>
      <c r="P189">
        <f>HYPERLINK("https://knru.ru/catalog/moskovskiy-pr-d-dom-115-litera-v-1867150402/","ссылка")</f>
        <v/>
      </c>
      <c r="Q189" t="inlineStr"/>
      <c r="R189" t="inlineStr">
        <is>
          <t>Нет у нас</t>
        </is>
      </c>
      <c r="S189" t="n">
        <v>0</v>
      </c>
      <c r="T189" t="inlineStr">
        <is>
          <t>Совпадений по улице+дому не найдено</t>
        </is>
      </c>
      <c r="U189" t="n">
        <v>249</v>
      </c>
      <c r="V189" t="n">
        <v>11</v>
      </c>
      <c r="W189" t="n">
        <v>9</v>
      </c>
      <c r="X189" t="n">
        <v>17472400</v>
      </c>
      <c r="Y189" t="inlineStr"/>
      <c r="Z189" t="inlineStr"/>
      <c r="AA189" t="inlineStr">
        <is>
          <t>https://knru.ru/catalog/moskovskiy-pr-d-dom-115-litera-v-1867150402/</t>
        </is>
      </c>
      <c r="AB189" t="inlineStr">
        <is>
          <t>B</t>
        </is>
      </c>
    </row>
    <row r="190">
      <c r="A190" t="n">
        <v>250</v>
      </c>
      <c r="B190" t="n">
        <v>11</v>
      </c>
      <c r="C190" t="n">
        <v>10</v>
      </c>
      <c r="D190" t="n">
        <v>1682261093</v>
      </c>
      <c r="E190" t="inlineStr">
        <is>
          <t>Московский</t>
        </is>
      </c>
      <c r="F190" t="inlineStr">
        <is>
          <t>Московский пр., д. дом 115 литера В</t>
        </is>
      </c>
      <c r="G190" t="n">
        <v>63.4</v>
      </c>
      <c r="H190" t="inlineStr">
        <is>
          <t>28 170 848</t>
        </is>
      </c>
      <c r="I190" t="inlineStr"/>
      <c r="J190" t="inlineStr"/>
      <c r="K190" t="inlineStr"/>
      <c r="L190" t="inlineStr"/>
      <c r="M190" t="inlineStr"/>
      <c r="N190" t="inlineStr">
        <is>
          <t>yes</t>
        </is>
      </c>
      <c r="O190" t="inlineStr">
        <is>
          <t>pixel_heuristic</t>
        </is>
      </c>
      <c r="P190">
        <f>HYPERLINK("https://knru.ru/catalog/moskovskiy-pr-d-dom-115-litera-v-1682261093/","ссылка")</f>
        <v/>
      </c>
      <c r="Q190" t="inlineStr"/>
      <c r="R190" t="inlineStr">
        <is>
          <t>Нет у нас</t>
        </is>
      </c>
      <c r="S190" t="n">
        <v>0</v>
      </c>
      <c r="T190" t="inlineStr">
        <is>
          <t>Совпадений по улице+дому не найдено</t>
        </is>
      </c>
      <c r="U190" t="n">
        <v>250</v>
      </c>
      <c r="V190" t="n">
        <v>11</v>
      </c>
      <c r="W190" t="n">
        <v>10</v>
      </c>
      <c r="X190" t="n">
        <v>28170848</v>
      </c>
      <c r="Y190" t="inlineStr"/>
      <c r="Z190" t="inlineStr"/>
      <c r="AA190" t="inlineStr">
        <is>
          <t>https://knru.ru/catalog/moskovskiy-pr-d-dom-115-litera-v-1682261093/</t>
        </is>
      </c>
      <c r="AB190" t="inlineStr">
        <is>
          <t>B</t>
        </is>
      </c>
    </row>
    <row r="191">
      <c r="A191" t="n">
        <v>251</v>
      </c>
      <c r="B191" t="n">
        <v>11</v>
      </c>
      <c r="C191" t="n">
        <v>11</v>
      </c>
      <c r="D191" t="n">
        <v>1996998203</v>
      </c>
      <c r="E191" t="inlineStr">
        <is>
          <t>Московский</t>
        </is>
      </c>
      <c r="F191" t="inlineStr">
        <is>
          <t>Московский пр., д. дом 115 литера В</t>
        </is>
      </c>
      <c r="G191" t="n">
        <v>24.9</v>
      </c>
      <c r="H191" t="inlineStr">
        <is>
          <t>11 818 000</t>
        </is>
      </c>
      <c r="I191" t="inlineStr"/>
      <c r="J191" t="inlineStr"/>
      <c r="K191" t="inlineStr"/>
      <c r="L191" t="inlineStr"/>
      <c r="M191" t="inlineStr"/>
      <c r="N191" t="inlineStr">
        <is>
          <t>yes</t>
        </is>
      </c>
      <c r="O191" t="inlineStr">
        <is>
          <t>pixel_heuristic</t>
        </is>
      </c>
      <c r="P191">
        <f>HYPERLINK("https://knru.ru/catalog/moskovskiy-pr-d-dom-115-litera-v-1996998203/","ссылка")</f>
        <v/>
      </c>
      <c r="Q191" t="inlineStr"/>
      <c r="R191" t="inlineStr">
        <is>
          <t>Нет у нас</t>
        </is>
      </c>
      <c r="S191" t="n">
        <v>0</v>
      </c>
      <c r="T191" t="inlineStr">
        <is>
          <t>Совпадений по улице+дому не найдено</t>
        </is>
      </c>
      <c r="U191" t="n">
        <v>251</v>
      </c>
      <c r="V191" t="n">
        <v>11</v>
      </c>
      <c r="W191" t="n">
        <v>11</v>
      </c>
      <c r="X191" t="n">
        <v>11818000</v>
      </c>
      <c r="Y191" t="inlineStr"/>
      <c r="Z191" t="inlineStr"/>
      <c r="AA191" t="inlineStr">
        <is>
          <t>https://knru.ru/catalog/moskovskiy-pr-d-dom-115-litera-v-1996998203/</t>
        </is>
      </c>
      <c r="AB191" t="inlineStr">
        <is>
          <t>B</t>
        </is>
      </c>
    </row>
    <row r="192">
      <c r="A192" t="n">
        <v>252</v>
      </c>
      <c r="B192" t="n">
        <v>11</v>
      </c>
      <c r="C192" t="n">
        <v>12</v>
      </c>
      <c r="D192" t="n">
        <v>515022786</v>
      </c>
      <c r="E192" t="inlineStr">
        <is>
          <t>Московский</t>
        </is>
      </c>
      <c r="F192" t="inlineStr">
        <is>
          <t>Московский пр., д. дом 115 литера В</t>
        </is>
      </c>
      <c r="G192" t="n">
        <v>24.9</v>
      </c>
      <c r="H192" t="inlineStr">
        <is>
          <t>11 818 000</t>
        </is>
      </c>
      <c r="I192" t="inlineStr"/>
      <c r="J192" t="inlineStr"/>
      <c r="K192" t="inlineStr"/>
      <c r="L192" t="inlineStr"/>
      <c r="M192" t="inlineStr"/>
      <c r="N192" t="inlineStr">
        <is>
          <t>yes</t>
        </is>
      </c>
      <c r="O192" t="inlineStr">
        <is>
          <t>pixel_heuristic</t>
        </is>
      </c>
      <c r="P192">
        <f>HYPERLINK("https://knru.ru/catalog/moskovskiy-pr-d-dom-115-litera-v-515022786/","ссылка")</f>
        <v/>
      </c>
      <c r="Q192" t="inlineStr"/>
      <c r="R192" t="inlineStr">
        <is>
          <t>Нет у нас</t>
        </is>
      </c>
      <c r="S192" t="n">
        <v>0</v>
      </c>
      <c r="T192" t="inlineStr">
        <is>
          <t>Совпадений по улице+дому не найдено</t>
        </is>
      </c>
      <c r="U192" t="n">
        <v>252</v>
      </c>
      <c r="V192" t="n">
        <v>11</v>
      </c>
      <c r="W192" t="n">
        <v>12</v>
      </c>
      <c r="X192" t="n">
        <v>11818000</v>
      </c>
      <c r="Y192" t="inlineStr"/>
      <c r="Z192" t="inlineStr"/>
      <c r="AA192" t="inlineStr">
        <is>
          <t>https://knru.ru/catalog/moskovskiy-pr-d-dom-115-litera-v-515022786/</t>
        </is>
      </c>
      <c r="AB192" t="inlineStr">
        <is>
          <t>B</t>
        </is>
      </c>
    </row>
    <row r="193">
      <c r="A193" t="n">
        <v>253</v>
      </c>
      <c r="B193" t="n">
        <v>11</v>
      </c>
      <c r="C193" t="n">
        <v>13</v>
      </c>
      <c r="D193" t="n">
        <v>517064920</v>
      </c>
      <c r="E193" t="inlineStr">
        <is>
          <t>Московский</t>
        </is>
      </c>
      <c r="F193" t="inlineStr">
        <is>
          <t>Московский пр., д. дом 115 литера В</t>
        </is>
      </c>
      <c r="G193" t="n">
        <v>40.9</v>
      </c>
      <c r="H193" t="inlineStr">
        <is>
          <t>18 451 612</t>
        </is>
      </c>
      <c r="I193" t="inlineStr"/>
      <c r="J193" t="inlineStr"/>
      <c r="K193" t="inlineStr"/>
      <c r="L193" t="inlineStr"/>
      <c r="M193" t="inlineStr"/>
      <c r="N193" t="inlineStr">
        <is>
          <t>yes</t>
        </is>
      </c>
      <c r="O193" t="inlineStr">
        <is>
          <t>pixel_heuristic</t>
        </is>
      </c>
      <c r="P193">
        <f>HYPERLINK("https://knru.ru/catalog/moskovskiy-pr-d-dom-115-litera-v-517064920/","ссылка")</f>
        <v/>
      </c>
      <c r="Q193" t="inlineStr"/>
      <c r="R193" t="inlineStr">
        <is>
          <t>Нет у нас</t>
        </is>
      </c>
      <c r="S193" t="n">
        <v>0</v>
      </c>
      <c r="T193" t="inlineStr">
        <is>
          <t>Совпадений по улице+дому не найдено</t>
        </is>
      </c>
      <c r="U193" t="n">
        <v>253</v>
      </c>
      <c r="V193" t="n">
        <v>11</v>
      </c>
      <c r="W193" t="n">
        <v>13</v>
      </c>
      <c r="X193" t="n">
        <v>18451612</v>
      </c>
      <c r="Y193" t="inlineStr"/>
      <c r="Z193" t="inlineStr"/>
      <c r="AA193" t="inlineStr">
        <is>
          <t>https://knru.ru/catalog/moskovskiy-pr-d-dom-115-litera-v-517064920/</t>
        </is>
      </c>
      <c r="AB193" t="inlineStr">
        <is>
          <t>B</t>
        </is>
      </c>
    </row>
    <row r="194">
      <c r="A194" t="n">
        <v>254</v>
      </c>
      <c r="B194" t="n">
        <v>11</v>
      </c>
      <c r="C194" t="n">
        <v>14</v>
      </c>
      <c r="D194" t="n">
        <v>1737031686</v>
      </c>
      <c r="E194" t="inlineStr">
        <is>
          <t>Московский</t>
        </is>
      </c>
      <c r="F194" t="inlineStr">
        <is>
          <t>Московский пр., д. дом 115 литера В</t>
        </is>
      </c>
      <c r="G194" t="n">
        <v>25.2</v>
      </c>
      <c r="H194" t="inlineStr">
        <is>
          <t>11 993 750</t>
        </is>
      </c>
      <c r="I194" t="inlineStr"/>
      <c r="J194" t="inlineStr"/>
      <c r="K194" t="inlineStr"/>
      <c r="L194" t="inlineStr"/>
      <c r="M194" t="inlineStr"/>
      <c r="N194" t="inlineStr">
        <is>
          <t>yes</t>
        </is>
      </c>
      <c r="O194" t="inlineStr">
        <is>
          <t>pixel_heuristic</t>
        </is>
      </c>
      <c r="P194">
        <f>HYPERLINK("https://knru.ru/catalog/moskovskiy-pr-d-dom-115-litera-v-1737031686/","ссылка")</f>
        <v/>
      </c>
      <c r="Q194" t="inlineStr"/>
      <c r="R194" t="inlineStr">
        <is>
          <t>Нет у нас</t>
        </is>
      </c>
      <c r="S194" t="n">
        <v>0</v>
      </c>
      <c r="T194" t="inlineStr">
        <is>
          <t>Совпадений по улице+дому не найдено</t>
        </is>
      </c>
      <c r="U194" t="n">
        <v>254</v>
      </c>
      <c r="V194" t="n">
        <v>11</v>
      </c>
      <c r="W194" t="n">
        <v>14</v>
      </c>
      <c r="X194" t="n">
        <v>11993750</v>
      </c>
      <c r="Y194" t="inlineStr"/>
      <c r="Z194" t="inlineStr"/>
      <c r="AA194" t="inlineStr">
        <is>
          <t>https://knru.ru/catalog/moskovskiy-pr-d-dom-115-litera-v-1737031686/</t>
        </is>
      </c>
      <c r="AB194" t="inlineStr">
        <is>
          <t>B</t>
        </is>
      </c>
    </row>
    <row r="195">
      <c r="A195" t="n">
        <v>255</v>
      </c>
      <c r="B195" t="n">
        <v>11</v>
      </c>
      <c r="C195" t="n">
        <v>15</v>
      </c>
      <c r="D195" t="n">
        <v>896777412</v>
      </c>
      <c r="E195" t="inlineStr">
        <is>
          <t>Московский</t>
        </is>
      </c>
      <c r="F195" t="inlineStr">
        <is>
          <t>Московский пр., д. дом 115 литера В</t>
        </is>
      </c>
      <c r="G195" t="n">
        <v>27.3</v>
      </c>
      <c r="H195" t="inlineStr">
        <is>
          <t>12 962 750</t>
        </is>
      </c>
      <c r="I195" t="inlineStr"/>
      <c r="J195" t="inlineStr"/>
      <c r="K195" t="inlineStr"/>
      <c r="L195" t="inlineStr"/>
      <c r="M195" t="inlineStr"/>
      <c r="N195" t="inlineStr">
        <is>
          <t>yes</t>
        </is>
      </c>
      <c r="O195" t="inlineStr">
        <is>
          <t>pixel_heuristic</t>
        </is>
      </c>
      <c r="P195">
        <f>HYPERLINK("https://knru.ru/catalog/moskovskiy-pr-d-dom-115-litera-v-896777412/","ссылка")</f>
        <v/>
      </c>
      <c r="Q195" t="inlineStr"/>
      <c r="R195" t="inlineStr">
        <is>
          <t>Нет у нас</t>
        </is>
      </c>
      <c r="S195" t="n">
        <v>0</v>
      </c>
      <c r="T195" t="inlineStr">
        <is>
          <t>Совпадений по улице+дому не найдено</t>
        </is>
      </c>
      <c r="U195" t="n">
        <v>255</v>
      </c>
      <c r="V195" t="n">
        <v>11</v>
      </c>
      <c r="W195" t="n">
        <v>15</v>
      </c>
      <c r="X195" t="n">
        <v>12962750</v>
      </c>
      <c r="Y195" t="inlineStr"/>
      <c r="Z195" t="inlineStr"/>
      <c r="AA195" t="inlineStr">
        <is>
          <t>https://knru.ru/catalog/moskovskiy-pr-d-dom-115-litera-v-896777412/</t>
        </is>
      </c>
      <c r="AB195" t="inlineStr">
        <is>
          <t>B</t>
        </is>
      </c>
    </row>
    <row r="196">
      <c r="A196" t="n">
        <v>256</v>
      </c>
      <c r="B196" t="n">
        <v>11</v>
      </c>
      <c r="C196" t="n">
        <v>16</v>
      </c>
      <c r="D196" t="n">
        <v>1635015360</v>
      </c>
      <c r="E196" t="inlineStr">
        <is>
          <t>Московский</t>
        </is>
      </c>
      <c r="F196" t="inlineStr">
        <is>
          <t>Московский пр., д. дом 115 литера В</t>
        </is>
      </c>
      <c r="G196" t="n">
        <v>23.9</v>
      </c>
      <c r="H196" t="inlineStr">
        <is>
          <t>11 333 500</t>
        </is>
      </c>
      <c r="I196" t="inlineStr"/>
      <c r="J196" t="inlineStr"/>
      <c r="K196" t="inlineStr"/>
      <c r="L196" t="inlineStr"/>
      <c r="M196" t="inlineStr"/>
      <c r="N196" t="inlineStr">
        <is>
          <t>yes</t>
        </is>
      </c>
      <c r="O196" t="inlineStr">
        <is>
          <t>pixel_heuristic</t>
        </is>
      </c>
      <c r="P196">
        <f>HYPERLINK("https://knru.ru/catalog/moskovskiy-pr-d-dom-115-litera-v-1635015360/","ссылка")</f>
        <v/>
      </c>
      <c r="Q196" t="inlineStr"/>
      <c r="R196" t="inlineStr">
        <is>
          <t>Нет у нас</t>
        </is>
      </c>
      <c r="S196" t="n">
        <v>0</v>
      </c>
      <c r="T196" t="inlineStr">
        <is>
          <t>Совпадений по улице+дому не найдено</t>
        </is>
      </c>
      <c r="U196" t="n">
        <v>256</v>
      </c>
      <c r="V196" t="n">
        <v>11</v>
      </c>
      <c r="W196" t="n">
        <v>16</v>
      </c>
      <c r="X196" t="n">
        <v>11333500</v>
      </c>
      <c r="Y196" t="inlineStr"/>
      <c r="Z196" t="inlineStr"/>
      <c r="AA196" t="inlineStr">
        <is>
          <t>https://knru.ru/catalog/moskovskiy-pr-d-dom-115-litera-v-1635015360/</t>
        </is>
      </c>
      <c r="AB196" t="inlineStr">
        <is>
          <t>B</t>
        </is>
      </c>
    </row>
    <row r="197">
      <c r="A197" t="n">
        <v>257</v>
      </c>
      <c r="B197" t="n">
        <v>11</v>
      </c>
      <c r="C197" t="n">
        <v>17</v>
      </c>
      <c r="D197" t="n">
        <v>503515475</v>
      </c>
      <c r="E197" t="inlineStr">
        <is>
          <t>Московский</t>
        </is>
      </c>
      <c r="F197" t="inlineStr">
        <is>
          <t>Московский пр., д. дом 115 литера В</t>
        </is>
      </c>
      <c r="G197" t="n">
        <v>31.9</v>
      </c>
      <c r="H197" t="inlineStr">
        <is>
          <t>14 759 793</t>
        </is>
      </c>
      <c r="I197" t="inlineStr"/>
      <c r="J197" t="inlineStr"/>
      <c r="K197" t="inlineStr"/>
      <c r="L197" t="inlineStr"/>
      <c r="M197" t="inlineStr"/>
      <c r="N197" t="inlineStr">
        <is>
          <t>yes</t>
        </is>
      </c>
      <c r="O197" t="inlineStr">
        <is>
          <t>pixel_heuristic</t>
        </is>
      </c>
      <c r="P197">
        <f>HYPERLINK("https://knru.ru/catalog/moskovskiy-pr-d-dom-115-litera-v-503515475/","ссылка")</f>
        <v/>
      </c>
      <c r="Q197" t="inlineStr"/>
      <c r="R197" t="inlineStr">
        <is>
          <t>Нет у нас</t>
        </is>
      </c>
      <c r="S197" t="n">
        <v>0</v>
      </c>
      <c r="T197" t="inlineStr">
        <is>
          <t>Совпадений по улице+дому не найдено</t>
        </is>
      </c>
      <c r="U197" t="n">
        <v>257</v>
      </c>
      <c r="V197" t="n">
        <v>11</v>
      </c>
      <c r="W197" t="n">
        <v>17</v>
      </c>
      <c r="X197" t="n">
        <v>14759793</v>
      </c>
      <c r="Y197" t="inlineStr"/>
      <c r="Z197" t="inlineStr"/>
      <c r="AA197" t="inlineStr">
        <is>
          <t>https://knru.ru/catalog/moskovskiy-pr-d-dom-115-litera-v-503515475/</t>
        </is>
      </c>
      <c r="AB197" t="inlineStr">
        <is>
          <t>B</t>
        </is>
      </c>
    </row>
    <row r="198">
      <c r="A198" t="n">
        <v>258</v>
      </c>
      <c r="B198" t="n">
        <v>11</v>
      </c>
      <c r="C198" t="n">
        <v>18</v>
      </c>
      <c r="D198" t="n">
        <v>516530964</v>
      </c>
      <c r="E198" t="inlineStr">
        <is>
          <t>Московский</t>
        </is>
      </c>
      <c r="F198" t="inlineStr">
        <is>
          <t>Московский пр., д. дом 115 литера В</t>
        </is>
      </c>
      <c r="G198" t="n">
        <v>45.6</v>
      </c>
      <c r="H198" t="inlineStr">
        <is>
          <t>20 563 462</t>
        </is>
      </c>
      <c r="I198" t="inlineStr"/>
      <c r="J198" t="inlineStr"/>
      <c r="K198" t="inlineStr"/>
      <c r="L198" t="inlineStr"/>
      <c r="M198" t="inlineStr"/>
      <c r="N198" t="inlineStr">
        <is>
          <t>yes</t>
        </is>
      </c>
      <c r="O198" t="inlineStr">
        <is>
          <t>pixel_heuristic</t>
        </is>
      </c>
      <c r="P198">
        <f>HYPERLINK("https://knru.ru/catalog/moskovskiy-pr-d-dom-115-litera-v-516530964/","ссылка")</f>
        <v/>
      </c>
      <c r="Q198" t="inlineStr"/>
      <c r="R198" t="inlineStr">
        <is>
          <t>Нет у нас</t>
        </is>
      </c>
      <c r="S198" t="n">
        <v>0</v>
      </c>
      <c r="T198" t="inlineStr">
        <is>
          <t>Совпадений по улице+дому не найдено</t>
        </is>
      </c>
      <c r="U198" t="n">
        <v>258</v>
      </c>
      <c r="V198" t="n">
        <v>11</v>
      </c>
      <c r="W198" t="n">
        <v>18</v>
      </c>
      <c r="X198" t="n">
        <v>20563462</v>
      </c>
      <c r="Y198" t="inlineStr"/>
      <c r="Z198" t="inlineStr"/>
      <c r="AA198" t="inlineStr">
        <is>
          <t>https://knru.ru/catalog/moskovskiy-pr-d-dom-115-litera-v-516530964/</t>
        </is>
      </c>
      <c r="AB198" t="inlineStr">
        <is>
          <t>B</t>
        </is>
      </c>
    </row>
    <row r="199">
      <c r="A199" t="n">
        <v>259</v>
      </c>
      <c r="B199" t="n">
        <v>11</v>
      </c>
      <c r="C199" t="n">
        <v>19</v>
      </c>
      <c r="D199" t="n">
        <v>2127298179</v>
      </c>
      <c r="E199" t="inlineStr">
        <is>
          <t>Московский</t>
        </is>
      </c>
      <c r="F199" t="inlineStr">
        <is>
          <t>Московский пр., д. дом 115 литера В</t>
        </is>
      </c>
      <c r="G199" t="n">
        <v>49.2</v>
      </c>
      <c r="H199" t="inlineStr">
        <is>
          <t>21 873 156</t>
        </is>
      </c>
      <c r="I199" t="inlineStr"/>
      <c r="J199" t="inlineStr"/>
      <c r="K199" t="inlineStr"/>
      <c r="L199" t="inlineStr"/>
      <c r="M199" t="inlineStr"/>
      <c r="N199" t="inlineStr">
        <is>
          <t>yes</t>
        </is>
      </c>
      <c r="O199" t="inlineStr">
        <is>
          <t>pixel_heuristic</t>
        </is>
      </c>
      <c r="P199">
        <f>HYPERLINK("https://knru.ru/catalog/moskovskiy-pr-d-dom-115-litera-v-2127298179/","ссылка")</f>
        <v/>
      </c>
      <c r="Q199" t="inlineStr"/>
      <c r="R199" t="inlineStr">
        <is>
          <t>Нет у нас</t>
        </is>
      </c>
      <c r="S199" t="n">
        <v>0</v>
      </c>
      <c r="T199" t="inlineStr">
        <is>
          <t>Совпадений по улице+дому не найдено</t>
        </is>
      </c>
      <c r="U199" t="n">
        <v>259</v>
      </c>
      <c r="V199" t="n">
        <v>11</v>
      </c>
      <c r="W199" t="n">
        <v>19</v>
      </c>
      <c r="X199" t="n">
        <v>21873156</v>
      </c>
      <c r="Y199" t="inlineStr"/>
      <c r="Z199" t="inlineStr"/>
      <c r="AA199" t="inlineStr">
        <is>
          <t>https://knru.ru/catalog/moskovskiy-pr-d-dom-115-litera-v-2127298179/</t>
        </is>
      </c>
      <c r="AB199" t="inlineStr">
        <is>
          <t>B</t>
        </is>
      </c>
    </row>
    <row r="200">
      <c r="A200" t="n">
        <v>260</v>
      </c>
      <c r="B200" t="n">
        <v>11</v>
      </c>
      <c r="C200" t="n">
        <v>20</v>
      </c>
      <c r="D200" t="n">
        <v>1693136319</v>
      </c>
      <c r="E200" t="inlineStr">
        <is>
          <t>Московский</t>
        </is>
      </c>
      <c r="F200" t="inlineStr">
        <is>
          <t>Московский пр., д. дом 115 литера В</t>
        </is>
      </c>
      <c r="G200" t="n">
        <v>34.5</v>
      </c>
      <c r="H200" t="inlineStr">
        <is>
          <t>15 968 550</t>
        </is>
      </c>
      <c r="I200" t="inlineStr"/>
      <c r="J200" t="inlineStr"/>
      <c r="K200" t="inlineStr"/>
      <c r="L200" t="inlineStr"/>
      <c r="M200" t="inlineStr"/>
      <c r="N200" t="inlineStr">
        <is>
          <t>yes</t>
        </is>
      </c>
      <c r="O200" t="inlineStr">
        <is>
          <t>pixel_heuristic</t>
        </is>
      </c>
      <c r="P200">
        <f>HYPERLINK("https://knru.ru/catalog/moskovskiy-pr-d-dom-115-litera-v-1693136319/","ссылка")</f>
        <v/>
      </c>
      <c r="Q200" t="inlineStr"/>
      <c r="R200" t="inlineStr">
        <is>
          <t>Нет у нас</t>
        </is>
      </c>
      <c r="S200" t="n">
        <v>0</v>
      </c>
      <c r="T200" t="inlineStr">
        <is>
          <t>Совпадений по улице+дому не найдено</t>
        </is>
      </c>
      <c r="U200" t="n">
        <v>260</v>
      </c>
      <c r="V200" t="n">
        <v>11</v>
      </c>
      <c r="W200" t="n">
        <v>20</v>
      </c>
      <c r="X200" t="n">
        <v>15968550</v>
      </c>
      <c r="Y200" t="inlineStr"/>
      <c r="Z200" t="inlineStr"/>
      <c r="AA200" t="inlineStr">
        <is>
          <t>https://knru.ru/catalog/moskovskiy-pr-d-dom-115-litera-v-1693136319/</t>
        </is>
      </c>
      <c r="AB200" t="inlineStr">
        <is>
          <t>B</t>
        </is>
      </c>
    </row>
    <row r="201">
      <c r="A201" t="n">
        <v>261</v>
      </c>
      <c r="B201" t="n">
        <v>11</v>
      </c>
      <c r="C201" t="n">
        <v>21</v>
      </c>
      <c r="D201" t="n">
        <v>1123847636</v>
      </c>
      <c r="E201" t="inlineStr">
        <is>
          <t>Московский</t>
        </is>
      </c>
      <c r="F201" t="inlineStr">
        <is>
          <t>Московский пр., д. дом 115 литера В</t>
        </is>
      </c>
      <c r="G201" t="n">
        <v>32.1</v>
      </c>
      <c r="H201" t="inlineStr">
        <is>
          <t>14 880 206</t>
        </is>
      </c>
      <c r="I201" t="inlineStr"/>
      <c r="J201" t="inlineStr"/>
      <c r="K201" t="inlineStr"/>
      <c r="L201" t="inlineStr"/>
      <c r="M201" t="inlineStr"/>
      <c r="N201" t="inlineStr">
        <is>
          <t>yes</t>
        </is>
      </c>
      <c r="O201" t="inlineStr">
        <is>
          <t>pixel_heuristic</t>
        </is>
      </c>
      <c r="P201">
        <f>HYPERLINK("https://knru.ru/catalog/moskovskiy-pr-d-dom-115-litera-v-1123847636/","ссылка")</f>
        <v/>
      </c>
      <c r="Q201" t="inlineStr"/>
      <c r="R201" t="inlineStr">
        <is>
          <t>Нет у нас</t>
        </is>
      </c>
      <c r="S201" t="n">
        <v>0</v>
      </c>
      <c r="T201" t="inlineStr">
        <is>
          <t>Совпадений по улице+дому не найдено</t>
        </is>
      </c>
      <c r="U201" t="n">
        <v>261</v>
      </c>
      <c r="V201" t="n">
        <v>11</v>
      </c>
      <c r="W201" t="n">
        <v>21</v>
      </c>
      <c r="X201" t="n">
        <v>14880206</v>
      </c>
      <c r="Y201" t="inlineStr"/>
      <c r="Z201" t="inlineStr"/>
      <c r="AA201" t="inlineStr">
        <is>
          <t>https://knru.ru/catalog/moskovskiy-pr-d-dom-115-litera-v-1123847636/</t>
        </is>
      </c>
      <c r="AB201" t="inlineStr">
        <is>
          <t>B</t>
        </is>
      </c>
    </row>
    <row r="202">
      <c r="A202" t="n">
        <v>262</v>
      </c>
      <c r="B202" t="n">
        <v>11</v>
      </c>
      <c r="C202" t="n">
        <v>22</v>
      </c>
      <c r="D202" t="n">
        <v>1252846630</v>
      </c>
      <c r="E202" t="inlineStr">
        <is>
          <t>Московский</t>
        </is>
      </c>
      <c r="F202" t="inlineStr">
        <is>
          <t>Московский пр., д. дом 115 литера В</t>
        </is>
      </c>
      <c r="G202" t="n">
        <v>36.9</v>
      </c>
      <c r="H202" t="inlineStr">
        <is>
          <t>17 066 156</t>
        </is>
      </c>
      <c r="I202" t="inlineStr"/>
      <c r="J202" t="inlineStr"/>
      <c r="K202" t="inlineStr"/>
      <c r="L202" t="inlineStr"/>
      <c r="M202" t="inlineStr"/>
      <c r="N202" t="inlineStr">
        <is>
          <t>yes</t>
        </is>
      </c>
      <c r="O202" t="inlineStr">
        <is>
          <t>pixel_heuristic</t>
        </is>
      </c>
      <c r="P202">
        <f>HYPERLINK("https://knru.ru/catalog/moskovskiy-pr-d-dom-115-litera-v-1252846630/","ссылка")</f>
        <v/>
      </c>
      <c r="Q202" t="inlineStr"/>
      <c r="R202" t="inlineStr">
        <is>
          <t>Нет у нас</t>
        </is>
      </c>
      <c r="S202" t="n">
        <v>0</v>
      </c>
      <c r="T202" t="inlineStr">
        <is>
          <t>Совпадений по улице+дому не найдено</t>
        </is>
      </c>
      <c r="U202" t="n">
        <v>262</v>
      </c>
      <c r="V202" t="n">
        <v>11</v>
      </c>
      <c r="W202" t="n">
        <v>22</v>
      </c>
      <c r="X202" t="n">
        <v>17066156</v>
      </c>
      <c r="Y202" t="inlineStr"/>
      <c r="Z202" t="inlineStr"/>
      <c r="AA202" t="inlineStr">
        <is>
          <t>https://knru.ru/catalog/moskovskiy-pr-d-dom-115-litera-v-1252846630/</t>
        </is>
      </c>
      <c r="AB202" t="inlineStr">
        <is>
          <t>B</t>
        </is>
      </c>
    </row>
    <row r="203">
      <c r="A203" t="n">
        <v>263</v>
      </c>
      <c r="B203" t="n">
        <v>11</v>
      </c>
      <c r="C203" t="n">
        <v>23</v>
      </c>
      <c r="D203" t="n">
        <v>1071650075</v>
      </c>
      <c r="E203" t="inlineStr">
        <is>
          <t>Московский</t>
        </is>
      </c>
      <c r="F203" t="inlineStr">
        <is>
          <t>Московский пр., д. дом 115 литера В</t>
        </is>
      </c>
      <c r="G203" t="n">
        <v>36.5</v>
      </c>
      <c r="H203" t="inlineStr">
        <is>
          <t>16 922 587</t>
        </is>
      </c>
      <c r="I203" t="inlineStr"/>
      <c r="J203" t="inlineStr"/>
      <c r="K203" t="inlineStr"/>
      <c r="L203" t="inlineStr"/>
      <c r="M203" t="inlineStr"/>
      <c r="N203" t="inlineStr">
        <is>
          <t>yes</t>
        </is>
      </c>
      <c r="O203" t="inlineStr">
        <is>
          <t>pixel_heuristic</t>
        </is>
      </c>
      <c r="P203">
        <f>HYPERLINK("https://knru.ru/catalog/moskovskiy-pr-d-dom-115-litera-v-1071650075/","ссылка")</f>
        <v/>
      </c>
      <c r="Q203" t="inlineStr"/>
      <c r="R203" t="inlineStr">
        <is>
          <t>Нет у нас</t>
        </is>
      </c>
      <c r="S203" t="n">
        <v>0</v>
      </c>
      <c r="T203" t="inlineStr">
        <is>
          <t>Совпадений по улице+дому не найдено</t>
        </is>
      </c>
      <c r="U203" t="n">
        <v>263</v>
      </c>
      <c r="V203" t="n">
        <v>11</v>
      </c>
      <c r="W203" t="n">
        <v>23</v>
      </c>
      <c r="X203" t="n">
        <v>16922587</v>
      </c>
      <c r="Y203" t="inlineStr"/>
      <c r="Z203" t="inlineStr"/>
      <c r="AA203" t="inlineStr">
        <is>
          <t>https://knru.ru/catalog/moskovskiy-pr-d-dom-115-litera-v-1071650075/</t>
        </is>
      </c>
      <c r="AB203" t="inlineStr">
        <is>
          <t>B</t>
        </is>
      </c>
    </row>
    <row r="204">
      <c r="A204" t="n">
        <v>264</v>
      </c>
      <c r="B204" t="n">
        <v>11</v>
      </c>
      <c r="C204" t="n">
        <v>24</v>
      </c>
      <c r="D204" t="n">
        <v>1778840768</v>
      </c>
      <c r="E204" t="inlineStr">
        <is>
          <t>Московский</t>
        </is>
      </c>
      <c r="F204" t="inlineStr">
        <is>
          <t>Московский пр., д. дом 115 литера В</t>
        </is>
      </c>
      <c r="G204" t="n">
        <v>51</v>
      </c>
      <c r="H204" t="inlineStr">
        <is>
          <t>22 632 610</t>
        </is>
      </c>
      <c r="I204" t="inlineStr"/>
      <c r="J204" t="inlineStr"/>
      <c r="K204" t="inlineStr"/>
      <c r="L204" t="inlineStr"/>
      <c r="M204" t="inlineStr"/>
      <c r="N204" t="inlineStr">
        <is>
          <t>yes</t>
        </is>
      </c>
      <c r="O204" t="inlineStr">
        <is>
          <t>pixel_heuristic</t>
        </is>
      </c>
      <c r="P204">
        <f>HYPERLINK("https://knru.ru/catalog/moskovskiy-pr-d-dom-115-litera-v-1778840768/","ссылка")</f>
        <v/>
      </c>
      <c r="Q204" t="inlineStr"/>
      <c r="R204" t="inlineStr">
        <is>
          <t>Нет у нас</t>
        </is>
      </c>
      <c r="S204" t="n">
        <v>0</v>
      </c>
      <c r="T204" t="inlineStr">
        <is>
          <t>Совпадений по улице+дому не найдено</t>
        </is>
      </c>
      <c r="U204" t="n">
        <v>264</v>
      </c>
      <c r="V204" t="n">
        <v>11</v>
      </c>
      <c r="W204" t="n">
        <v>24</v>
      </c>
      <c r="X204" t="n">
        <v>22632610</v>
      </c>
      <c r="Y204" t="inlineStr"/>
      <c r="Z204" t="inlineStr"/>
      <c r="AA204" t="inlineStr">
        <is>
          <t>https://knru.ru/catalog/moskovskiy-pr-d-dom-115-litera-v-1778840768/</t>
        </is>
      </c>
      <c r="AB204" t="inlineStr">
        <is>
          <t>B</t>
        </is>
      </c>
    </row>
    <row r="205">
      <c r="A205" t="n">
        <v>265</v>
      </c>
      <c r="B205" t="n">
        <v>12</v>
      </c>
      <c r="C205" t="n">
        <v>1</v>
      </c>
      <c r="D205" t="n">
        <v>326066324</v>
      </c>
      <c r="E205" t="inlineStr">
        <is>
          <t>Московский</t>
        </is>
      </c>
      <c r="F205" t="inlineStr">
        <is>
          <t>Московский пр., д. дом 115 литера В</t>
        </is>
      </c>
      <c r="G205" t="n">
        <v>31</v>
      </c>
      <c r="H205" t="inlineStr">
        <is>
          <t>14 375 400</t>
        </is>
      </c>
      <c r="I205" t="inlineStr"/>
      <c r="J205" t="inlineStr"/>
      <c r="K205" t="inlineStr"/>
      <c r="L205" t="inlineStr"/>
      <c r="M205" t="inlineStr"/>
      <c r="N205" t="inlineStr">
        <is>
          <t>yes</t>
        </is>
      </c>
      <c r="O205" t="inlineStr">
        <is>
          <t>pixel_heuristic</t>
        </is>
      </c>
      <c r="P205">
        <f>HYPERLINK("https://knru.ru/catalog/moskovskiy-pr-d-dom-115-litera-v-326066324/","ссылка")</f>
        <v/>
      </c>
      <c r="Q205" t="inlineStr"/>
      <c r="R205" t="inlineStr">
        <is>
          <t>Нет у нас</t>
        </is>
      </c>
      <c r="S205" t="n">
        <v>0</v>
      </c>
      <c r="T205" t="inlineStr">
        <is>
          <t>Совпадений по улице+дому не найдено</t>
        </is>
      </c>
      <c r="U205" t="n">
        <v>265</v>
      </c>
      <c r="V205" t="n">
        <v>12</v>
      </c>
      <c r="W205" t="n">
        <v>1</v>
      </c>
      <c r="X205" t="n">
        <v>14375400</v>
      </c>
      <c r="Y205" t="inlineStr"/>
      <c r="Z205" t="inlineStr"/>
      <c r="AA205" t="inlineStr">
        <is>
          <t>https://knru.ru/catalog/moskovskiy-pr-d-dom-115-litera-v-326066324/</t>
        </is>
      </c>
      <c r="AB205" t="inlineStr">
        <is>
          <t>B</t>
        </is>
      </c>
    </row>
    <row r="206">
      <c r="A206" t="n">
        <v>266</v>
      </c>
      <c r="B206" t="n">
        <v>12</v>
      </c>
      <c r="C206" t="n">
        <v>2</v>
      </c>
      <c r="D206" t="n">
        <v>1920153415</v>
      </c>
      <c r="E206" t="inlineStr">
        <is>
          <t>Московский</t>
        </is>
      </c>
      <c r="F206" t="inlineStr">
        <is>
          <t>Московский пр., д. дом 115 литера В</t>
        </is>
      </c>
      <c r="G206" t="n">
        <v>35.6</v>
      </c>
      <c r="H206" t="inlineStr">
        <is>
          <t>16 473 356</t>
        </is>
      </c>
      <c r="I206" t="inlineStr"/>
      <c r="J206" t="inlineStr"/>
      <c r="K206" t="inlineStr"/>
      <c r="L206" t="inlineStr"/>
      <c r="M206" t="inlineStr"/>
      <c r="N206" t="inlineStr">
        <is>
          <t>yes</t>
        </is>
      </c>
      <c r="O206" t="inlineStr">
        <is>
          <t>pixel_heuristic</t>
        </is>
      </c>
      <c r="P206">
        <f>HYPERLINK("https://knru.ru/catalog/moskovskiy-pr-d-dom-115-litera-v-1920153415/","ссылка")</f>
        <v/>
      </c>
      <c r="Q206" t="inlineStr"/>
      <c r="R206" t="inlineStr">
        <is>
          <t>Нет у нас</t>
        </is>
      </c>
      <c r="S206" t="n">
        <v>0</v>
      </c>
      <c r="T206" t="inlineStr">
        <is>
          <t>Совпадений по улице+дому не найдено</t>
        </is>
      </c>
      <c r="U206" t="n">
        <v>266</v>
      </c>
      <c r="V206" t="n">
        <v>12</v>
      </c>
      <c r="W206" t="n">
        <v>2</v>
      </c>
      <c r="X206" t="n">
        <v>16473356</v>
      </c>
      <c r="Y206" t="inlineStr"/>
      <c r="Z206" t="inlineStr"/>
      <c r="AA206" t="inlineStr">
        <is>
          <t>https://knru.ru/catalog/moskovskiy-pr-d-dom-115-litera-v-1920153415/</t>
        </is>
      </c>
      <c r="AB206" t="inlineStr">
        <is>
          <t>B</t>
        </is>
      </c>
    </row>
    <row r="207">
      <c r="A207" t="n">
        <v>267</v>
      </c>
      <c r="B207" t="n">
        <v>12</v>
      </c>
      <c r="C207" t="n">
        <v>3</v>
      </c>
      <c r="D207" t="inlineStr"/>
      <c r="E207" t="inlineStr">
        <is>
          <t>Московский</t>
        </is>
      </c>
      <c r="F207" t="inlineStr">
        <is>
          <t>Московский пр., д. дом 115 литера В</t>
        </is>
      </c>
      <c r="G207" t="n">
        <v>43</v>
      </c>
      <c r="H207" t="inlineStr">
        <is>
          <t>19 408 262</t>
        </is>
      </c>
      <c r="I207" t="inlineStr"/>
      <c r="J207" t="inlineStr"/>
      <c r="K207" t="inlineStr"/>
      <c r="L207" t="inlineStr"/>
      <c r="M207" t="inlineStr"/>
      <c r="N207" t="inlineStr">
        <is>
          <t>yes</t>
        </is>
      </c>
      <c r="O207" t="inlineStr">
        <is>
          <t>pixel_heuristic</t>
        </is>
      </c>
      <c r="P207">
        <f>HYPERLINK("https://knru.ru/catalog/moskovskiy-pr-d-dom-115-litera-v/","ссылка")</f>
        <v/>
      </c>
      <c r="Q207" t="inlineStr"/>
      <c r="R207" t="inlineStr">
        <is>
          <t>Нет у нас</t>
        </is>
      </c>
      <c r="S207" t="n">
        <v>0</v>
      </c>
      <c r="T207" t="inlineStr">
        <is>
          <t>Совпадений по улице+дому не найдено</t>
        </is>
      </c>
      <c r="U207" t="n">
        <v>267</v>
      </c>
      <c r="V207" t="n">
        <v>12</v>
      </c>
      <c r="W207" t="n">
        <v>3</v>
      </c>
      <c r="X207" t="n">
        <v>19408262</v>
      </c>
      <c r="Y207" t="inlineStr"/>
      <c r="Z207" t="inlineStr"/>
      <c r="AA207" t="inlineStr">
        <is>
          <t>https://knru.ru/catalog/moskovskiy-pr-d-dom-115-litera-v/</t>
        </is>
      </c>
      <c r="AB207" t="inlineStr">
        <is>
          <t>B</t>
        </is>
      </c>
    </row>
    <row r="208">
      <c r="A208" t="n">
        <v>268</v>
      </c>
      <c r="B208" t="n">
        <v>12</v>
      </c>
      <c r="C208" t="n">
        <v>4</v>
      </c>
      <c r="D208" t="n">
        <v>1356407609</v>
      </c>
      <c r="E208" t="inlineStr"/>
      <c r="F208" t="inlineStr">
        <is>
          <t>Пушкин г.</t>
        </is>
      </c>
      <c r="G208" t="n">
        <v>89.59999999999999</v>
      </c>
      <c r="H208" t="inlineStr">
        <is>
          <t>25 747 641</t>
        </is>
      </c>
      <c r="I208" t="inlineStr"/>
      <c r="J208" t="inlineStr"/>
      <c r="K208" t="inlineStr"/>
      <c r="L208" t="inlineStr"/>
      <c r="M208" t="inlineStr"/>
      <c r="N208" t="inlineStr">
        <is>
          <t>no</t>
        </is>
      </c>
      <c r="O208" t="inlineStr">
        <is>
          <t>none</t>
        </is>
      </c>
      <c r="P208">
        <f>HYPERLINK("https://knru.ru/catalog/pushkin-g-1356407609/","ссылка")</f>
        <v/>
      </c>
      <c r="Q208" t="inlineStr"/>
      <c r="R208" t="inlineStr">
        <is>
          <t>Нет у нас</t>
        </is>
      </c>
      <c r="S208" t="n">
        <v>0</v>
      </c>
      <c r="T208" t="inlineStr">
        <is>
          <t>Совпадений по улице+дому не найдено</t>
        </is>
      </c>
      <c r="U208" t="n">
        <v>268</v>
      </c>
      <c r="V208" t="n">
        <v>12</v>
      </c>
      <c r="W208" t="n">
        <v>4</v>
      </c>
      <c r="X208" t="n">
        <v>25747641</v>
      </c>
      <c r="Y208" t="inlineStr"/>
      <c r="Z208" t="inlineStr"/>
      <c r="AA208" t="inlineStr">
        <is>
          <t>https://knru.ru/catalog/pushkin-g-1356407609/</t>
        </is>
      </c>
      <c r="AB208" t="inlineStr">
        <is>
          <t>B</t>
        </is>
      </c>
    </row>
    <row r="209">
      <c r="A209" t="n">
        <v>269</v>
      </c>
      <c r="B209" t="n">
        <v>12</v>
      </c>
      <c r="C209" t="n">
        <v>5</v>
      </c>
      <c r="D209" t="n">
        <v>1878255705</v>
      </c>
      <c r="E209" t="inlineStr"/>
      <c r="F209" t="inlineStr">
        <is>
          <t>Пушкин г.</t>
        </is>
      </c>
      <c r="G209" t="n">
        <v>89.8</v>
      </c>
      <c r="H209" t="inlineStr">
        <is>
          <t>20 619 196</t>
        </is>
      </c>
      <c r="I209" t="inlineStr"/>
      <c r="J209" t="inlineStr"/>
      <c r="K209" t="inlineStr"/>
      <c r="L209" t="inlineStr"/>
      <c r="M209" t="inlineStr"/>
      <c r="N209" t="inlineStr">
        <is>
          <t>no</t>
        </is>
      </c>
      <c r="O209" t="inlineStr">
        <is>
          <t>none</t>
        </is>
      </c>
      <c r="P209">
        <f>HYPERLINK("https://knru.ru/catalog/pushkin-g-1878255705/","ссылка")</f>
        <v/>
      </c>
      <c r="Q209" t="inlineStr"/>
      <c r="R209" t="inlineStr">
        <is>
          <t>Нет у нас</t>
        </is>
      </c>
      <c r="S209" t="n">
        <v>0</v>
      </c>
      <c r="T209" t="inlineStr">
        <is>
          <t>Совпадений по улице+дому не найдено</t>
        </is>
      </c>
      <c r="U209" t="n">
        <v>269</v>
      </c>
      <c r="V209" t="n">
        <v>12</v>
      </c>
      <c r="W209" t="n">
        <v>5</v>
      </c>
      <c r="X209" t="n">
        <v>20619196</v>
      </c>
      <c r="Y209" t="inlineStr"/>
      <c r="Z209" t="inlineStr"/>
      <c r="AA209" t="inlineStr">
        <is>
          <t>https://knru.ru/catalog/pushkin-g-1878255705/</t>
        </is>
      </c>
      <c r="AB209" t="inlineStr">
        <is>
          <t>B</t>
        </is>
      </c>
    </row>
    <row r="210">
      <c r="A210" t="n">
        <v>270</v>
      </c>
      <c r="B210" t="n">
        <v>12</v>
      </c>
      <c r="C210" t="n">
        <v>6</v>
      </c>
      <c r="D210" t="n">
        <v>1464245848</v>
      </c>
      <c r="E210" t="inlineStr"/>
      <c r="F210" t="inlineStr">
        <is>
          <t>Пушкин г.</t>
        </is>
      </c>
      <c r="G210" t="n">
        <v>82.59999999999999</v>
      </c>
      <c r="H210" t="inlineStr">
        <is>
          <t>23 637 175</t>
        </is>
      </c>
      <c r="I210" t="inlineStr"/>
      <c r="J210" t="inlineStr"/>
      <c r="K210" t="inlineStr"/>
      <c r="L210" t="inlineStr"/>
      <c r="M210" t="inlineStr"/>
      <c r="N210" t="inlineStr">
        <is>
          <t>no</t>
        </is>
      </c>
      <c r="O210" t="inlineStr">
        <is>
          <t>none</t>
        </is>
      </c>
      <c r="P210">
        <f>HYPERLINK("https://knru.ru/catalog/pushkin-g-1464245848/","ссылка")</f>
        <v/>
      </c>
      <c r="Q210" t="inlineStr"/>
      <c r="R210" t="inlineStr">
        <is>
          <t>Нет у нас</t>
        </is>
      </c>
      <c r="S210" t="n">
        <v>0</v>
      </c>
      <c r="T210" t="inlineStr">
        <is>
          <t>Совпадений по улице+дому не найдено</t>
        </is>
      </c>
      <c r="U210" t="n">
        <v>270</v>
      </c>
      <c r="V210" t="n">
        <v>12</v>
      </c>
      <c r="W210" t="n">
        <v>6</v>
      </c>
      <c r="X210" t="n">
        <v>23637175</v>
      </c>
      <c r="Y210" t="inlineStr"/>
      <c r="Z210" t="inlineStr"/>
      <c r="AA210" t="inlineStr">
        <is>
          <t>https://knru.ru/catalog/pushkin-g-1464245848/</t>
        </is>
      </c>
      <c r="AB210" t="inlineStr">
        <is>
          <t>B</t>
        </is>
      </c>
    </row>
    <row r="211">
      <c r="A211" t="n">
        <v>271</v>
      </c>
      <c r="B211" t="n">
        <v>12</v>
      </c>
      <c r="C211" t="n">
        <v>7</v>
      </c>
      <c r="D211" t="n">
        <v>1410273036</v>
      </c>
      <c r="E211" t="inlineStr"/>
      <c r="F211" t="inlineStr">
        <is>
          <t>Пушкин г.</t>
        </is>
      </c>
      <c r="G211" t="n">
        <v>58.4</v>
      </c>
      <c r="H211" t="inlineStr">
        <is>
          <t>17 953 828</t>
        </is>
      </c>
      <c r="I211" t="inlineStr"/>
      <c r="J211" t="inlineStr"/>
      <c r="K211" t="inlineStr"/>
      <c r="L211" t="inlineStr"/>
      <c r="M211" t="inlineStr"/>
      <c r="N211" t="inlineStr">
        <is>
          <t>no</t>
        </is>
      </c>
      <c r="O211" t="inlineStr">
        <is>
          <t>none</t>
        </is>
      </c>
      <c r="P211">
        <f>HYPERLINK("https://knru.ru/catalog/pushkin-g-1410273036/","ссылка")</f>
        <v/>
      </c>
      <c r="Q211" t="inlineStr"/>
      <c r="R211" t="inlineStr">
        <is>
          <t>Нет у нас</t>
        </is>
      </c>
      <c r="S211" t="n">
        <v>0</v>
      </c>
      <c r="T211" t="inlineStr">
        <is>
          <t>Совпадений по улице+дому не найдено</t>
        </is>
      </c>
      <c r="U211" t="n">
        <v>271</v>
      </c>
      <c r="V211" t="n">
        <v>12</v>
      </c>
      <c r="W211" t="n">
        <v>7</v>
      </c>
      <c r="X211" t="n">
        <v>17953828</v>
      </c>
      <c r="Y211" t="inlineStr"/>
      <c r="Z211" t="inlineStr"/>
      <c r="AA211" t="inlineStr">
        <is>
          <t>https://knru.ru/catalog/pushkin-g-1410273036/</t>
        </is>
      </c>
      <c r="AB211" t="inlineStr">
        <is>
          <t>B</t>
        </is>
      </c>
    </row>
    <row r="212">
      <c r="A212" t="n">
        <v>272</v>
      </c>
      <c r="B212" t="n">
        <v>12</v>
      </c>
      <c r="C212" t="n">
        <v>8</v>
      </c>
      <c r="D212" t="n">
        <v>1451720632</v>
      </c>
      <c r="E212" t="inlineStr"/>
      <c r="F212" t="inlineStr">
        <is>
          <t>Красносельское шос.</t>
        </is>
      </c>
      <c r="G212" t="n">
        <v>38.9</v>
      </c>
      <c r="H212" t="inlineStr">
        <is>
          <t>12 091 680</t>
        </is>
      </c>
      <c r="I212" t="inlineStr"/>
      <c r="J212" t="inlineStr"/>
      <c r="K212" t="inlineStr"/>
      <c r="L212" t="inlineStr"/>
      <c r="M212" t="inlineStr"/>
      <c r="N212" t="inlineStr">
        <is>
          <t>no</t>
        </is>
      </c>
      <c r="O212" t="inlineStr">
        <is>
          <t>none</t>
        </is>
      </c>
      <c r="P212">
        <f>HYPERLINK("https://knru.ru/catalog/krasnoselskoe-shos-1451720632/","ссылка")</f>
        <v/>
      </c>
      <c r="Q212" t="inlineStr"/>
      <c r="R212" t="inlineStr">
        <is>
          <t>Нет у нас</t>
        </is>
      </c>
      <c r="S212" t="n">
        <v>0</v>
      </c>
      <c r="T212" t="inlineStr">
        <is>
          <t>Совпадений по улице+дому не найдено</t>
        </is>
      </c>
      <c r="U212" t="n">
        <v>272</v>
      </c>
      <c r="V212" t="n">
        <v>12</v>
      </c>
      <c r="W212" t="n">
        <v>8</v>
      </c>
      <c r="X212" t="n">
        <v>12091680</v>
      </c>
      <c r="Y212" t="inlineStr"/>
      <c r="Z212" t="inlineStr"/>
      <c r="AA212" t="inlineStr">
        <is>
          <t>https://knru.ru/catalog/krasnoselskoe-shos-1451720632/</t>
        </is>
      </c>
      <c r="AB212" t="inlineStr">
        <is>
          <t>B</t>
        </is>
      </c>
    </row>
    <row r="213">
      <c r="A213" t="n">
        <v>273</v>
      </c>
      <c r="B213" t="n">
        <v>12</v>
      </c>
      <c r="C213" t="n">
        <v>9</v>
      </c>
      <c r="D213" t="n">
        <v>415624624</v>
      </c>
      <c r="E213" t="inlineStr"/>
      <c r="F213" t="inlineStr">
        <is>
          <t>Красносельское шос.</t>
        </is>
      </c>
      <c r="G213" t="n">
        <v>47.4</v>
      </c>
      <c r="H213" t="inlineStr">
        <is>
          <t>13 595 190</t>
        </is>
      </c>
      <c r="I213" t="inlineStr"/>
      <c r="J213" t="inlineStr"/>
      <c r="K213" t="inlineStr"/>
      <c r="L213" t="inlineStr"/>
      <c r="M213" t="inlineStr"/>
      <c r="N213" t="inlineStr">
        <is>
          <t>no</t>
        </is>
      </c>
      <c r="O213" t="inlineStr">
        <is>
          <t>none</t>
        </is>
      </c>
      <c r="P213">
        <f>HYPERLINK("https://knru.ru/catalog/krasnoselskoe-shos-415624624/","ссылка")</f>
        <v/>
      </c>
      <c r="Q213" t="inlineStr"/>
      <c r="R213" t="inlineStr">
        <is>
          <t>Нет у нас</t>
        </is>
      </c>
      <c r="S213" t="n">
        <v>0</v>
      </c>
      <c r="T213" t="inlineStr">
        <is>
          <t>Совпадений по улице+дому не найдено</t>
        </is>
      </c>
      <c r="U213" t="n">
        <v>273</v>
      </c>
      <c r="V213" t="n">
        <v>12</v>
      </c>
      <c r="W213" t="n">
        <v>9</v>
      </c>
      <c r="X213" t="n">
        <v>13595190</v>
      </c>
      <c r="Y213" t="inlineStr"/>
      <c r="Z213" t="inlineStr"/>
      <c r="AA213" t="inlineStr">
        <is>
          <t>https://knru.ru/catalog/krasnoselskoe-shos-415624624/</t>
        </is>
      </c>
      <c r="AB213" t="inlineStr">
        <is>
          <t>B</t>
        </is>
      </c>
    </row>
    <row r="214">
      <c r="A214" t="n">
        <v>274</v>
      </c>
      <c r="B214" t="n">
        <v>12</v>
      </c>
      <c r="C214" t="n">
        <v>10</v>
      </c>
      <c r="D214" t="inlineStr"/>
      <c r="E214" t="inlineStr">
        <is>
          <t>Приморский</t>
        </is>
      </c>
      <c r="F214" t="inlineStr">
        <is>
          <t>Коломяжский пр., д. 19А</t>
        </is>
      </c>
      <c r="G214" t="n">
        <v>29.7</v>
      </c>
      <c r="H214" t="inlineStr">
        <is>
          <t>10 391 500</t>
        </is>
      </c>
      <c r="I214" t="inlineStr"/>
      <c r="J214" t="inlineStr"/>
      <c r="K214" t="inlineStr"/>
      <c r="L214" t="inlineStr"/>
      <c r="M214" t="inlineStr"/>
      <c r="N214" t="inlineStr">
        <is>
          <t>no</t>
        </is>
      </c>
      <c r="O214" t="inlineStr">
        <is>
          <t>none</t>
        </is>
      </c>
      <c r="P214">
        <f>HYPERLINK("https://knru.ru/catalog/kolomyazhskiy-pr-d-19a/","ссылка")</f>
        <v/>
      </c>
      <c r="Q214" t="inlineStr"/>
      <c r="R214" t="inlineStr">
        <is>
          <t>Нет у нас</t>
        </is>
      </c>
      <c r="S214" t="n">
        <v>0</v>
      </c>
      <c r="T214" t="inlineStr">
        <is>
          <t>Совпадений по улице+дому не найдено</t>
        </is>
      </c>
      <c r="U214" t="n">
        <v>274</v>
      </c>
      <c r="V214" t="n">
        <v>12</v>
      </c>
      <c r="W214" t="n">
        <v>10</v>
      </c>
      <c r="X214" t="n">
        <v>10391500</v>
      </c>
      <c r="Y214" t="inlineStr"/>
      <c r="Z214" t="inlineStr"/>
      <c r="AA214" t="inlineStr">
        <is>
          <t>https://knru.ru/catalog/kolomyazhskiy-pr-d-19a/</t>
        </is>
      </c>
      <c r="AB214" t="inlineStr">
        <is>
          <t>B</t>
        </is>
      </c>
    </row>
    <row r="215">
      <c r="A215" t="n">
        <v>275</v>
      </c>
      <c r="B215" t="n">
        <v>12</v>
      </c>
      <c r="C215" t="n">
        <v>11</v>
      </c>
      <c r="D215" t="n">
        <v>157372992</v>
      </c>
      <c r="E215" t="inlineStr"/>
      <c r="F215" t="inlineStr">
        <is>
          <t>Красносельское шос.</t>
        </is>
      </c>
      <c r="G215" t="n">
        <v>57.3</v>
      </c>
      <c r="H215" t="inlineStr">
        <is>
          <t>15 462 900</t>
        </is>
      </c>
      <c r="I215" t="inlineStr"/>
      <c r="J215" t="inlineStr"/>
      <c r="K215" t="inlineStr"/>
      <c r="L215" t="inlineStr"/>
      <c r="M215" t="inlineStr"/>
      <c r="N215" t="inlineStr">
        <is>
          <t>no</t>
        </is>
      </c>
      <c r="O215" t="inlineStr">
        <is>
          <t>none</t>
        </is>
      </c>
      <c r="P215">
        <f>HYPERLINK("https://knru.ru/catalog/krasnoselskoe-shos-157372992/","ссылка")</f>
        <v/>
      </c>
      <c r="Q215" t="inlineStr"/>
      <c r="R215" t="inlineStr">
        <is>
          <t>Нет у нас</t>
        </is>
      </c>
      <c r="S215" t="n">
        <v>0</v>
      </c>
      <c r="T215" t="inlineStr">
        <is>
          <t>Совпадений по улице+дому не найдено</t>
        </is>
      </c>
      <c r="U215" t="n">
        <v>275</v>
      </c>
      <c r="V215" t="n">
        <v>12</v>
      </c>
      <c r="W215" t="n">
        <v>11</v>
      </c>
      <c r="X215" t="n">
        <v>15462900</v>
      </c>
      <c r="Y215" t="inlineStr"/>
      <c r="Z215" t="inlineStr"/>
      <c r="AA215" t="inlineStr">
        <is>
          <t>https://knru.ru/catalog/krasnoselskoe-shos-157372992/</t>
        </is>
      </c>
      <c r="AB215" t="inlineStr">
        <is>
          <t>B</t>
        </is>
      </c>
    </row>
    <row r="216">
      <c r="A216" t="n">
        <v>276</v>
      </c>
      <c r="B216" t="n">
        <v>12</v>
      </c>
      <c r="C216" t="n">
        <v>12</v>
      </c>
      <c r="D216" t="n">
        <v>1502356091</v>
      </c>
      <c r="E216" t="inlineStr"/>
      <c r="F216" t="inlineStr">
        <is>
          <t>Красносельское шос.</t>
        </is>
      </c>
      <c r="G216" t="n">
        <v>42.6</v>
      </c>
      <c r="H216" t="inlineStr">
        <is>
          <t>13 461 600</t>
        </is>
      </c>
      <c r="I216" t="inlineStr"/>
      <c r="J216" t="inlineStr"/>
      <c r="K216" t="inlineStr"/>
      <c r="L216" t="inlineStr"/>
      <c r="M216" t="inlineStr"/>
      <c r="N216" t="inlineStr">
        <is>
          <t>no</t>
        </is>
      </c>
      <c r="O216" t="inlineStr">
        <is>
          <t>none</t>
        </is>
      </c>
      <c r="P216">
        <f>HYPERLINK("https://knru.ru/catalog/krasnoselskoe-shos-1502356091/","ссылка")</f>
        <v/>
      </c>
      <c r="Q216" t="inlineStr"/>
      <c r="R216" t="inlineStr">
        <is>
          <t>Нет у нас</t>
        </is>
      </c>
      <c r="S216" t="n">
        <v>0</v>
      </c>
      <c r="T216" t="inlineStr">
        <is>
          <t>Совпадений по улице+дому не найдено</t>
        </is>
      </c>
      <c r="U216" t="n">
        <v>276</v>
      </c>
      <c r="V216" t="n">
        <v>12</v>
      </c>
      <c r="W216" t="n">
        <v>12</v>
      </c>
      <c r="X216" t="n">
        <v>13461600</v>
      </c>
      <c r="Y216" t="inlineStr"/>
      <c r="Z216" t="inlineStr"/>
      <c r="AA216" t="inlineStr">
        <is>
          <t>https://knru.ru/catalog/krasnoselskoe-shos-1502356091/</t>
        </is>
      </c>
      <c r="AB216" t="inlineStr">
        <is>
          <t>B</t>
        </is>
      </c>
    </row>
    <row r="217">
      <c r="A217" t="n">
        <v>277</v>
      </c>
      <c r="B217" t="n">
        <v>12</v>
      </c>
      <c r="C217" t="n">
        <v>13</v>
      </c>
      <c r="D217" t="inlineStr"/>
      <c r="E217" t="inlineStr"/>
      <c r="F217" t="inlineStr">
        <is>
          <t>Красносельское шос.</t>
        </is>
      </c>
      <c r="G217" t="n">
        <v>47.4</v>
      </c>
      <c r="H217" t="inlineStr">
        <is>
          <t>13 595 190</t>
        </is>
      </c>
      <c r="I217" t="inlineStr"/>
      <c r="J217" t="inlineStr"/>
      <c r="K217" t="inlineStr"/>
      <c r="L217" t="inlineStr"/>
      <c r="M217" t="inlineStr"/>
      <c r="N217" t="inlineStr">
        <is>
          <t>no</t>
        </is>
      </c>
      <c r="O217" t="inlineStr">
        <is>
          <t>none</t>
        </is>
      </c>
      <c r="P217">
        <f>HYPERLINK("https://knru.ru/catalog/krasnoselskoe-shos/","ссылка")</f>
        <v/>
      </c>
      <c r="Q217" t="inlineStr"/>
      <c r="R217" t="inlineStr">
        <is>
          <t>Нет у нас</t>
        </is>
      </c>
      <c r="S217" t="n">
        <v>0</v>
      </c>
      <c r="T217" t="inlineStr">
        <is>
          <t>Совпадений по улице+дому не найдено</t>
        </is>
      </c>
      <c r="U217" t="n">
        <v>277</v>
      </c>
      <c r="V217" t="n">
        <v>12</v>
      </c>
      <c r="W217" t="n">
        <v>13</v>
      </c>
      <c r="X217" t="n">
        <v>13595190</v>
      </c>
      <c r="Y217" t="inlineStr"/>
      <c r="Z217" t="inlineStr"/>
      <c r="AA217" t="inlineStr">
        <is>
          <t>https://knru.ru/catalog/krasnoselskoe-shos/</t>
        </is>
      </c>
      <c r="AB217" t="inlineStr">
        <is>
          <t>B</t>
        </is>
      </c>
    </row>
    <row r="218">
      <c r="A218" t="n">
        <v>278</v>
      </c>
      <c r="B218" t="n">
        <v>12</v>
      </c>
      <c r="C218" t="n">
        <v>14</v>
      </c>
      <c r="D218" t="inlineStr"/>
      <c r="E218" t="inlineStr"/>
      <c r="F218" t="inlineStr">
        <is>
          <t>Пушкин г.</t>
        </is>
      </c>
      <c r="G218" t="n">
        <v>74</v>
      </c>
      <c r="H218" t="inlineStr">
        <is>
          <t>22 279 006</t>
        </is>
      </c>
      <c r="I218" t="inlineStr"/>
      <c r="J218" t="inlineStr"/>
      <c r="K218" t="inlineStr"/>
      <c r="L218" t="inlineStr"/>
      <c r="M218" t="inlineStr"/>
      <c r="N218" t="inlineStr">
        <is>
          <t>no</t>
        </is>
      </c>
      <c r="O218" t="inlineStr">
        <is>
          <t>none</t>
        </is>
      </c>
      <c r="P218">
        <f>HYPERLINK("https://knru.ru/catalog/pushkin-g/","ссылка")</f>
        <v/>
      </c>
      <c r="Q218" t="inlineStr"/>
      <c r="R218" t="inlineStr">
        <is>
          <t>Нет у нас</t>
        </is>
      </c>
      <c r="S218" t="n">
        <v>0</v>
      </c>
      <c r="T218" t="inlineStr">
        <is>
          <t>Совпадений по улице+дому не найдено</t>
        </is>
      </c>
      <c r="U218" t="n">
        <v>278</v>
      </c>
      <c r="V218" t="n">
        <v>12</v>
      </c>
      <c r="W218" t="n">
        <v>14</v>
      </c>
      <c r="X218" t="n">
        <v>22279006</v>
      </c>
      <c r="Y218" t="inlineStr"/>
      <c r="Z218" t="inlineStr"/>
      <c r="AA218" t="inlineStr">
        <is>
          <t>https://knru.ru/catalog/pushkin-g/</t>
        </is>
      </c>
      <c r="AB218" t="inlineStr">
        <is>
          <t>B</t>
        </is>
      </c>
    </row>
    <row r="219">
      <c r="A219" t="n">
        <v>279</v>
      </c>
      <c r="B219" t="n">
        <v>12</v>
      </c>
      <c r="C219" t="n">
        <v>15</v>
      </c>
      <c r="D219" t="n">
        <v>1426441123</v>
      </c>
      <c r="E219" t="inlineStr">
        <is>
          <t>Красногвардейский</t>
        </is>
      </c>
      <c r="F219" t="inlineStr">
        <is>
          <t>Гранитная ул.</t>
        </is>
      </c>
      <c r="G219" t="n">
        <v>319.6</v>
      </c>
      <c r="H219" t="inlineStr">
        <is>
          <t>95 889 000</t>
        </is>
      </c>
      <c r="I219" t="inlineStr"/>
      <c r="J219" t="inlineStr"/>
      <c r="K219" t="inlineStr"/>
      <c r="L219" t="inlineStr"/>
      <c r="M219" t="inlineStr"/>
      <c r="N219" t="inlineStr">
        <is>
          <t>yes</t>
        </is>
      </c>
      <c r="O219" t="inlineStr">
        <is>
          <t>pixel_heuristic</t>
        </is>
      </c>
      <c r="P219">
        <f>HYPERLINK("https://knru.ru/catalog/granitnaya-ul-1426441123/","ссылка")</f>
        <v/>
      </c>
      <c r="Q219" t="inlineStr"/>
      <c r="R219" t="inlineStr">
        <is>
          <t>Нет у нас</t>
        </is>
      </c>
      <c r="S219" t="n">
        <v>0</v>
      </c>
      <c r="T219" t="inlineStr">
        <is>
          <t>Совпадений по улице+дому не найдено</t>
        </is>
      </c>
      <c r="U219" t="n">
        <v>279</v>
      </c>
      <c r="V219" t="n">
        <v>12</v>
      </c>
      <c r="W219" t="n">
        <v>15</v>
      </c>
      <c r="X219" t="n">
        <v>95889000</v>
      </c>
      <c r="Y219" t="inlineStr"/>
      <c r="Z219" t="inlineStr"/>
      <c r="AA219" t="inlineStr">
        <is>
          <t>https://knru.ru/catalog/granitnaya-ul-1426441123/</t>
        </is>
      </c>
      <c r="AB219" t="inlineStr">
        <is>
          <t>B</t>
        </is>
      </c>
    </row>
    <row r="220">
      <c r="A220" t="n">
        <v>280</v>
      </c>
      <c r="B220" t="n">
        <v>12</v>
      </c>
      <c r="C220" t="n">
        <v>16</v>
      </c>
      <c r="D220" t="n">
        <v>1783901361</v>
      </c>
      <c r="E220" t="inlineStr">
        <is>
          <t>Красногвардейский</t>
        </is>
      </c>
      <c r="F220" t="inlineStr">
        <is>
          <t>Гранитная ул.</t>
        </is>
      </c>
      <c r="G220" t="n">
        <v>37.1</v>
      </c>
      <c r="H220" t="inlineStr">
        <is>
          <t>13 619 550</t>
        </is>
      </c>
      <c r="I220" t="inlineStr"/>
      <c r="J220" t="inlineStr"/>
      <c r="K220" t="inlineStr"/>
      <c r="L220" t="inlineStr"/>
      <c r="M220" t="inlineStr"/>
      <c r="N220" t="inlineStr">
        <is>
          <t>yes</t>
        </is>
      </c>
      <c r="O220" t="inlineStr">
        <is>
          <t>pixel_heuristic</t>
        </is>
      </c>
      <c r="P220">
        <f>HYPERLINK("https://knru.ru/catalog/granitnaya-ul-1783901361/","ссылка")</f>
        <v/>
      </c>
      <c r="Q220" t="inlineStr"/>
      <c r="R220" t="inlineStr">
        <is>
          <t>Нет у нас</t>
        </is>
      </c>
      <c r="S220" t="n">
        <v>0</v>
      </c>
      <c r="T220" t="inlineStr">
        <is>
          <t>Совпадений по улице+дому не найдено</t>
        </is>
      </c>
      <c r="U220" t="n">
        <v>280</v>
      </c>
      <c r="V220" t="n">
        <v>12</v>
      </c>
      <c r="W220" t="n">
        <v>16</v>
      </c>
      <c r="X220" t="n">
        <v>13619550</v>
      </c>
      <c r="Y220" t="inlineStr"/>
      <c r="Z220" t="inlineStr"/>
      <c r="AA220" t="inlineStr">
        <is>
          <t>https://knru.ru/catalog/granitnaya-ul-1783901361/</t>
        </is>
      </c>
      <c r="AB220" t="inlineStr">
        <is>
          <t>B</t>
        </is>
      </c>
    </row>
    <row r="221">
      <c r="A221" t="n">
        <v>281</v>
      </c>
      <c r="B221" t="n">
        <v>12</v>
      </c>
      <c r="C221" t="n">
        <v>17</v>
      </c>
      <c r="D221" t="n">
        <v>944060404</v>
      </c>
      <c r="E221" t="inlineStr">
        <is>
          <t>Красногвардейский</t>
        </is>
      </c>
      <c r="F221" t="inlineStr">
        <is>
          <t>Гранитная ул.</t>
        </is>
      </c>
      <c r="G221" t="n">
        <v>54.9</v>
      </c>
      <c r="H221" t="inlineStr">
        <is>
          <t>13 176 000</t>
        </is>
      </c>
      <c r="I221" t="inlineStr"/>
      <c r="J221" t="inlineStr"/>
      <c r="K221" t="inlineStr"/>
      <c r="L221" t="inlineStr"/>
      <c r="M221" t="inlineStr"/>
      <c r="N221" t="inlineStr">
        <is>
          <t>yes</t>
        </is>
      </c>
      <c r="O221" t="inlineStr">
        <is>
          <t>pixel_heuristic</t>
        </is>
      </c>
      <c r="P221">
        <f>HYPERLINK("https://knru.ru/catalog/granitnaya-ul-944060404/","ссылка")</f>
        <v/>
      </c>
      <c r="Q221" t="inlineStr"/>
      <c r="R221" t="inlineStr">
        <is>
          <t>Нет у нас</t>
        </is>
      </c>
      <c r="S221" t="n">
        <v>0</v>
      </c>
      <c r="T221" t="inlineStr">
        <is>
          <t>Совпадений по улице+дому не найдено</t>
        </is>
      </c>
      <c r="U221" t="n">
        <v>281</v>
      </c>
      <c r="V221" t="n">
        <v>12</v>
      </c>
      <c r="W221" t="n">
        <v>17</v>
      </c>
      <c r="X221" t="n">
        <v>13176000</v>
      </c>
      <c r="Y221" t="inlineStr"/>
      <c r="Z221" t="inlineStr"/>
      <c r="AA221" t="inlineStr">
        <is>
          <t>https://knru.ru/catalog/granitnaya-ul-944060404/</t>
        </is>
      </c>
      <c r="AB221" t="inlineStr">
        <is>
          <t>B</t>
        </is>
      </c>
    </row>
    <row r="222">
      <c r="A222" t="n">
        <v>282</v>
      </c>
      <c r="B222" t="n">
        <v>12</v>
      </c>
      <c r="C222" t="n">
        <v>18</v>
      </c>
      <c r="D222" t="n">
        <v>902070671</v>
      </c>
      <c r="E222" t="inlineStr">
        <is>
          <t>Красногвардейский</t>
        </is>
      </c>
      <c r="F222" t="inlineStr">
        <is>
          <t>Гранитная ул.</t>
        </is>
      </c>
      <c r="G222" t="n">
        <v>46.9</v>
      </c>
      <c r="H222" t="inlineStr">
        <is>
          <t>11 256 000</t>
        </is>
      </c>
      <c r="I222" t="inlineStr"/>
      <c r="J222" t="inlineStr"/>
      <c r="K222" t="inlineStr"/>
      <c r="L222" t="inlineStr"/>
      <c r="M222" t="inlineStr"/>
      <c r="N222" t="inlineStr">
        <is>
          <t>yes</t>
        </is>
      </c>
      <c r="O222" t="inlineStr">
        <is>
          <t>pixel_heuristic</t>
        </is>
      </c>
      <c r="P222">
        <f>HYPERLINK("https://knru.ru/catalog/granitnaya-ul-902070671/","ссылка")</f>
        <v/>
      </c>
      <c r="Q222" t="inlineStr"/>
      <c r="R222" t="inlineStr">
        <is>
          <t>Нет у нас</t>
        </is>
      </c>
      <c r="S222" t="n">
        <v>0</v>
      </c>
      <c r="T222" t="inlineStr">
        <is>
          <t>Совпадений по улице+дому не найдено</t>
        </is>
      </c>
      <c r="U222" t="n">
        <v>282</v>
      </c>
      <c r="V222" t="n">
        <v>12</v>
      </c>
      <c r="W222" t="n">
        <v>18</v>
      </c>
      <c r="X222" t="n">
        <v>11256000</v>
      </c>
      <c r="Y222" t="inlineStr"/>
      <c r="Z222" t="inlineStr"/>
      <c r="AA222" t="inlineStr">
        <is>
          <t>https://knru.ru/catalog/granitnaya-ul-902070671/</t>
        </is>
      </c>
      <c r="AB222" t="inlineStr">
        <is>
          <t>B</t>
        </is>
      </c>
    </row>
    <row r="223">
      <c r="A223" t="n">
        <v>283</v>
      </c>
      <c r="B223" t="n">
        <v>12</v>
      </c>
      <c r="C223" t="n">
        <v>19</v>
      </c>
      <c r="D223" t="n">
        <v>1687667008</v>
      </c>
      <c r="E223" t="inlineStr">
        <is>
          <t>Красногвардейский</t>
        </is>
      </c>
      <c r="F223" t="inlineStr">
        <is>
          <t>Гранитная ул.</t>
        </is>
      </c>
      <c r="G223" t="n">
        <v>36.6</v>
      </c>
      <c r="H223" t="inlineStr">
        <is>
          <t>8 788 800</t>
        </is>
      </c>
      <c r="I223" t="inlineStr"/>
      <c r="J223" t="inlineStr"/>
      <c r="K223" t="inlineStr"/>
      <c r="L223" t="inlineStr"/>
      <c r="M223" t="inlineStr"/>
      <c r="N223" t="inlineStr">
        <is>
          <t>yes</t>
        </is>
      </c>
      <c r="O223" t="inlineStr">
        <is>
          <t>pixel_heuristic</t>
        </is>
      </c>
      <c r="P223">
        <f>HYPERLINK("https://knru.ru/catalog/granitnaya-ul-1687667008/","ссылка")</f>
        <v/>
      </c>
      <c r="Q223" t="inlineStr"/>
      <c r="R223" t="inlineStr">
        <is>
          <t>Нет у нас</t>
        </is>
      </c>
      <c r="S223" t="n">
        <v>0</v>
      </c>
      <c r="T223" t="inlineStr">
        <is>
          <t>Совпадений по улице+дому не найдено</t>
        </is>
      </c>
      <c r="U223" t="n">
        <v>283</v>
      </c>
      <c r="V223" t="n">
        <v>12</v>
      </c>
      <c r="W223" t="n">
        <v>19</v>
      </c>
      <c r="X223" t="n">
        <v>8788800</v>
      </c>
      <c r="Y223" t="inlineStr"/>
      <c r="Z223" t="inlineStr"/>
      <c r="AA223" t="inlineStr">
        <is>
          <t>https://knru.ru/catalog/granitnaya-ul-1687667008/</t>
        </is>
      </c>
      <c r="AB223" t="inlineStr">
        <is>
          <t>B</t>
        </is>
      </c>
    </row>
    <row r="224">
      <c r="A224" t="n">
        <v>284</v>
      </c>
      <c r="B224" t="n">
        <v>12</v>
      </c>
      <c r="C224" t="n">
        <v>20</v>
      </c>
      <c r="D224" t="n">
        <v>1485625464</v>
      </c>
      <c r="E224" t="inlineStr">
        <is>
          <t>Красногвардейский</t>
        </is>
      </c>
      <c r="F224" t="inlineStr">
        <is>
          <t>Гранитная ул.</t>
        </is>
      </c>
      <c r="G224" t="n">
        <v>121.6</v>
      </c>
      <c r="H224" t="inlineStr">
        <is>
          <t>29 176 800</t>
        </is>
      </c>
      <c r="I224" t="inlineStr"/>
      <c r="J224" t="inlineStr"/>
      <c r="K224" t="inlineStr"/>
      <c r="L224" t="inlineStr"/>
      <c r="M224" t="inlineStr"/>
      <c r="N224" t="inlineStr">
        <is>
          <t>yes</t>
        </is>
      </c>
      <c r="O224" t="inlineStr">
        <is>
          <t>pixel_heuristic</t>
        </is>
      </c>
      <c r="P224">
        <f>HYPERLINK("https://knru.ru/catalog/granitnaya-ul-1485625464/","ссылка")</f>
        <v/>
      </c>
      <c r="Q224" t="inlineStr"/>
      <c r="R224" t="inlineStr">
        <is>
          <t>Нет у нас</t>
        </is>
      </c>
      <c r="S224" t="n">
        <v>0</v>
      </c>
      <c r="T224" t="inlineStr">
        <is>
          <t>Совпадений по улице+дому не найдено</t>
        </is>
      </c>
      <c r="U224" t="n">
        <v>284</v>
      </c>
      <c r="V224" t="n">
        <v>12</v>
      </c>
      <c r="W224" t="n">
        <v>20</v>
      </c>
      <c r="X224" t="n">
        <v>29176800</v>
      </c>
      <c r="Y224" t="inlineStr"/>
      <c r="Z224" t="inlineStr"/>
      <c r="AA224" t="inlineStr">
        <is>
          <t>https://knru.ru/catalog/granitnaya-ul-1485625464/</t>
        </is>
      </c>
      <c r="AB224" t="inlineStr">
        <is>
          <t>B</t>
        </is>
      </c>
    </row>
    <row r="225">
      <c r="A225" t="n">
        <v>285</v>
      </c>
      <c r="B225" t="n">
        <v>12</v>
      </c>
      <c r="C225" t="n">
        <v>21</v>
      </c>
      <c r="D225" t="n">
        <v>997422955</v>
      </c>
      <c r="E225" t="inlineStr">
        <is>
          <t>Красногвардейский</t>
        </is>
      </c>
      <c r="F225" t="inlineStr">
        <is>
          <t>Гранитная ул.</t>
        </is>
      </c>
      <c r="G225" t="n">
        <v>298.8</v>
      </c>
      <c r="H225" t="inlineStr">
        <is>
          <t>71 716 800</t>
        </is>
      </c>
      <c r="I225" t="inlineStr"/>
      <c r="J225" t="inlineStr"/>
      <c r="K225" t="inlineStr"/>
      <c r="L225" t="inlineStr"/>
      <c r="M225" t="inlineStr"/>
      <c r="N225" t="inlineStr">
        <is>
          <t>yes</t>
        </is>
      </c>
      <c r="O225" t="inlineStr">
        <is>
          <t>pixel_heuristic</t>
        </is>
      </c>
      <c r="P225">
        <f>HYPERLINK("https://knru.ru/catalog/granitnaya-ul-997422955/","ссылка")</f>
        <v/>
      </c>
      <c r="Q225" t="inlineStr"/>
      <c r="R225" t="inlineStr">
        <is>
          <t>Нет у нас</t>
        </is>
      </c>
      <c r="S225" t="n">
        <v>0</v>
      </c>
      <c r="T225" t="inlineStr">
        <is>
          <t>Совпадений по улице+дому не найдено</t>
        </is>
      </c>
      <c r="U225" t="n">
        <v>285</v>
      </c>
      <c r="V225" t="n">
        <v>12</v>
      </c>
      <c r="W225" t="n">
        <v>21</v>
      </c>
      <c r="X225" t="n">
        <v>71716800</v>
      </c>
      <c r="Y225" t="inlineStr"/>
      <c r="Z225" t="inlineStr"/>
      <c r="AA225" t="inlineStr">
        <is>
          <t>https://knru.ru/catalog/granitnaya-ul-997422955/</t>
        </is>
      </c>
      <c r="AB225" t="inlineStr">
        <is>
          <t>B</t>
        </is>
      </c>
    </row>
    <row r="226">
      <c r="A226" t="n">
        <v>286</v>
      </c>
      <c r="B226" t="n">
        <v>12</v>
      </c>
      <c r="C226" t="n">
        <v>22</v>
      </c>
      <c r="D226" t="n">
        <v>1144818920</v>
      </c>
      <c r="E226" t="inlineStr">
        <is>
          <t>Красногвардейский</t>
        </is>
      </c>
      <c r="F226" t="inlineStr">
        <is>
          <t>Гранитная ул.</t>
        </is>
      </c>
      <c r="G226" t="n">
        <v>142.3</v>
      </c>
      <c r="H226" t="inlineStr">
        <is>
          <t>34 164 000</t>
        </is>
      </c>
      <c r="I226" t="inlineStr"/>
      <c r="J226" t="inlineStr"/>
      <c r="K226" t="inlineStr"/>
      <c r="L226" t="inlineStr"/>
      <c r="M226" t="inlineStr"/>
      <c r="N226" t="inlineStr">
        <is>
          <t>yes</t>
        </is>
      </c>
      <c r="O226" t="inlineStr">
        <is>
          <t>pixel_heuristic</t>
        </is>
      </c>
      <c r="P226">
        <f>HYPERLINK("https://knru.ru/catalog/granitnaya-ul-1144818920/","ссылка")</f>
        <v/>
      </c>
      <c r="Q226" t="inlineStr"/>
      <c r="R226" t="inlineStr">
        <is>
          <t>Нет у нас</t>
        </is>
      </c>
      <c r="S226" t="n">
        <v>0</v>
      </c>
      <c r="T226" t="inlineStr">
        <is>
          <t>Совпадений по улице+дому не найдено</t>
        </is>
      </c>
      <c r="U226" t="n">
        <v>286</v>
      </c>
      <c r="V226" t="n">
        <v>12</v>
      </c>
      <c r="W226" t="n">
        <v>22</v>
      </c>
      <c r="X226" t="n">
        <v>34164000</v>
      </c>
      <c r="Y226" t="inlineStr"/>
      <c r="Z226" t="inlineStr"/>
      <c r="AA226" t="inlineStr">
        <is>
          <t>https://knru.ru/catalog/granitnaya-ul-1144818920/</t>
        </is>
      </c>
      <c r="AB226" t="inlineStr">
        <is>
          <t>B</t>
        </is>
      </c>
    </row>
    <row r="227">
      <c r="A227" t="n">
        <v>287</v>
      </c>
      <c r="B227" t="n">
        <v>12</v>
      </c>
      <c r="C227" t="n">
        <v>23</v>
      </c>
      <c r="D227" t="n">
        <v>225522299</v>
      </c>
      <c r="E227" t="inlineStr">
        <is>
          <t>Красногвардейский</t>
        </is>
      </c>
      <c r="F227" t="inlineStr">
        <is>
          <t>Гранитная ул.</t>
        </is>
      </c>
      <c r="G227" t="n">
        <v>84.40000000000001</v>
      </c>
      <c r="H227" t="inlineStr">
        <is>
          <t>20 263 200</t>
        </is>
      </c>
      <c r="I227" t="inlineStr"/>
      <c r="J227" t="inlineStr"/>
      <c r="K227" t="inlineStr"/>
      <c r="L227" t="inlineStr"/>
      <c r="M227" t="inlineStr"/>
      <c r="N227" t="inlineStr">
        <is>
          <t>yes</t>
        </is>
      </c>
      <c r="O227" t="inlineStr">
        <is>
          <t>pixel_heuristic</t>
        </is>
      </c>
      <c r="P227">
        <f>HYPERLINK("https://knru.ru/catalog/granitnaya-ul-225522299/","ссылка")</f>
        <v/>
      </c>
      <c r="Q227" t="inlineStr"/>
      <c r="R227" t="inlineStr">
        <is>
          <t>Нет у нас</t>
        </is>
      </c>
      <c r="S227" t="n">
        <v>0</v>
      </c>
      <c r="T227" t="inlineStr">
        <is>
          <t>Совпадений по улице+дому не найдено</t>
        </is>
      </c>
      <c r="U227" t="n">
        <v>287</v>
      </c>
      <c r="V227" t="n">
        <v>12</v>
      </c>
      <c r="W227" t="n">
        <v>23</v>
      </c>
      <c r="X227" t="n">
        <v>20263200</v>
      </c>
      <c r="Y227" t="inlineStr"/>
      <c r="Z227" t="inlineStr"/>
      <c r="AA227" t="inlineStr">
        <is>
          <t>https://knru.ru/catalog/granitnaya-ul-225522299/</t>
        </is>
      </c>
      <c r="AB227" t="inlineStr">
        <is>
          <t>B</t>
        </is>
      </c>
    </row>
    <row r="228">
      <c r="A228" t="n">
        <v>288</v>
      </c>
      <c r="B228" t="n">
        <v>12</v>
      </c>
      <c r="C228" t="n">
        <v>24</v>
      </c>
      <c r="D228" t="n">
        <v>1524184155</v>
      </c>
      <c r="E228" t="inlineStr">
        <is>
          <t>Красногвардейский</t>
        </is>
      </c>
      <c r="F228" t="inlineStr">
        <is>
          <t>Гранитная ул.</t>
        </is>
      </c>
      <c r="G228" t="n">
        <v>56.6</v>
      </c>
      <c r="H228" t="inlineStr">
        <is>
          <t>13 596 000</t>
        </is>
      </c>
      <c r="I228" t="inlineStr"/>
      <c r="J228" t="inlineStr"/>
      <c r="K228" t="inlineStr"/>
      <c r="L228" t="inlineStr"/>
      <c r="M228" t="inlineStr"/>
      <c r="N228" t="inlineStr">
        <is>
          <t>yes</t>
        </is>
      </c>
      <c r="O228" t="inlineStr">
        <is>
          <t>pixel_heuristic</t>
        </is>
      </c>
      <c r="P228">
        <f>HYPERLINK("https://knru.ru/catalog/granitnaya-ul-1524184155/","ссылка")</f>
        <v/>
      </c>
      <c r="Q228" t="inlineStr"/>
      <c r="R228" t="inlineStr">
        <is>
          <t>Нет у нас</t>
        </is>
      </c>
      <c r="S228" t="n">
        <v>0</v>
      </c>
      <c r="T228" t="inlineStr">
        <is>
          <t>Совпадений по улице+дому не найдено</t>
        </is>
      </c>
      <c r="U228" t="n">
        <v>288</v>
      </c>
      <c r="V228" t="n">
        <v>12</v>
      </c>
      <c r="W228" t="n">
        <v>24</v>
      </c>
      <c r="X228" t="n">
        <v>13596000</v>
      </c>
      <c r="Y228" t="inlineStr"/>
      <c r="Z228" t="inlineStr"/>
      <c r="AA228" t="inlineStr">
        <is>
          <t>https://knru.ru/catalog/granitnaya-ul-1524184155/</t>
        </is>
      </c>
      <c r="AB228" t="inlineStr">
        <is>
          <t>B</t>
        </is>
      </c>
    </row>
    <row r="229">
      <c r="A229" t="n">
        <v>289</v>
      </c>
      <c r="B229" t="n">
        <v>13</v>
      </c>
      <c r="C229" t="n">
        <v>1</v>
      </c>
      <c r="D229" t="n">
        <v>1430420657</v>
      </c>
      <c r="E229" t="inlineStr">
        <is>
          <t>Красногвардейский</t>
        </is>
      </c>
      <c r="F229" t="inlineStr">
        <is>
          <t>Гранитная ул.</t>
        </is>
      </c>
      <c r="G229" t="n">
        <v>106.2</v>
      </c>
      <c r="H229" t="inlineStr">
        <is>
          <t>25 485 600</t>
        </is>
      </c>
      <c r="I229" t="inlineStr"/>
      <c r="J229" t="inlineStr"/>
      <c r="K229" t="inlineStr"/>
      <c r="L229" t="inlineStr"/>
      <c r="M229" t="inlineStr"/>
      <c r="N229" t="inlineStr">
        <is>
          <t>yes</t>
        </is>
      </c>
      <c r="O229" t="inlineStr">
        <is>
          <t>pixel_heuristic</t>
        </is>
      </c>
      <c r="P229">
        <f>HYPERLINK("https://knru.ru/catalog/granitnaya-ul-1430420657/","ссылка")</f>
        <v/>
      </c>
      <c r="Q229" t="inlineStr"/>
      <c r="R229" t="inlineStr">
        <is>
          <t>Нет у нас</t>
        </is>
      </c>
      <c r="S229" t="n">
        <v>0</v>
      </c>
      <c r="T229" t="inlineStr">
        <is>
          <t>Совпадений по улице+дому не найдено</t>
        </is>
      </c>
      <c r="U229" t="n">
        <v>289</v>
      </c>
      <c r="V229" t="n">
        <v>13</v>
      </c>
      <c r="W229" t="n">
        <v>1</v>
      </c>
      <c r="X229" t="n">
        <v>25485600</v>
      </c>
      <c r="Y229" t="inlineStr"/>
      <c r="Z229" t="inlineStr"/>
      <c r="AA229" t="inlineStr">
        <is>
          <t>https://knru.ru/catalog/granitnaya-ul-1430420657/</t>
        </is>
      </c>
      <c r="AB229" t="inlineStr">
        <is>
          <t>B</t>
        </is>
      </c>
    </row>
    <row r="230">
      <c r="A230" t="n">
        <v>290</v>
      </c>
      <c r="B230" t="n">
        <v>13</v>
      </c>
      <c r="C230" t="n">
        <v>2</v>
      </c>
      <c r="D230" t="n">
        <v>248332186</v>
      </c>
      <c r="E230" t="inlineStr">
        <is>
          <t>Красногвардейский</t>
        </is>
      </c>
      <c r="F230" t="inlineStr">
        <is>
          <t>Гранитная ул.</t>
        </is>
      </c>
      <c r="G230" t="n">
        <v>72.59999999999999</v>
      </c>
      <c r="H230" t="inlineStr">
        <is>
          <t>26 665 800</t>
        </is>
      </c>
      <c r="I230" t="inlineStr"/>
      <c r="J230" t="inlineStr"/>
      <c r="K230" t="inlineStr"/>
      <c r="L230" t="inlineStr"/>
      <c r="M230" t="inlineStr"/>
      <c r="N230" t="inlineStr">
        <is>
          <t>yes</t>
        </is>
      </c>
      <c r="O230" t="inlineStr">
        <is>
          <t>pixel_heuristic</t>
        </is>
      </c>
      <c r="P230">
        <f>HYPERLINK("https://knru.ru/catalog/granitnaya-ul-248332186/","ссылка")</f>
        <v/>
      </c>
      <c r="Q230" t="inlineStr"/>
      <c r="R230" t="inlineStr">
        <is>
          <t>Нет у нас</t>
        </is>
      </c>
      <c r="S230" t="n">
        <v>0</v>
      </c>
      <c r="T230" t="inlineStr">
        <is>
          <t>Совпадений по улице+дому не найдено</t>
        </is>
      </c>
      <c r="U230" t="n">
        <v>290</v>
      </c>
      <c r="V230" t="n">
        <v>13</v>
      </c>
      <c r="W230" t="n">
        <v>2</v>
      </c>
      <c r="X230" t="n">
        <v>26665800</v>
      </c>
      <c r="Y230" t="inlineStr"/>
      <c r="Z230" t="inlineStr"/>
      <c r="AA230" t="inlineStr">
        <is>
          <t>https://knru.ru/catalog/granitnaya-ul-248332186/</t>
        </is>
      </c>
      <c r="AB230" t="inlineStr">
        <is>
          <t>B</t>
        </is>
      </c>
    </row>
    <row r="231">
      <c r="A231" t="n">
        <v>291</v>
      </c>
      <c r="B231" t="n">
        <v>13</v>
      </c>
      <c r="C231" t="n">
        <v>3</v>
      </c>
      <c r="D231" t="n">
        <v>385773601</v>
      </c>
      <c r="E231" t="inlineStr">
        <is>
          <t>Красногвардейский</t>
        </is>
      </c>
      <c r="F231" t="inlineStr">
        <is>
          <t>Гранитная ул.</t>
        </is>
      </c>
      <c r="G231" t="n">
        <v>48.2</v>
      </c>
      <c r="H231" t="inlineStr">
        <is>
          <t>17 698 800</t>
        </is>
      </c>
      <c r="I231" t="inlineStr"/>
      <c r="J231" t="inlineStr"/>
      <c r="K231" t="inlineStr"/>
      <c r="L231" t="inlineStr"/>
      <c r="M231" t="inlineStr"/>
      <c r="N231" t="inlineStr">
        <is>
          <t>yes</t>
        </is>
      </c>
      <c r="O231" t="inlineStr">
        <is>
          <t>pixel_heuristic</t>
        </is>
      </c>
      <c r="P231">
        <f>HYPERLINK("https://knru.ru/catalog/granitnaya-ul-385773601/","ссылка")</f>
        <v/>
      </c>
      <c r="Q231" t="inlineStr"/>
      <c r="R231" t="inlineStr">
        <is>
          <t>Нет у нас</t>
        </is>
      </c>
      <c r="S231" t="n">
        <v>0</v>
      </c>
      <c r="T231" t="inlineStr">
        <is>
          <t>Совпадений по улице+дому не найдено</t>
        </is>
      </c>
      <c r="U231" t="n">
        <v>291</v>
      </c>
      <c r="V231" t="n">
        <v>13</v>
      </c>
      <c r="W231" t="n">
        <v>3</v>
      </c>
      <c r="X231" t="n">
        <v>17698800</v>
      </c>
      <c r="Y231" t="inlineStr"/>
      <c r="Z231" t="inlineStr"/>
      <c r="AA231" t="inlineStr">
        <is>
          <t>https://knru.ru/catalog/granitnaya-ul-385773601/</t>
        </is>
      </c>
      <c r="AB231" t="inlineStr">
        <is>
          <t>B</t>
        </is>
      </c>
    </row>
    <row r="232">
      <c r="A232" t="n">
        <v>292</v>
      </c>
      <c r="B232" t="n">
        <v>13</v>
      </c>
      <c r="C232" t="n">
        <v>4</v>
      </c>
      <c r="D232" t="inlineStr"/>
      <c r="E232" t="inlineStr">
        <is>
          <t>Красногвардейский</t>
        </is>
      </c>
      <c r="F232" t="inlineStr">
        <is>
          <t>Гранитная ул.</t>
        </is>
      </c>
      <c r="G232" t="n">
        <v>51.1</v>
      </c>
      <c r="H232" t="inlineStr">
        <is>
          <t>18 786 600</t>
        </is>
      </c>
      <c r="I232" t="inlineStr"/>
      <c r="J232" t="inlineStr"/>
      <c r="K232" t="inlineStr"/>
      <c r="L232" t="inlineStr"/>
      <c r="M232" t="inlineStr"/>
      <c r="N232" t="inlineStr">
        <is>
          <t>yes</t>
        </is>
      </c>
      <c r="O232" t="inlineStr">
        <is>
          <t>pixel_heuristic</t>
        </is>
      </c>
      <c r="P232">
        <f>HYPERLINK("https://knru.ru/catalog/granitnaya-ul/","ссылка")</f>
        <v/>
      </c>
      <c r="Q232" t="inlineStr"/>
      <c r="R232" t="inlineStr">
        <is>
          <t>Нет у нас</t>
        </is>
      </c>
      <c r="S232" t="n">
        <v>0</v>
      </c>
      <c r="T232" t="inlineStr">
        <is>
          <t>Совпадений по улице+дому не найдено</t>
        </is>
      </c>
      <c r="U232" t="n">
        <v>292</v>
      </c>
      <c r="V232" t="n">
        <v>13</v>
      </c>
      <c r="W232" t="n">
        <v>4</v>
      </c>
      <c r="X232" t="n">
        <v>18786600</v>
      </c>
      <c r="Y232" t="inlineStr"/>
      <c r="Z232" t="inlineStr"/>
      <c r="AA232" t="inlineStr">
        <is>
          <t>https://knru.ru/catalog/granitnaya-ul/</t>
        </is>
      </c>
      <c r="AB232" t="inlineStr">
        <is>
          <t>B</t>
        </is>
      </c>
    </row>
    <row r="233">
      <c r="A233" t="n">
        <v>293</v>
      </c>
      <c r="B233" t="n">
        <v>13</v>
      </c>
      <c r="C233" t="n">
        <v>5</v>
      </c>
      <c r="D233" t="n">
        <v>539971944</v>
      </c>
      <c r="E233" t="inlineStr">
        <is>
          <t>Калининский</t>
        </is>
      </c>
      <c r="F233" t="inlineStr">
        <is>
          <t>Светлановский пр.</t>
        </is>
      </c>
      <c r="G233" t="n">
        <v>292.9</v>
      </c>
      <c r="H233" t="inlineStr">
        <is>
          <t>81 000 000</t>
        </is>
      </c>
      <c r="I233" t="inlineStr"/>
      <c r="J233" t="inlineStr"/>
      <c r="K233" t="inlineStr"/>
      <c r="L233" t="inlineStr"/>
      <c r="M233" t="inlineStr"/>
      <c r="N233" t="inlineStr">
        <is>
          <t>no</t>
        </is>
      </c>
      <c r="O233" t="inlineStr">
        <is>
          <t>none</t>
        </is>
      </c>
      <c r="P233">
        <f>HYPERLINK("https://knru.ru/catalog/svetlanovskiy-pr-539971944/","ссылка")</f>
        <v/>
      </c>
      <c r="Q233" t="inlineStr"/>
      <c r="R233" t="inlineStr">
        <is>
          <t>Нет у нас</t>
        </is>
      </c>
      <c r="S233" t="n">
        <v>0</v>
      </c>
      <c r="T233" t="inlineStr">
        <is>
          <t>Совпадений по улице+дому не найдено</t>
        </is>
      </c>
      <c r="U233" t="n">
        <v>293</v>
      </c>
      <c r="V233" t="n">
        <v>13</v>
      </c>
      <c r="W233" t="n">
        <v>5</v>
      </c>
      <c r="X233" t="n">
        <v>81000000</v>
      </c>
      <c r="Y233" t="inlineStr"/>
      <c r="Z233" t="inlineStr"/>
      <c r="AA233" t="inlineStr">
        <is>
          <t>https://knru.ru/catalog/svetlanovskiy-pr-539971944/</t>
        </is>
      </c>
      <c r="AB233" t="inlineStr">
        <is>
          <t>B</t>
        </is>
      </c>
    </row>
    <row r="234">
      <c r="A234" t="n">
        <v>294</v>
      </c>
      <c r="B234" t="n">
        <v>13</v>
      </c>
      <c r="C234" t="n">
        <v>6</v>
      </c>
      <c r="D234" t="n">
        <v>846990480</v>
      </c>
      <c r="E234" t="inlineStr">
        <is>
          <t>Калининский</t>
        </is>
      </c>
      <c r="F234" t="inlineStr">
        <is>
          <t>Светлановский пр.</t>
        </is>
      </c>
      <c r="G234" t="n">
        <v>131.6</v>
      </c>
      <c r="H234" t="inlineStr">
        <is>
          <t>35 534 700</t>
        </is>
      </c>
      <c r="I234" t="inlineStr"/>
      <c r="J234" t="inlineStr"/>
      <c r="K234" t="inlineStr"/>
      <c r="L234" t="inlineStr"/>
      <c r="M234" t="inlineStr"/>
      <c r="N234" t="inlineStr">
        <is>
          <t>no</t>
        </is>
      </c>
      <c r="O234" t="inlineStr">
        <is>
          <t>none</t>
        </is>
      </c>
      <c r="P234">
        <f>HYPERLINK("https://knru.ru/catalog/svetlanovskiy-pr-846990480/","ссылка")</f>
        <v/>
      </c>
      <c r="Q234" t="inlineStr"/>
      <c r="R234" t="inlineStr">
        <is>
          <t>Нет у нас</t>
        </is>
      </c>
      <c r="S234" t="n">
        <v>0</v>
      </c>
      <c r="T234" t="inlineStr">
        <is>
          <t>Совпадений по улице+дому не найдено</t>
        </is>
      </c>
      <c r="U234" t="n">
        <v>294</v>
      </c>
      <c r="V234" t="n">
        <v>13</v>
      </c>
      <c r="W234" t="n">
        <v>6</v>
      </c>
      <c r="X234" t="n">
        <v>35534700</v>
      </c>
      <c r="Y234" t="inlineStr"/>
      <c r="Z234" t="inlineStr"/>
      <c r="AA234" t="inlineStr">
        <is>
          <t>https://knru.ru/catalog/svetlanovskiy-pr-846990480/</t>
        </is>
      </c>
      <c r="AB234" t="inlineStr">
        <is>
          <t>B</t>
        </is>
      </c>
    </row>
    <row r="235">
      <c r="A235" t="n">
        <v>295</v>
      </c>
      <c r="B235" t="n">
        <v>13</v>
      </c>
      <c r="C235" t="n">
        <v>7</v>
      </c>
      <c r="D235" t="n">
        <v>535129954</v>
      </c>
      <c r="E235" t="inlineStr">
        <is>
          <t>Калининский</t>
        </is>
      </c>
      <c r="F235" t="inlineStr">
        <is>
          <t>Светлановский пр.</t>
        </is>
      </c>
      <c r="G235" t="n">
        <v>35.6</v>
      </c>
      <c r="H235" t="inlineStr">
        <is>
          <t>10 677 000</t>
        </is>
      </c>
      <c r="I235" t="inlineStr"/>
      <c r="J235" t="inlineStr"/>
      <c r="K235" t="inlineStr"/>
      <c r="L235" t="inlineStr"/>
      <c r="M235" t="inlineStr"/>
      <c r="N235" t="inlineStr">
        <is>
          <t>no</t>
        </is>
      </c>
      <c r="O235" t="inlineStr">
        <is>
          <t>none</t>
        </is>
      </c>
      <c r="P235">
        <f>HYPERLINK("https://knru.ru/catalog/svetlanovskiy-pr-535129954/","ссылка")</f>
        <v/>
      </c>
      <c r="Q235" t="inlineStr"/>
      <c r="R235" t="inlineStr">
        <is>
          <t>Нет у нас</t>
        </is>
      </c>
      <c r="S235" t="n">
        <v>0</v>
      </c>
      <c r="T235" t="inlineStr">
        <is>
          <t>Совпадений по улице+дому не найдено</t>
        </is>
      </c>
      <c r="U235" t="n">
        <v>295</v>
      </c>
      <c r="V235" t="n">
        <v>13</v>
      </c>
      <c r="W235" t="n">
        <v>7</v>
      </c>
      <c r="X235" t="n">
        <v>10677000</v>
      </c>
      <c r="Y235" t="inlineStr"/>
      <c r="Z235" t="inlineStr"/>
      <c r="AA235" t="inlineStr">
        <is>
          <t>https://knru.ru/catalog/svetlanovskiy-pr-535129954/</t>
        </is>
      </c>
      <c r="AB235" t="inlineStr">
        <is>
          <t>B</t>
        </is>
      </c>
    </row>
    <row r="236">
      <c r="A236" t="n">
        <v>296</v>
      </c>
      <c r="B236" t="n">
        <v>13</v>
      </c>
      <c r="C236" t="n">
        <v>8</v>
      </c>
      <c r="D236" t="inlineStr"/>
      <c r="E236" t="inlineStr">
        <is>
          <t>Калининский</t>
        </is>
      </c>
      <c r="F236" t="inlineStr">
        <is>
          <t>Светлановский пр.</t>
        </is>
      </c>
      <c r="G236" t="n">
        <v>101.5</v>
      </c>
      <c r="H236" t="inlineStr">
        <is>
          <t>27 706 770</t>
        </is>
      </c>
      <c r="I236" t="inlineStr"/>
      <c r="J236" t="inlineStr"/>
      <c r="K236" t="inlineStr"/>
      <c r="L236" t="inlineStr"/>
      <c r="M236" t="inlineStr"/>
      <c r="N236" t="inlineStr">
        <is>
          <t>no</t>
        </is>
      </c>
      <c r="O236" t="inlineStr">
        <is>
          <t>none</t>
        </is>
      </c>
      <c r="P236">
        <f>HYPERLINK("https://knru.ru/catalog/svetlanovskiy-pr/","ссылка")</f>
        <v/>
      </c>
      <c r="Q236" t="inlineStr"/>
      <c r="R236" t="inlineStr">
        <is>
          <t>Нет у нас</t>
        </is>
      </c>
      <c r="S236" t="n">
        <v>0</v>
      </c>
      <c r="T236" t="inlineStr">
        <is>
          <t>Совпадений по улице+дому не найдено</t>
        </is>
      </c>
      <c r="U236" t="n">
        <v>296</v>
      </c>
      <c r="V236" t="n">
        <v>13</v>
      </c>
      <c r="W236" t="n">
        <v>8</v>
      </c>
      <c r="X236" t="n">
        <v>27706770</v>
      </c>
      <c r="Y236" t="inlineStr"/>
      <c r="Z236" t="inlineStr"/>
      <c r="AA236" t="inlineStr">
        <is>
          <t>https://knru.ru/catalog/svetlanovskiy-pr/</t>
        </is>
      </c>
      <c r="AB236" t="inlineStr">
        <is>
          <t>B</t>
        </is>
      </c>
    </row>
    <row r="237">
      <c r="A237" t="n">
        <v>297</v>
      </c>
      <c r="B237" t="n">
        <v>13</v>
      </c>
      <c r="C237" t="n">
        <v>9</v>
      </c>
      <c r="D237" t="n">
        <v>850170536</v>
      </c>
      <c r="E237" t="inlineStr"/>
      <c r="F237" t="inlineStr">
        <is>
          <t>Синдинская ул., д. 14 с 1</t>
        </is>
      </c>
      <c r="G237" t="n">
        <v>85</v>
      </c>
      <c r="H237" t="inlineStr">
        <is>
          <t>21 302 395</t>
        </is>
      </c>
      <c r="I237" t="inlineStr"/>
      <c r="J237" t="inlineStr"/>
      <c r="K237" t="inlineStr"/>
      <c r="L237" t="inlineStr"/>
      <c r="M237" t="inlineStr"/>
      <c r="N237" t="inlineStr">
        <is>
          <t>yes</t>
        </is>
      </c>
      <c r="O237" t="inlineStr">
        <is>
          <t>pixel_heuristic</t>
        </is>
      </c>
      <c r="P237">
        <f>HYPERLINK("https://knru.ru/catalog/sindinskaya-ul-d-14-s-1-850170536/","ссылка")</f>
        <v/>
      </c>
      <c r="Q237" t="inlineStr"/>
      <c r="R237" t="inlineStr">
        <is>
          <t>Нет у нас</t>
        </is>
      </c>
      <c r="S237" t="n">
        <v>0</v>
      </c>
      <c r="T237" t="inlineStr">
        <is>
          <t>Совпадений по улице+дому не найдено</t>
        </is>
      </c>
      <c r="U237" t="n">
        <v>297</v>
      </c>
      <c r="V237" t="n">
        <v>13</v>
      </c>
      <c r="W237" t="n">
        <v>9</v>
      </c>
      <c r="X237" t="n">
        <v>21302395</v>
      </c>
      <c r="Y237" t="inlineStr"/>
      <c r="Z237" t="inlineStr"/>
      <c r="AA237" t="inlineStr">
        <is>
          <t>https://knru.ru/catalog/sindinskaya-ul-d-14-s-1-850170536/</t>
        </is>
      </c>
      <c r="AB237" t="inlineStr">
        <is>
          <t>B</t>
        </is>
      </c>
    </row>
    <row r="238">
      <c r="A238" t="n">
        <v>298</v>
      </c>
      <c r="B238" t="n">
        <v>13</v>
      </c>
      <c r="C238" t="n">
        <v>10</v>
      </c>
      <c r="D238" t="n">
        <v>1</v>
      </c>
      <c r="E238" t="inlineStr"/>
      <c r="F238" t="inlineStr">
        <is>
          <t>Синдинская ул., д. 14 с 1</t>
        </is>
      </c>
      <c r="G238" t="n">
        <v>64.7</v>
      </c>
      <c r="H238" t="inlineStr">
        <is>
          <t>15 252 451</t>
        </is>
      </c>
      <c r="I238" t="inlineStr"/>
      <c r="J238" t="inlineStr"/>
      <c r="K238" t="inlineStr"/>
      <c r="L238" t="inlineStr"/>
      <c r="M238" t="inlineStr"/>
      <c r="N238" t="inlineStr">
        <is>
          <t>yes</t>
        </is>
      </c>
      <c r="O238" t="inlineStr">
        <is>
          <t>pixel_heuristic</t>
        </is>
      </c>
      <c r="P238">
        <f>HYPERLINK("https://knru.ru/catalog/sindinskaya-ul-d-14-s-1/","ссылка")</f>
        <v/>
      </c>
      <c r="Q238" t="inlineStr"/>
      <c r="R238" t="inlineStr">
        <is>
          <t>Нет у нас</t>
        </is>
      </c>
      <c r="S238" t="n">
        <v>0</v>
      </c>
      <c r="T238" t="inlineStr">
        <is>
          <t>Совпадений по улице+дому не найдено</t>
        </is>
      </c>
      <c r="U238" t="n">
        <v>298</v>
      </c>
      <c r="V238" t="n">
        <v>13</v>
      </c>
      <c r="W238" t="n">
        <v>10</v>
      </c>
      <c r="X238" t="n">
        <v>15252451</v>
      </c>
      <c r="Y238" t="inlineStr"/>
      <c r="Z238" t="inlineStr"/>
      <c r="AA238" t="inlineStr">
        <is>
          <t>https://knru.ru/catalog/sindinskaya-ul-d-14-s-1/</t>
        </is>
      </c>
      <c r="AB238" t="inlineStr">
        <is>
          <t>B</t>
        </is>
      </c>
    </row>
    <row r="239">
      <c r="A239" t="n">
        <v>299</v>
      </c>
      <c r="B239" t="n">
        <v>13</v>
      </c>
      <c r="C239" t="n">
        <v>11</v>
      </c>
      <c r="D239" t="n">
        <v>2070144282</v>
      </c>
      <c r="E239" t="inlineStr">
        <is>
          <t>Центральный</t>
        </is>
      </c>
      <c r="F239" t="inlineStr">
        <is>
          <t>Лиговский пр., д. 56/Б</t>
        </is>
      </c>
      <c r="G239" t="n">
        <v>86.09999999999999</v>
      </c>
      <c r="H239" t="inlineStr">
        <is>
          <t>21 525 000</t>
        </is>
      </c>
      <c r="I239" t="inlineStr"/>
      <c r="J239" t="inlineStr"/>
      <c r="K239" t="inlineStr"/>
      <c r="L239" t="inlineStr"/>
      <c r="M239" t="inlineStr"/>
      <c r="N239" t="inlineStr">
        <is>
          <t>no</t>
        </is>
      </c>
      <c r="O239" t="inlineStr">
        <is>
          <t>none</t>
        </is>
      </c>
      <c r="P239">
        <f>HYPERLINK("https://knru.ru/catalog/ligovskiy-pr-d-56-b-2070144282/","ссылка")</f>
        <v/>
      </c>
      <c r="Q239" t="inlineStr"/>
      <c r="R239" t="inlineStr">
        <is>
          <t>Нет у нас</t>
        </is>
      </c>
      <c r="S239" t="n">
        <v>0</v>
      </c>
      <c r="T239" t="inlineStr">
        <is>
          <t>Совпадений по улице+дому не найдено</t>
        </is>
      </c>
      <c r="U239" t="n">
        <v>299</v>
      </c>
      <c r="V239" t="n">
        <v>13</v>
      </c>
      <c r="W239" t="n">
        <v>11</v>
      </c>
      <c r="X239" t="n">
        <v>21525000</v>
      </c>
      <c r="Y239" t="inlineStr"/>
      <c r="Z239" t="inlineStr"/>
      <c r="AA239" t="inlineStr">
        <is>
          <t>https://knru.ru/catalog/ligovskiy-pr-d-56-b-2070144282/</t>
        </is>
      </c>
      <c r="AB239" t="inlineStr">
        <is>
          <t>B</t>
        </is>
      </c>
    </row>
    <row r="240">
      <c r="A240" t="n">
        <v>300</v>
      </c>
      <c r="B240" t="n">
        <v>13</v>
      </c>
      <c r="C240" t="n">
        <v>12</v>
      </c>
      <c r="D240" t="inlineStr"/>
      <c r="E240" t="inlineStr">
        <is>
          <t>Центральный</t>
        </is>
      </c>
      <c r="F240" t="inlineStr">
        <is>
          <t>Лиговский пр., д. 56/Б</t>
        </is>
      </c>
      <c r="G240" t="n">
        <v>82.7</v>
      </c>
      <c r="H240" t="inlineStr">
        <is>
          <t>20 675 000</t>
        </is>
      </c>
      <c r="I240" t="inlineStr"/>
      <c r="J240" t="inlineStr"/>
      <c r="K240" t="inlineStr"/>
      <c r="L240" t="inlineStr"/>
      <c r="M240" t="inlineStr"/>
      <c r="N240" t="inlineStr">
        <is>
          <t>no</t>
        </is>
      </c>
      <c r="O240" t="inlineStr">
        <is>
          <t>none</t>
        </is>
      </c>
      <c r="P240">
        <f>HYPERLINK("https://knru.ru/catalog/ligovskiy-pr-d-56-b/","ссылка")</f>
        <v/>
      </c>
      <c r="Q240" t="inlineStr"/>
      <c r="R240" t="inlineStr">
        <is>
          <t>Нет у нас</t>
        </is>
      </c>
      <c r="S240" t="n">
        <v>0</v>
      </c>
      <c r="T240" t="inlineStr">
        <is>
          <t>Совпадений по улице+дому не найдено</t>
        </is>
      </c>
      <c r="U240" t="n">
        <v>300</v>
      </c>
      <c r="V240" t="n">
        <v>13</v>
      </c>
      <c r="W240" t="n">
        <v>12</v>
      </c>
      <c r="X240" t="n">
        <v>20675000</v>
      </c>
      <c r="Y240" t="inlineStr"/>
      <c r="Z240" t="inlineStr"/>
      <c r="AA240" t="inlineStr">
        <is>
          <t>https://knru.ru/catalog/ligovskiy-pr-d-56-b/</t>
        </is>
      </c>
      <c r="AB240" t="inlineStr">
        <is>
          <t>B</t>
        </is>
      </c>
    </row>
    <row r="241">
      <c r="A241" t="n">
        <v>301</v>
      </c>
      <c r="B241" t="n">
        <v>13</v>
      </c>
      <c r="C241" t="n">
        <v>13</v>
      </c>
      <c r="D241" t="n">
        <v>1026362534</v>
      </c>
      <c r="E241" t="inlineStr"/>
      <c r="F241" t="inlineStr">
        <is>
          <t>Восстановления ул.</t>
        </is>
      </c>
      <c r="G241" t="n">
        <v>558</v>
      </c>
      <c r="H241" t="inlineStr">
        <is>
          <t>69 308 243</t>
        </is>
      </c>
      <c r="I241" t="inlineStr"/>
      <c r="J241" t="inlineStr"/>
      <c r="K241" t="inlineStr"/>
      <c r="L241" t="inlineStr"/>
      <c r="M241" t="inlineStr"/>
      <c r="N241" t="inlineStr">
        <is>
          <t>no</t>
        </is>
      </c>
      <c r="O241" t="inlineStr">
        <is>
          <t>none</t>
        </is>
      </c>
      <c r="P241">
        <f>HYPERLINK("https://knru.ru/catalog/vosstanovleniya-ul-1026362534/","ссылка")</f>
        <v/>
      </c>
      <c r="Q241" t="inlineStr"/>
      <c r="R241" t="inlineStr">
        <is>
          <t>Нет у нас</t>
        </is>
      </c>
      <c r="S241" t="n">
        <v>0</v>
      </c>
      <c r="T241" t="inlineStr">
        <is>
          <t>Совпадений по улице+дому не найдено</t>
        </is>
      </c>
      <c r="U241" t="n">
        <v>301</v>
      </c>
      <c r="V241" t="n">
        <v>13</v>
      </c>
      <c r="W241" t="n">
        <v>13</v>
      </c>
      <c r="X241" t="n">
        <v>69308243</v>
      </c>
      <c r="Y241" t="inlineStr"/>
      <c r="Z241" t="inlineStr"/>
      <c r="AA241" t="inlineStr">
        <is>
          <t>https://knru.ru/catalog/vosstanovleniya-ul-1026362534/</t>
        </is>
      </c>
      <c r="AB241" t="inlineStr">
        <is>
          <t>B</t>
        </is>
      </c>
    </row>
    <row r="242">
      <c r="A242" t="n">
        <v>302</v>
      </c>
      <c r="B242" t="n">
        <v>13</v>
      </c>
      <c r="C242" t="n">
        <v>14</v>
      </c>
      <c r="D242" t="n">
        <v>245096168</v>
      </c>
      <c r="E242" t="inlineStr"/>
      <c r="F242" t="inlineStr">
        <is>
          <t>Восстановления ул.</t>
        </is>
      </c>
      <c r="G242" t="n">
        <v>113.4</v>
      </c>
      <c r="H242" t="inlineStr">
        <is>
          <t>30 618 000</t>
        </is>
      </c>
      <c r="I242" t="inlineStr"/>
      <c r="J242" t="inlineStr"/>
      <c r="K242" t="inlineStr"/>
      <c r="L242" t="inlineStr"/>
      <c r="M242" t="inlineStr"/>
      <c r="N242" t="inlineStr">
        <is>
          <t>no</t>
        </is>
      </c>
      <c r="O242" t="inlineStr">
        <is>
          <t>none</t>
        </is>
      </c>
      <c r="P242">
        <f>HYPERLINK("https://knru.ru/catalog/vosstanovleniya-ul-245096168/","ссылка")</f>
        <v/>
      </c>
      <c r="Q242" t="inlineStr"/>
      <c r="R242" t="inlineStr">
        <is>
          <t>Нет у нас</t>
        </is>
      </c>
      <c r="S242" t="n">
        <v>0</v>
      </c>
      <c r="T242" t="inlineStr">
        <is>
          <t>Совпадений по улице+дому не найдено</t>
        </is>
      </c>
      <c r="U242" t="n">
        <v>302</v>
      </c>
      <c r="V242" t="n">
        <v>13</v>
      </c>
      <c r="W242" t="n">
        <v>14</v>
      </c>
      <c r="X242" t="n">
        <v>30618000</v>
      </c>
      <c r="Y242" t="inlineStr"/>
      <c r="Z242" t="inlineStr"/>
      <c r="AA242" t="inlineStr">
        <is>
          <t>https://knru.ru/catalog/vosstanovleniya-ul-245096168/</t>
        </is>
      </c>
      <c r="AB242" t="inlineStr">
        <is>
          <t>B</t>
        </is>
      </c>
    </row>
    <row r="243">
      <c r="A243" t="n">
        <v>303</v>
      </c>
      <c r="B243" t="n">
        <v>13</v>
      </c>
      <c r="C243" t="n">
        <v>15</v>
      </c>
      <c r="D243" t="n">
        <v>780623224</v>
      </c>
      <c r="E243" t="inlineStr"/>
      <c r="F243" t="inlineStr">
        <is>
          <t>Восстановления ул.</t>
        </is>
      </c>
      <c r="G243" t="n">
        <v>335.4</v>
      </c>
      <c r="H243" t="inlineStr">
        <is>
          <t>83 857 500</t>
        </is>
      </c>
      <c r="I243" t="inlineStr"/>
      <c r="J243" t="inlineStr"/>
      <c r="K243" t="inlineStr"/>
      <c r="L243" t="inlineStr"/>
      <c r="M243" t="inlineStr"/>
      <c r="N243" t="inlineStr">
        <is>
          <t>no</t>
        </is>
      </c>
      <c r="O243" t="inlineStr">
        <is>
          <t>none</t>
        </is>
      </c>
      <c r="P243">
        <f>HYPERLINK("https://knru.ru/catalog/vosstanovleniya-ul-780623224/","ссылка")</f>
        <v/>
      </c>
      <c r="Q243" t="inlineStr"/>
      <c r="R243" t="inlineStr">
        <is>
          <t>Нет у нас</t>
        </is>
      </c>
      <c r="S243" t="n">
        <v>0</v>
      </c>
      <c r="T243" t="inlineStr">
        <is>
          <t>Совпадений по улице+дому не найдено</t>
        </is>
      </c>
      <c r="U243" t="n">
        <v>303</v>
      </c>
      <c r="V243" t="n">
        <v>13</v>
      </c>
      <c r="W243" t="n">
        <v>15</v>
      </c>
      <c r="X243" t="n">
        <v>83857500</v>
      </c>
      <c r="Y243" t="inlineStr"/>
      <c r="Z243" t="inlineStr"/>
      <c r="AA243" t="inlineStr">
        <is>
          <t>https://knru.ru/catalog/vosstanovleniya-ul-780623224/</t>
        </is>
      </c>
      <c r="AB243" t="inlineStr">
        <is>
          <t>B</t>
        </is>
      </c>
    </row>
    <row r="244">
      <c r="A244" t="n">
        <v>304</v>
      </c>
      <c r="B244" t="n">
        <v>13</v>
      </c>
      <c r="C244" t="n">
        <v>16</v>
      </c>
      <c r="D244" t="n">
        <v>155879828</v>
      </c>
      <c r="E244" t="inlineStr"/>
      <c r="F244" t="inlineStr">
        <is>
          <t>Восстановления ул.</t>
        </is>
      </c>
      <c r="G244" t="n">
        <v>14.3</v>
      </c>
      <c r="H244" t="inlineStr">
        <is>
          <t>4 042 496</t>
        </is>
      </c>
      <c r="I244" t="inlineStr"/>
      <c r="J244" t="inlineStr"/>
      <c r="K244" t="inlineStr"/>
      <c r="L244" t="inlineStr"/>
      <c r="M244" t="inlineStr"/>
      <c r="N244" t="inlineStr">
        <is>
          <t>no</t>
        </is>
      </c>
      <c r="O244" t="inlineStr">
        <is>
          <t>none</t>
        </is>
      </c>
      <c r="P244">
        <f>HYPERLINK("https://knru.ru/catalog/vosstanovleniya-ul-155879828/","ссылка")</f>
        <v/>
      </c>
      <c r="Q244" t="inlineStr"/>
      <c r="R244" t="inlineStr">
        <is>
          <t>Нет у нас</t>
        </is>
      </c>
      <c r="S244" t="n">
        <v>0</v>
      </c>
      <c r="T244" t="inlineStr">
        <is>
          <t>Совпадений по улице+дому не найдено</t>
        </is>
      </c>
      <c r="U244" t="n">
        <v>304</v>
      </c>
      <c r="V244" t="n">
        <v>13</v>
      </c>
      <c r="W244" t="n">
        <v>16</v>
      </c>
      <c r="X244" t="n">
        <v>4042496</v>
      </c>
      <c r="Y244" t="inlineStr"/>
      <c r="Z244" t="inlineStr"/>
      <c r="AA244" t="inlineStr">
        <is>
          <t>https://knru.ru/catalog/vosstanovleniya-ul-155879828/</t>
        </is>
      </c>
      <c r="AB244" t="inlineStr">
        <is>
          <t>B</t>
        </is>
      </c>
    </row>
    <row r="245">
      <c r="A245" t="n">
        <v>305</v>
      </c>
      <c r="B245" t="n">
        <v>13</v>
      </c>
      <c r="C245" t="n">
        <v>17</v>
      </c>
      <c r="D245" t="n">
        <v>1274545902</v>
      </c>
      <c r="E245" t="inlineStr"/>
      <c r="F245" t="inlineStr">
        <is>
          <t>Восстановления ул.</t>
        </is>
      </c>
      <c r="G245" t="n">
        <v>14.3</v>
      </c>
      <c r="H245" t="inlineStr">
        <is>
          <t>4 042 496</t>
        </is>
      </c>
      <c r="I245" t="inlineStr"/>
      <c r="J245" t="inlineStr"/>
      <c r="K245" t="inlineStr"/>
      <c r="L245" t="inlineStr"/>
      <c r="M245" t="inlineStr"/>
      <c r="N245" t="inlineStr">
        <is>
          <t>no</t>
        </is>
      </c>
      <c r="O245" t="inlineStr">
        <is>
          <t>none</t>
        </is>
      </c>
      <c r="P245">
        <f>HYPERLINK("https://knru.ru/catalog/vosstanovleniya-ul-1274545902/","ссылка")</f>
        <v/>
      </c>
      <c r="Q245" t="inlineStr"/>
      <c r="R245" t="inlineStr">
        <is>
          <t>Нет у нас</t>
        </is>
      </c>
      <c r="S245" t="n">
        <v>0</v>
      </c>
      <c r="T245" t="inlineStr">
        <is>
          <t>Совпадений по улице+дому не найдено</t>
        </is>
      </c>
      <c r="U245" t="n">
        <v>305</v>
      </c>
      <c r="V245" t="n">
        <v>13</v>
      </c>
      <c r="W245" t="n">
        <v>17</v>
      </c>
      <c r="X245" t="n">
        <v>4042496</v>
      </c>
      <c r="Y245" t="inlineStr"/>
      <c r="Z245" t="inlineStr"/>
      <c r="AA245" t="inlineStr">
        <is>
          <t>https://knru.ru/catalog/vosstanovleniya-ul-1274545902/</t>
        </is>
      </c>
      <c r="AB245" t="inlineStr">
        <is>
          <t>B</t>
        </is>
      </c>
    </row>
    <row r="246">
      <c r="A246" t="n">
        <v>306</v>
      </c>
      <c r="B246" t="n">
        <v>13</v>
      </c>
      <c r="C246" t="n">
        <v>18</v>
      </c>
      <c r="D246" t="n">
        <v>1673576243</v>
      </c>
      <c r="E246" t="inlineStr"/>
      <c r="F246" t="inlineStr">
        <is>
          <t>Восстановления ул.</t>
        </is>
      </c>
      <c r="G246" t="n">
        <v>14.3</v>
      </c>
      <c r="H246" t="inlineStr">
        <is>
          <t>4 042 496</t>
        </is>
      </c>
      <c r="I246" t="inlineStr"/>
      <c r="J246" t="inlineStr"/>
      <c r="K246" t="inlineStr"/>
      <c r="L246" t="inlineStr"/>
      <c r="M246" t="inlineStr"/>
      <c r="N246" t="inlineStr">
        <is>
          <t>no</t>
        </is>
      </c>
      <c r="O246" t="inlineStr">
        <is>
          <t>none</t>
        </is>
      </c>
      <c r="P246">
        <f>HYPERLINK("https://knru.ru/catalog/vosstanovleniya-ul-1673576243/","ссылка")</f>
        <v/>
      </c>
      <c r="Q246" t="inlineStr"/>
      <c r="R246" t="inlineStr">
        <is>
          <t>Нет у нас</t>
        </is>
      </c>
      <c r="S246" t="n">
        <v>0</v>
      </c>
      <c r="T246" t="inlineStr">
        <is>
          <t>Совпадений по улице+дому не найдено</t>
        </is>
      </c>
      <c r="U246" t="n">
        <v>306</v>
      </c>
      <c r="V246" t="n">
        <v>13</v>
      </c>
      <c r="W246" t="n">
        <v>18</v>
      </c>
      <c r="X246" t="n">
        <v>4042496</v>
      </c>
      <c r="Y246" t="inlineStr"/>
      <c r="Z246" t="inlineStr"/>
      <c r="AA246" t="inlineStr">
        <is>
          <t>https://knru.ru/catalog/vosstanovleniya-ul-1673576243/</t>
        </is>
      </c>
      <c r="AB246" t="inlineStr">
        <is>
          <t>B</t>
        </is>
      </c>
    </row>
    <row r="247">
      <c r="A247" t="n">
        <v>307</v>
      </c>
      <c r="B247" t="n">
        <v>13</v>
      </c>
      <c r="C247" t="n">
        <v>19</v>
      </c>
      <c r="D247" t="n">
        <v>2045630140</v>
      </c>
      <c r="E247" t="inlineStr"/>
      <c r="F247" t="inlineStr">
        <is>
          <t>Восстановления ул.</t>
        </is>
      </c>
      <c r="G247" t="n">
        <v>5.1</v>
      </c>
      <c r="H247" t="inlineStr">
        <is>
          <t>1 606 500</t>
        </is>
      </c>
      <c r="I247" t="inlineStr"/>
      <c r="J247" t="inlineStr"/>
      <c r="K247" t="inlineStr"/>
      <c r="L247" t="inlineStr"/>
      <c r="M247" t="inlineStr"/>
      <c r="N247" t="inlineStr">
        <is>
          <t>no</t>
        </is>
      </c>
      <c r="O247" t="inlineStr">
        <is>
          <t>none</t>
        </is>
      </c>
      <c r="P247">
        <f>HYPERLINK("https://knru.ru/catalog/vosstanovleniya-ul-2045630140/","ссылка")</f>
        <v/>
      </c>
      <c r="Q247" t="inlineStr"/>
      <c r="R247" t="inlineStr">
        <is>
          <t>Нет у нас</t>
        </is>
      </c>
      <c r="S247" t="n">
        <v>0</v>
      </c>
      <c r="T247" t="inlineStr">
        <is>
          <t>Совпадений по улице+дому не найдено</t>
        </is>
      </c>
      <c r="U247" t="n">
        <v>307</v>
      </c>
      <c r="V247" t="n">
        <v>13</v>
      </c>
      <c r="W247" t="n">
        <v>19</v>
      </c>
      <c r="X247" t="n">
        <v>1606500</v>
      </c>
      <c r="Y247" t="inlineStr"/>
      <c r="Z247" t="inlineStr"/>
      <c r="AA247" t="inlineStr">
        <is>
          <t>https://knru.ru/catalog/vosstanovleniya-ul-2045630140/</t>
        </is>
      </c>
      <c r="AB247" t="inlineStr">
        <is>
          <t>B</t>
        </is>
      </c>
    </row>
    <row r="248">
      <c r="A248" t="n">
        <v>308</v>
      </c>
      <c r="B248" t="n">
        <v>13</v>
      </c>
      <c r="C248" t="n">
        <v>20</v>
      </c>
      <c r="D248" t="n">
        <v>1795392316</v>
      </c>
      <c r="E248" t="inlineStr"/>
      <c r="F248" t="inlineStr">
        <is>
          <t>Восстановления ул.</t>
        </is>
      </c>
      <c r="G248" t="n">
        <v>9.9</v>
      </c>
      <c r="H248" t="inlineStr">
        <is>
          <t>2 702 700</t>
        </is>
      </c>
      <c r="I248" t="inlineStr"/>
      <c r="J248" t="inlineStr"/>
      <c r="K248" t="inlineStr"/>
      <c r="L248" t="inlineStr"/>
      <c r="M248" t="inlineStr"/>
      <c r="N248" t="inlineStr">
        <is>
          <t>no</t>
        </is>
      </c>
      <c r="O248" t="inlineStr">
        <is>
          <t>none</t>
        </is>
      </c>
      <c r="P248">
        <f>HYPERLINK("https://knru.ru/catalog/vosstanovleniya-ul-1795392316/","ссылка")</f>
        <v/>
      </c>
      <c r="Q248" t="inlineStr"/>
      <c r="R248" t="inlineStr">
        <is>
          <t>Нет у нас</t>
        </is>
      </c>
      <c r="S248" t="n">
        <v>0</v>
      </c>
      <c r="T248" t="inlineStr">
        <is>
          <t>Совпадений по улице+дому не найдено</t>
        </is>
      </c>
      <c r="U248" t="n">
        <v>308</v>
      </c>
      <c r="V248" t="n">
        <v>13</v>
      </c>
      <c r="W248" t="n">
        <v>20</v>
      </c>
      <c r="X248" t="n">
        <v>2702700</v>
      </c>
      <c r="Y248" t="inlineStr"/>
      <c r="Z248" t="inlineStr"/>
      <c r="AA248" t="inlineStr">
        <is>
          <t>https://knru.ru/catalog/vosstanovleniya-ul-1795392316/</t>
        </is>
      </c>
      <c r="AB248" t="inlineStr">
        <is>
          <t>B</t>
        </is>
      </c>
    </row>
    <row r="249">
      <c r="A249" t="n">
        <v>309</v>
      </c>
      <c r="B249" t="n">
        <v>13</v>
      </c>
      <c r="C249" t="n">
        <v>21</v>
      </c>
      <c r="D249" t="n">
        <v>1272356836</v>
      </c>
      <c r="E249" t="inlineStr"/>
      <c r="F249" t="inlineStr">
        <is>
          <t>Восстановления ул.</t>
        </is>
      </c>
      <c r="G249" t="n">
        <v>9.9</v>
      </c>
      <c r="H249" t="inlineStr">
        <is>
          <t>2 702 700</t>
        </is>
      </c>
      <c r="I249" t="inlineStr"/>
      <c r="J249" t="inlineStr"/>
      <c r="K249" t="inlineStr"/>
      <c r="L249" t="inlineStr"/>
      <c r="M249" t="inlineStr"/>
      <c r="N249" t="inlineStr">
        <is>
          <t>no</t>
        </is>
      </c>
      <c r="O249" t="inlineStr">
        <is>
          <t>none</t>
        </is>
      </c>
      <c r="P249">
        <f>HYPERLINK("https://knru.ru/catalog/vosstanovleniya-ul-1272356836/","ссылка")</f>
        <v/>
      </c>
      <c r="Q249" t="inlineStr"/>
      <c r="R249" t="inlineStr">
        <is>
          <t>Нет у нас</t>
        </is>
      </c>
      <c r="S249" t="n">
        <v>0</v>
      </c>
      <c r="T249" t="inlineStr">
        <is>
          <t>Совпадений по улице+дому не найдено</t>
        </is>
      </c>
      <c r="U249" t="n">
        <v>309</v>
      </c>
      <c r="V249" t="n">
        <v>13</v>
      </c>
      <c r="W249" t="n">
        <v>21</v>
      </c>
      <c r="X249" t="n">
        <v>2702700</v>
      </c>
      <c r="Y249" t="inlineStr"/>
      <c r="Z249" t="inlineStr"/>
      <c r="AA249" t="inlineStr">
        <is>
          <t>https://knru.ru/catalog/vosstanovleniya-ul-1272356836/</t>
        </is>
      </c>
      <c r="AB249" t="inlineStr">
        <is>
          <t>B</t>
        </is>
      </c>
    </row>
    <row r="250">
      <c r="A250" t="n">
        <v>310</v>
      </c>
      <c r="B250" t="n">
        <v>13</v>
      </c>
      <c r="C250" t="n">
        <v>22</v>
      </c>
      <c r="D250" t="n">
        <v>1457433934</v>
      </c>
      <c r="E250" t="inlineStr"/>
      <c r="F250" t="inlineStr">
        <is>
          <t>Восстановления ул.</t>
        </is>
      </c>
      <c r="G250" t="n">
        <v>14.3</v>
      </c>
      <c r="H250" t="inlineStr">
        <is>
          <t>4 042 496</t>
        </is>
      </c>
      <c r="I250" t="inlineStr"/>
      <c r="J250" t="inlineStr"/>
      <c r="K250" t="inlineStr"/>
      <c r="L250" t="inlineStr"/>
      <c r="M250" t="inlineStr"/>
      <c r="N250" t="inlineStr">
        <is>
          <t>no</t>
        </is>
      </c>
      <c r="O250" t="inlineStr">
        <is>
          <t>none</t>
        </is>
      </c>
      <c r="P250">
        <f>HYPERLINK("https://knru.ru/catalog/vosstanovleniya-ul-1457433934/","ссылка")</f>
        <v/>
      </c>
      <c r="Q250" t="inlineStr"/>
      <c r="R250" t="inlineStr">
        <is>
          <t>Нет у нас</t>
        </is>
      </c>
      <c r="S250" t="n">
        <v>0</v>
      </c>
      <c r="T250" t="inlineStr">
        <is>
          <t>Совпадений по улице+дому не найдено</t>
        </is>
      </c>
      <c r="U250" t="n">
        <v>310</v>
      </c>
      <c r="V250" t="n">
        <v>13</v>
      </c>
      <c r="W250" t="n">
        <v>22</v>
      </c>
      <c r="X250" t="n">
        <v>4042496</v>
      </c>
      <c r="Y250" t="inlineStr"/>
      <c r="Z250" t="inlineStr"/>
      <c r="AA250" t="inlineStr">
        <is>
          <t>https://knru.ru/catalog/vosstanovleniya-ul-1457433934/</t>
        </is>
      </c>
      <c r="AB250" t="inlineStr">
        <is>
          <t>B</t>
        </is>
      </c>
    </row>
    <row r="251">
      <c r="A251" t="n">
        <v>311</v>
      </c>
      <c r="B251" t="n">
        <v>13</v>
      </c>
      <c r="C251" t="n">
        <v>23</v>
      </c>
      <c r="D251" t="n">
        <v>862464696</v>
      </c>
      <c r="E251" t="inlineStr"/>
      <c r="F251" t="inlineStr">
        <is>
          <t>Восстановления ул.</t>
        </is>
      </c>
      <c r="G251" t="n">
        <v>8.1</v>
      </c>
      <c r="H251" t="inlineStr">
        <is>
          <t>2 551 500</t>
        </is>
      </c>
      <c r="I251" t="inlineStr"/>
      <c r="J251" t="inlineStr"/>
      <c r="K251" t="inlineStr"/>
      <c r="L251" t="inlineStr"/>
      <c r="M251" t="inlineStr"/>
      <c r="N251" t="inlineStr">
        <is>
          <t>no</t>
        </is>
      </c>
      <c r="O251" t="inlineStr">
        <is>
          <t>none</t>
        </is>
      </c>
      <c r="P251">
        <f>HYPERLINK("https://knru.ru/catalog/vosstanovleniya-ul-862464696/","ссылка")</f>
        <v/>
      </c>
      <c r="Q251" t="inlineStr"/>
      <c r="R251" t="inlineStr">
        <is>
          <t>Нет у нас</t>
        </is>
      </c>
      <c r="S251" t="n">
        <v>0</v>
      </c>
      <c r="T251" t="inlineStr">
        <is>
          <t>Совпадений по улице+дому не найдено</t>
        </is>
      </c>
      <c r="U251" t="n">
        <v>311</v>
      </c>
      <c r="V251" t="n">
        <v>13</v>
      </c>
      <c r="W251" t="n">
        <v>23</v>
      </c>
      <c r="X251" t="n">
        <v>2551500</v>
      </c>
      <c r="Y251" t="inlineStr"/>
      <c r="Z251" t="inlineStr"/>
      <c r="AA251" t="inlineStr">
        <is>
          <t>https://knru.ru/catalog/vosstanovleniya-ul-862464696/</t>
        </is>
      </c>
      <c r="AB251" t="inlineStr">
        <is>
          <t>B</t>
        </is>
      </c>
    </row>
    <row r="252">
      <c r="A252" t="n">
        <v>312</v>
      </c>
      <c r="B252" t="n">
        <v>13</v>
      </c>
      <c r="C252" t="n">
        <v>24</v>
      </c>
      <c r="D252" t="n">
        <v>450409975</v>
      </c>
      <c r="E252" t="inlineStr"/>
      <c r="F252" t="inlineStr">
        <is>
          <t>Восстановления ул.</t>
        </is>
      </c>
      <c r="G252" t="n">
        <v>8.1</v>
      </c>
      <c r="H252" t="inlineStr">
        <is>
          <t>2 551 500</t>
        </is>
      </c>
      <c r="I252" t="inlineStr"/>
      <c r="J252" t="inlineStr"/>
      <c r="K252" t="inlineStr"/>
      <c r="L252" t="inlineStr"/>
      <c r="M252" t="inlineStr"/>
      <c r="N252" t="inlineStr">
        <is>
          <t>no</t>
        </is>
      </c>
      <c r="O252" t="inlineStr">
        <is>
          <t>none</t>
        </is>
      </c>
      <c r="P252">
        <f>HYPERLINK("https://knru.ru/catalog/vosstanovleniya-ul-450409975/","ссылка")</f>
        <v/>
      </c>
      <c r="Q252" t="inlineStr"/>
      <c r="R252" t="inlineStr">
        <is>
          <t>Нет у нас</t>
        </is>
      </c>
      <c r="S252" t="n">
        <v>0</v>
      </c>
      <c r="T252" t="inlineStr">
        <is>
          <t>Совпадений по улице+дому не найдено</t>
        </is>
      </c>
      <c r="U252" t="n">
        <v>312</v>
      </c>
      <c r="V252" t="n">
        <v>13</v>
      </c>
      <c r="W252" t="n">
        <v>24</v>
      </c>
      <c r="X252" t="n">
        <v>2551500</v>
      </c>
      <c r="Y252" t="inlineStr"/>
      <c r="Z252" t="inlineStr"/>
      <c r="AA252" t="inlineStr">
        <is>
          <t>https://knru.ru/catalog/vosstanovleniya-ul-450409975/</t>
        </is>
      </c>
      <c r="AB252" t="inlineStr">
        <is>
          <t>B</t>
        </is>
      </c>
    </row>
    <row r="253">
      <c r="A253" t="n">
        <v>313</v>
      </c>
      <c r="B253" t="n">
        <v>14</v>
      </c>
      <c r="C253" t="n">
        <v>1</v>
      </c>
      <c r="D253" t="n">
        <v>1971897315</v>
      </c>
      <c r="E253" t="inlineStr"/>
      <c r="F253" t="inlineStr">
        <is>
          <t>Восстановления ул.</t>
        </is>
      </c>
      <c r="G253" t="n">
        <v>8.1</v>
      </c>
      <c r="H253" t="inlineStr">
        <is>
          <t>2 551 500</t>
        </is>
      </c>
      <c r="I253" t="inlineStr"/>
      <c r="J253" t="inlineStr"/>
      <c r="K253" t="inlineStr"/>
      <c r="L253" t="inlineStr"/>
      <c r="M253" t="inlineStr"/>
      <c r="N253" t="inlineStr">
        <is>
          <t>no</t>
        </is>
      </c>
      <c r="O253" t="inlineStr">
        <is>
          <t>none</t>
        </is>
      </c>
      <c r="P253">
        <f>HYPERLINK("https://knru.ru/catalog/vosstanovleniya-ul-1971897315/","ссылка")</f>
        <v/>
      </c>
      <c r="Q253" t="inlineStr"/>
      <c r="R253" t="inlineStr">
        <is>
          <t>Нет у нас</t>
        </is>
      </c>
      <c r="S253" t="n">
        <v>0</v>
      </c>
      <c r="T253" t="inlineStr">
        <is>
          <t>Совпадений по улице+дому не найдено</t>
        </is>
      </c>
      <c r="U253" t="n">
        <v>313</v>
      </c>
      <c r="V253" t="n">
        <v>14</v>
      </c>
      <c r="W253" t="n">
        <v>1</v>
      </c>
      <c r="X253" t="n">
        <v>2551500</v>
      </c>
      <c r="Y253" t="inlineStr"/>
      <c r="Z253" t="inlineStr"/>
      <c r="AA253" t="inlineStr">
        <is>
          <t>https://knru.ru/catalog/vosstanovleniya-ul-1971897315/</t>
        </is>
      </c>
      <c r="AB253" t="inlineStr">
        <is>
          <t>B</t>
        </is>
      </c>
    </row>
    <row r="254">
      <c r="A254" t="n">
        <v>314</v>
      </c>
      <c r="B254" t="n">
        <v>14</v>
      </c>
      <c r="C254" t="n">
        <v>2</v>
      </c>
      <c r="D254" t="n">
        <v>1613192635</v>
      </c>
      <c r="E254" t="inlineStr"/>
      <c r="F254" t="inlineStr">
        <is>
          <t>Восстановления ул.</t>
        </is>
      </c>
      <c r="G254" t="n">
        <v>8.1</v>
      </c>
      <c r="H254" t="inlineStr">
        <is>
          <t>2 551 500</t>
        </is>
      </c>
      <c r="I254" t="inlineStr"/>
      <c r="J254" t="inlineStr"/>
      <c r="K254" t="inlineStr"/>
      <c r="L254" t="inlineStr"/>
      <c r="M254" t="inlineStr"/>
      <c r="N254" t="inlineStr">
        <is>
          <t>no</t>
        </is>
      </c>
      <c r="O254" t="inlineStr">
        <is>
          <t>none</t>
        </is>
      </c>
      <c r="P254">
        <f>HYPERLINK("https://knru.ru/catalog/vosstanovleniya-ul-1613192635/","ссылка")</f>
        <v/>
      </c>
      <c r="Q254" t="inlineStr"/>
      <c r="R254" t="inlineStr">
        <is>
          <t>Нет у нас</t>
        </is>
      </c>
      <c r="S254" t="n">
        <v>0</v>
      </c>
      <c r="T254" t="inlineStr">
        <is>
          <t>Совпадений по улице+дому не найдено</t>
        </is>
      </c>
      <c r="U254" t="n">
        <v>314</v>
      </c>
      <c r="V254" t="n">
        <v>14</v>
      </c>
      <c r="W254" t="n">
        <v>2</v>
      </c>
      <c r="X254" t="n">
        <v>2551500</v>
      </c>
      <c r="Y254" t="inlineStr"/>
      <c r="Z254" t="inlineStr"/>
      <c r="AA254" t="inlineStr">
        <is>
          <t>https://knru.ru/catalog/vosstanovleniya-ul-1613192635/</t>
        </is>
      </c>
      <c r="AB254" t="inlineStr">
        <is>
          <t>B</t>
        </is>
      </c>
    </row>
    <row r="255">
      <c r="A255" t="n">
        <v>315</v>
      </c>
      <c r="B255" t="n">
        <v>14</v>
      </c>
      <c r="C255" t="n">
        <v>3</v>
      </c>
      <c r="D255" t="n">
        <v>612206338</v>
      </c>
      <c r="E255" t="inlineStr"/>
      <c r="F255" t="inlineStr">
        <is>
          <t>Восстановления ул.</t>
        </is>
      </c>
      <c r="G255" t="n">
        <v>8.1</v>
      </c>
      <c r="H255" t="inlineStr">
        <is>
          <t>2 551 500</t>
        </is>
      </c>
      <c r="I255" t="inlineStr"/>
      <c r="J255" t="inlineStr"/>
      <c r="K255" t="inlineStr"/>
      <c r="L255" t="inlineStr"/>
      <c r="M255" t="inlineStr"/>
      <c r="N255" t="inlineStr">
        <is>
          <t>no</t>
        </is>
      </c>
      <c r="O255" t="inlineStr">
        <is>
          <t>none</t>
        </is>
      </c>
      <c r="P255">
        <f>HYPERLINK("https://knru.ru/catalog/vosstanovleniya-ul-612206338/","ссылка")</f>
        <v/>
      </c>
      <c r="Q255" t="inlineStr"/>
      <c r="R255" t="inlineStr">
        <is>
          <t>Нет у нас</t>
        </is>
      </c>
      <c r="S255" t="n">
        <v>0</v>
      </c>
      <c r="T255" t="inlineStr">
        <is>
          <t>Совпадений по улице+дому не найдено</t>
        </is>
      </c>
      <c r="U255" t="n">
        <v>315</v>
      </c>
      <c r="V255" t="n">
        <v>14</v>
      </c>
      <c r="W255" t="n">
        <v>3</v>
      </c>
      <c r="X255" t="n">
        <v>2551500</v>
      </c>
      <c r="Y255" t="inlineStr"/>
      <c r="Z255" t="inlineStr"/>
      <c r="AA255" t="inlineStr">
        <is>
          <t>https://knru.ru/catalog/vosstanovleniya-ul-612206338/</t>
        </is>
      </c>
      <c r="AB255" t="inlineStr">
        <is>
          <t>B</t>
        </is>
      </c>
    </row>
    <row r="256">
      <c r="A256" t="n">
        <v>316</v>
      </c>
      <c r="B256" t="n">
        <v>14</v>
      </c>
      <c r="C256" t="n">
        <v>4</v>
      </c>
      <c r="D256" t="n">
        <v>1158154746</v>
      </c>
      <c r="E256" t="inlineStr"/>
      <c r="F256" t="inlineStr">
        <is>
          <t>Восстановления ул.</t>
        </is>
      </c>
      <c r="G256" t="n">
        <v>8.1</v>
      </c>
      <c r="H256" t="inlineStr">
        <is>
          <t>2 551 500</t>
        </is>
      </c>
      <c r="I256" t="inlineStr"/>
      <c r="J256" t="inlineStr"/>
      <c r="K256" t="inlineStr"/>
      <c r="L256" t="inlineStr"/>
      <c r="M256" t="inlineStr"/>
      <c r="N256" t="inlineStr">
        <is>
          <t>no</t>
        </is>
      </c>
      <c r="O256" t="inlineStr">
        <is>
          <t>none</t>
        </is>
      </c>
      <c r="P256">
        <f>HYPERLINK("https://knru.ru/catalog/vosstanovleniya-ul-1158154746/","ссылка")</f>
        <v/>
      </c>
      <c r="Q256" t="inlineStr"/>
      <c r="R256" t="inlineStr">
        <is>
          <t>Нет у нас</t>
        </is>
      </c>
      <c r="S256" t="n">
        <v>0</v>
      </c>
      <c r="T256" t="inlineStr">
        <is>
          <t>Совпадений по улице+дому не найдено</t>
        </is>
      </c>
      <c r="U256" t="n">
        <v>316</v>
      </c>
      <c r="V256" t="n">
        <v>14</v>
      </c>
      <c r="W256" t="n">
        <v>4</v>
      </c>
      <c r="X256" t="n">
        <v>2551500</v>
      </c>
      <c r="Y256" t="inlineStr"/>
      <c r="Z256" t="inlineStr"/>
      <c r="AA256" t="inlineStr">
        <is>
          <t>https://knru.ru/catalog/vosstanovleniya-ul-1158154746/</t>
        </is>
      </c>
      <c r="AB256" t="inlineStr">
        <is>
          <t>B</t>
        </is>
      </c>
    </row>
    <row r="257">
      <c r="A257" t="n">
        <v>317</v>
      </c>
      <c r="B257" t="n">
        <v>14</v>
      </c>
      <c r="C257" t="n">
        <v>5</v>
      </c>
      <c r="D257" t="n">
        <v>1961021766</v>
      </c>
      <c r="E257" t="inlineStr"/>
      <c r="F257" t="inlineStr">
        <is>
          <t>Восстановления ул.</t>
        </is>
      </c>
      <c r="G257" t="n">
        <v>9</v>
      </c>
      <c r="H257" t="inlineStr">
        <is>
          <t>2 835 000</t>
        </is>
      </c>
      <c r="I257" t="inlineStr"/>
      <c r="J257" t="inlineStr"/>
      <c r="K257" t="inlineStr"/>
      <c r="L257" t="inlineStr"/>
      <c r="M257" t="inlineStr"/>
      <c r="N257" t="inlineStr">
        <is>
          <t>no</t>
        </is>
      </c>
      <c r="O257" t="inlineStr">
        <is>
          <t>none</t>
        </is>
      </c>
      <c r="P257">
        <f>HYPERLINK("https://knru.ru/catalog/vosstanovleniya-ul-1961021766/","ссылка")</f>
        <v/>
      </c>
      <c r="Q257" t="inlineStr"/>
      <c r="R257" t="inlineStr">
        <is>
          <t>Нет у нас</t>
        </is>
      </c>
      <c r="S257" t="n">
        <v>0</v>
      </c>
      <c r="T257" t="inlineStr">
        <is>
          <t>Совпадений по улице+дому не найдено</t>
        </is>
      </c>
      <c r="U257" t="n">
        <v>317</v>
      </c>
      <c r="V257" t="n">
        <v>14</v>
      </c>
      <c r="W257" t="n">
        <v>5</v>
      </c>
      <c r="X257" t="n">
        <v>2835000</v>
      </c>
      <c r="Y257" t="inlineStr"/>
      <c r="Z257" t="inlineStr"/>
      <c r="AA257" t="inlineStr">
        <is>
          <t>https://knru.ru/catalog/vosstanovleniya-ul-1961021766/</t>
        </is>
      </c>
      <c r="AB257" t="inlineStr">
        <is>
          <t>B</t>
        </is>
      </c>
    </row>
    <row r="258">
      <c r="A258" t="n">
        <v>318</v>
      </c>
      <c r="B258" t="n">
        <v>14</v>
      </c>
      <c r="C258" t="n">
        <v>6</v>
      </c>
      <c r="D258" t="n">
        <v>766849415</v>
      </c>
      <c r="E258" t="inlineStr"/>
      <c r="F258" t="inlineStr">
        <is>
          <t>Восстановления ул.</t>
        </is>
      </c>
      <c r="G258" t="n">
        <v>9.9</v>
      </c>
      <c r="H258" t="inlineStr">
        <is>
          <t>3 118 500</t>
        </is>
      </c>
      <c r="I258" t="inlineStr"/>
      <c r="J258" t="inlineStr"/>
      <c r="K258" t="inlineStr"/>
      <c r="L258" t="inlineStr"/>
      <c r="M258" t="inlineStr"/>
      <c r="N258" t="inlineStr">
        <is>
          <t>no</t>
        </is>
      </c>
      <c r="O258" t="inlineStr">
        <is>
          <t>none</t>
        </is>
      </c>
      <c r="P258">
        <f>HYPERLINK("https://knru.ru/catalog/vosstanovleniya-ul-766849415/","ссылка")</f>
        <v/>
      </c>
      <c r="Q258" t="inlineStr"/>
      <c r="R258" t="inlineStr">
        <is>
          <t>Нет у нас</t>
        </is>
      </c>
      <c r="S258" t="n">
        <v>0</v>
      </c>
      <c r="T258" t="inlineStr">
        <is>
          <t>Совпадений по улице+дому не найдено</t>
        </is>
      </c>
      <c r="U258" t="n">
        <v>318</v>
      </c>
      <c r="V258" t="n">
        <v>14</v>
      </c>
      <c r="W258" t="n">
        <v>6</v>
      </c>
      <c r="X258" t="n">
        <v>3118500</v>
      </c>
      <c r="Y258" t="inlineStr"/>
      <c r="Z258" t="inlineStr"/>
      <c r="AA258" t="inlineStr">
        <is>
          <t>https://knru.ru/catalog/vosstanovleniya-ul-766849415/</t>
        </is>
      </c>
      <c r="AB258" t="inlineStr">
        <is>
          <t>B</t>
        </is>
      </c>
    </row>
    <row r="259">
      <c r="A259" t="n">
        <v>319</v>
      </c>
      <c r="B259" t="n">
        <v>14</v>
      </c>
      <c r="C259" t="n">
        <v>7</v>
      </c>
      <c r="D259" t="n">
        <v>1458492013</v>
      </c>
      <c r="E259" t="inlineStr"/>
      <c r="F259" t="inlineStr">
        <is>
          <t>Восстановления ул.</t>
        </is>
      </c>
      <c r="G259" t="n">
        <v>5.4</v>
      </c>
      <c r="H259" t="inlineStr">
        <is>
          <t>1 701 000</t>
        </is>
      </c>
      <c r="I259" t="inlineStr"/>
      <c r="J259" t="inlineStr"/>
      <c r="K259" t="inlineStr"/>
      <c r="L259" t="inlineStr"/>
      <c r="M259" t="inlineStr"/>
      <c r="N259" t="inlineStr">
        <is>
          <t>no</t>
        </is>
      </c>
      <c r="O259" t="inlineStr">
        <is>
          <t>none</t>
        </is>
      </c>
      <c r="P259">
        <f>HYPERLINK("https://knru.ru/catalog/vosstanovleniya-ul-1458492013/","ссылка")</f>
        <v/>
      </c>
      <c r="Q259" t="inlineStr"/>
      <c r="R259" t="inlineStr">
        <is>
          <t>Нет у нас</t>
        </is>
      </c>
      <c r="S259" t="n">
        <v>0</v>
      </c>
      <c r="T259" t="inlineStr">
        <is>
          <t>Совпадений по улице+дому не найдено</t>
        </is>
      </c>
      <c r="U259" t="n">
        <v>319</v>
      </c>
      <c r="V259" t="n">
        <v>14</v>
      </c>
      <c r="W259" t="n">
        <v>7</v>
      </c>
      <c r="X259" t="n">
        <v>1701000</v>
      </c>
      <c r="Y259" t="inlineStr"/>
      <c r="Z259" t="inlineStr"/>
      <c r="AA259" t="inlineStr">
        <is>
          <t>https://knru.ru/catalog/vosstanovleniya-ul-1458492013/</t>
        </is>
      </c>
      <c r="AB259" t="inlineStr">
        <is>
          <t>B</t>
        </is>
      </c>
    </row>
    <row r="260">
      <c r="A260" t="n">
        <v>320</v>
      </c>
      <c r="B260" t="n">
        <v>14</v>
      </c>
      <c r="C260" t="n">
        <v>8</v>
      </c>
      <c r="D260" t="n">
        <v>2016472048</v>
      </c>
      <c r="E260" t="inlineStr"/>
      <c r="F260" t="inlineStr">
        <is>
          <t>Восстановления ул.</t>
        </is>
      </c>
      <c r="G260" t="n">
        <v>8.1</v>
      </c>
      <c r="H260" t="inlineStr">
        <is>
          <t>2 551 500</t>
        </is>
      </c>
      <c r="I260" t="inlineStr"/>
      <c r="J260" t="inlineStr"/>
      <c r="K260" t="inlineStr"/>
      <c r="L260" t="inlineStr"/>
      <c r="M260" t="inlineStr"/>
      <c r="N260" t="inlineStr">
        <is>
          <t>no</t>
        </is>
      </c>
      <c r="O260" t="inlineStr">
        <is>
          <t>none</t>
        </is>
      </c>
      <c r="P260">
        <f>HYPERLINK("https://knru.ru/catalog/vosstanovleniya-ul-2016472048/","ссылка")</f>
        <v/>
      </c>
      <c r="Q260" t="inlineStr"/>
      <c r="R260" t="inlineStr">
        <is>
          <t>Нет у нас</t>
        </is>
      </c>
      <c r="S260" t="n">
        <v>0</v>
      </c>
      <c r="T260" t="inlineStr">
        <is>
          <t>Совпадений по улице+дому не найдено</t>
        </is>
      </c>
      <c r="U260" t="n">
        <v>320</v>
      </c>
      <c r="V260" t="n">
        <v>14</v>
      </c>
      <c r="W260" t="n">
        <v>8</v>
      </c>
      <c r="X260" t="n">
        <v>2551500</v>
      </c>
      <c r="Y260" t="inlineStr"/>
      <c r="Z260" t="inlineStr"/>
      <c r="AA260" t="inlineStr">
        <is>
          <t>https://knru.ru/catalog/vosstanovleniya-ul-2016472048/</t>
        </is>
      </c>
      <c r="AB260" t="inlineStr">
        <is>
          <t>B</t>
        </is>
      </c>
    </row>
    <row r="261">
      <c r="A261" t="n">
        <v>321</v>
      </c>
      <c r="B261" t="n">
        <v>14</v>
      </c>
      <c r="C261" t="n">
        <v>9</v>
      </c>
      <c r="D261" t="n">
        <v>1238859104</v>
      </c>
      <c r="E261" t="inlineStr"/>
      <c r="F261" t="inlineStr">
        <is>
          <t>Восстановления ул.</t>
        </is>
      </c>
      <c r="G261" t="n">
        <v>5.4</v>
      </c>
      <c r="H261" t="inlineStr">
        <is>
          <t>1 701 000</t>
        </is>
      </c>
      <c r="I261" t="inlineStr"/>
      <c r="J261" t="inlineStr"/>
      <c r="K261" t="inlineStr"/>
      <c r="L261" t="inlineStr"/>
      <c r="M261" t="inlineStr"/>
      <c r="N261" t="inlineStr">
        <is>
          <t>no</t>
        </is>
      </c>
      <c r="O261" t="inlineStr">
        <is>
          <t>none</t>
        </is>
      </c>
      <c r="P261">
        <f>HYPERLINK("https://knru.ru/catalog/vosstanovleniya-ul-1238859104/","ссылка")</f>
        <v/>
      </c>
      <c r="Q261" t="inlineStr"/>
      <c r="R261" t="inlineStr">
        <is>
          <t>Нет у нас</t>
        </is>
      </c>
      <c r="S261" t="n">
        <v>0</v>
      </c>
      <c r="T261" t="inlineStr">
        <is>
          <t>Совпадений по улице+дому не найдено</t>
        </is>
      </c>
      <c r="U261" t="n">
        <v>321</v>
      </c>
      <c r="V261" t="n">
        <v>14</v>
      </c>
      <c r="W261" t="n">
        <v>9</v>
      </c>
      <c r="X261" t="n">
        <v>1701000</v>
      </c>
      <c r="Y261" t="inlineStr"/>
      <c r="Z261" t="inlineStr"/>
      <c r="AA261" t="inlineStr">
        <is>
          <t>https://knru.ru/catalog/vosstanovleniya-ul-1238859104/</t>
        </is>
      </c>
      <c r="AB261" t="inlineStr">
        <is>
          <t>B</t>
        </is>
      </c>
    </row>
    <row r="262">
      <c r="A262" t="n">
        <v>322</v>
      </c>
      <c r="B262" t="n">
        <v>14</v>
      </c>
      <c r="C262" t="n">
        <v>10</v>
      </c>
      <c r="D262" t="n">
        <v>2038808097</v>
      </c>
      <c r="E262" t="inlineStr"/>
      <c r="F262" t="inlineStr">
        <is>
          <t>Восстановления ул.</t>
        </is>
      </c>
      <c r="G262" t="n">
        <v>5.4</v>
      </c>
      <c r="H262" t="inlineStr">
        <is>
          <t>1 701 000</t>
        </is>
      </c>
      <c r="I262" t="inlineStr"/>
      <c r="J262" t="inlineStr"/>
      <c r="K262" t="inlineStr"/>
      <c r="L262" t="inlineStr"/>
      <c r="M262" t="inlineStr"/>
      <c r="N262" t="inlineStr">
        <is>
          <t>no</t>
        </is>
      </c>
      <c r="O262" t="inlineStr">
        <is>
          <t>none</t>
        </is>
      </c>
      <c r="P262">
        <f>HYPERLINK("https://knru.ru/catalog/vosstanovleniya-ul-2038808097/","ссылка")</f>
        <v/>
      </c>
      <c r="Q262" t="inlineStr"/>
      <c r="R262" t="inlineStr">
        <is>
          <t>Нет у нас</t>
        </is>
      </c>
      <c r="S262" t="n">
        <v>0</v>
      </c>
      <c r="T262" t="inlineStr">
        <is>
          <t>Совпадений по улице+дому не найдено</t>
        </is>
      </c>
      <c r="U262" t="n">
        <v>322</v>
      </c>
      <c r="V262" t="n">
        <v>14</v>
      </c>
      <c r="W262" t="n">
        <v>10</v>
      </c>
      <c r="X262" t="n">
        <v>1701000</v>
      </c>
      <c r="Y262" t="inlineStr"/>
      <c r="Z262" t="inlineStr"/>
      <c r="AA262" t="inlineStr">
        <is>
          <t>https://knru.ru/catalog/vosstanovleniya-ul-2038808097/</t>
        </is>
      </c>
      <c r="AB262" t="inlineStr">
        <is>
          <t>B</t>
        </is>
      </c>
    </row>
    <row r="263">
      <c r="A263" t="n">
        <v>323</v>
      </c>
      <c r="B263" t="n">
        <v>14</v>
      </c>
      <c r="C263" t="n">
        <v>11</v>
      </c>
      <c r="D263" t="n">
        <v>2122960229</v>
      </c>
      <c r="E263" t="inlineStr"/>
      <c r="F263" t="inlineStr">
        <is>
          <t>Восстановления ул.</t>
        </is>
      </c>
      <c r="G263" t="n">
        <v>8.699999999999999</v>
      </c>
      <c r="H263" t="inlineStr">
        <is>
          <t>2 740 500</t>
        </is>
      </c>
      <c r="I263" t="inlineStr"/>
      <c r="J263" t="inlineStr"/>
      <c r="K263" t="inlineStr"/>
      <c r="L263" t="inlineStr"/>
      <c r="M263" t="inlineStr"/>
      <c r="N263" t="inlineStr">
        <is>
          <t>no</t>
        </is>
      </c>
      <c r="O263" t="inlineStr">
        <is>
          <t>none</t>
        </is>
      </c>
      <c r="P263">
        <f>HYPERLINK("https://knru.ru/catalog/vosstanovleniya-ul-2122960229/","ссылка")</f>
        <v/>
      </c>
      <c r="Q263" t="inlineStr"/>
      <c r="R263" t="inlineStr">
        <is>
          <t>Нет у нас</t>
        </is>
      </c>
      <c r="S263" t="n">
        <v>0</v>
      </c>
      <c r="T263" t="inlineStr">
        <is>
          <t>Совпадений по улице+дому не найдено</t>
        </is>
      </c>
      <c r="U263" t="n">
        <v>323</v>
      </c>
      <c r="V263" t="n">
        <v>14</v>
      </c>
      <c r="W263" t="n">
        <v>11</v>
      </c>
      <c r="X263" t="n">
        <v>2740500</v>
      </c>
      <c r="Y263" t="inlineStr"/>
      <c r="Z263" t="inlineStr"/>
      <c r="AA263" t="inlineStr">
        <is>
          <t>https://knru.ru/catalog/vosstanovleniya-ul-2122960229/</t>
        </is>
      </c>
      <c r="AB263" t="inlineStr">
        <is>
          <t>B</t>
        </is>
      </c>
    </row>
    <row r="264">
      <c r="A264" t="n">
        <v>324</v>
      </c>
      <c r="B264" t="n">
        <v>14</v>
      </c>
      <c r="C264" t="n">
        <v>12</v>
      </c>
      <c r="D264" t="n">
        <v>1555572698</v>
      </c>
      <c r="E264" t="inlineStr"/>
      <c r="F264" t="inlineStr">
        <is>
          <t>Восстановления ул.</t>
        </is>
      </c>
      <c r="G264" t="n">
        <v>8.699999999999999</v>
      </c>
      <c r="H264" t="inlineStr">
        <is>
          <t>2 740 500</t>
        </is>
      </c>
      <c r="I264" t="inlineStr"/>
      <c r="J264" t="inlineStr"/>
      <c r="K264" t="inlineStr"/>
      <c r="L264" t="inlineStr"/>
      <c r="M264" t="inlineStr"/>
      <c r="N264" t="inlineStr">
        <is>
          <t>no</t>
        </is>
      </c>
      <c r="O264" t="inlineStr">
        <is>
          <t>none</t>
        </is>
      </c>
      <c r="P264">
        <f>HYPERLINK("https://knru.ru/catalog/vosstanovleniya-ul-1555572698/","ссылка")</f>
        <v/>
      </c>
      <c r="Q264" t="inlineStr"/>
      <c r="R264" t="inlineStr">
        <is>
          <t>Нет у нас</t>
        </is>
      </c>
      <c r="S264" t="n">
        <v>0</v>
      </c>
      <c r="T264" t="inlineStr">
        <is>
          <t>Совпадений по улице+дому не найдено</t>
        </is>
      </c>
      <c r="U264" t="n">
        <v>324</v>
      </c>
      <c r="V264" t="n">
        <v>14</v>
      </c>
      <c r="W264" t="n">
        <v>12</v>
      </c>
      <c r="X264" t="n">
        <v>2740500</v>
      </c>
      <c r="Y264" t="inlineStr"/>
      <c r="Z264" t="inlineStr"/>
      <c r="AA264" t="inlineStr">
        <is>
          <t>https://knru.ru/catalog/vosstanovleniya-ul-1555572698/</t>
        </is>
      </c>
      <c r="AB264" t="inlineStr">
        <is>
          <t>B</t>
        </is>
      </c>
    </row>
    <row r="265">
      <c r="A265" t="n">
        <v>325</v>
      </c>
      <c r="B265" t="n">
        <v>14</v>
      </c>
      <c r="C265" t="n">
        <v>13</v>
      </c>
      <c r="D265" t="n">
        <v>1924473989</v>
      </c>
      <c r="E265" t="inlineStr"/>
      <c r="F265" t="inlineStr">
        <is>
          <t>Восстановления ул.</t>
        </is>
      </c>
      <c r="G265" t="n">
        <v>8.800000000000001</v>
      </c>
      <c r="H265" t="inlineStr">
        <is>
          <t>2 772 000</t>
        </is>
      </c>
      <c r="I265" t="inlineStr"/>
      <c r="J265" t="inlineStr"/>
      <c r="K265" t="inlineStr"/>
      <c r="L265" t="inlineStr"/>
      <c r="M265" t="inlineStr"/>
      <c r="N265" t="inlineStr">
        <is>
          <t>no</t>
        </is>
      </c>
      <c r="O265" t="inlineStr">
        <is>
          <t>none</t>
        </is>
      </c>
      <c r="P265">
        <f>HYPERLINK("https://knru.ru/catalog/vosstanovleniya-ul-1924473989/","ссылка")</f>
        <v/>
      </c>
      <c r="Q265" t="inlineStr"/>
      <c r="R265" t="inlineStr">
        <is>
          <t>Нет у нас</t>
        </is>
      </c>
      <c r="S265" t="n">
        <v>0</v>
      </c>
      <c r="T265" t="inlineStr">
        <is>
          <t>Совпадений по улице+дому не найдено</t>
        </is>
      </c>
      <c r="U265" t="n">
        <v>325</v>
      </c>
      <c r="V265" t="n">
        <v>14</v>
      </c>
      <c r="W265" t="n">
        <v>13</v>
      </c>
      <c r="X265" t="n">
        <v>2772000</v>
      </c>
      <c r="Y265" t="inlineStr"/>
      <c r="Z265" t="inlineStr"/>
      <c r="AA265" t="inlineStr">
        <is>
          <t>https://knru.ru/catalog/vosstanovleniya-ul-1924473989/</t>
        </is>
      </c>
      <c r="AB265" t="inlineStr">
        <is>
          <t>B</t>
        </is>
      </c>
    </row>
    <row r="266">
      <c r="A266" t="n">
        <v>326</v>
      </c>
      <c r="B266" t="n">
        <v>14</v>
      </c>
      <c r="C266" t="n">
        <v>14</v>
      </c>
      <c r="D266" t="n">
        <v>666771624</v>
      </c>
      <c r="E266" t="inlineStr"/>
      <c r="F266" t="inlineStr">
        <is>
          <t>Восстановления ул.</t>
        </is>
      </c>
      <c r="G266" t="n">
        <v>9.5</v>
      </c>
      <c r="H266" t="inlineStr">
        <is>
          <t>2 992 500</t>
        </is>
      </c>
      <c r="I266" t="inlineStr"/>
      <c r="J266" t="inlineStr"/>
      <c r="K266" t="inlineStr"/>
      <c r="L266" t="inlineStr"/>
      <c r="M266" t="inlineStr"/>
      <c r="N266" t="inlineStr">
        <is>
          <t>no</t>
        </is>
      </c>
      <c r="O266" t="inlineStr">
        <is>
          <t>none</t>
        </is>
      </c>
      <c r="P266">
        <f>HYPERLINK("https://knru.ru/catalog/vosstanovleniya-ul-666771624/","ссылка")</f>
        <v/>
      </c>
      <c r="Q266" t="inlineStr"/>
      <c r="R266" t="inlineStr">
        <is>
          <t>Нет у нас</t>
        </is>
      </c>
      <c r="S266" t="n">
        <v>0</v>
      </c>
      <c r="T266" t="inlineStr">
        <is>
          <t>Совпадений по улице+дому не найдено</t>
        </is>
      </c>
      <c r="U266" t="n">
        <v>326</v>
      </c>
      <c r="V266" t="n">
        <v>14</v>
      </c>
      <c r="W266" t="n">
        <v>14</v>
      </c>
      <c r="X266" t="n">
        <v>2992500</v>
      </c>
      <c r="Y266" t="inlineStr"/>
      <c r="Z266" t="inlineStr"/>
      <c r="AA266" t="inlineStr">
        <is>
          <t>https://knru.ru/catalog/vosstanovleniya-ul-666771624/</t>
        </is>
      </c>
      <c r="AB266" t="inlineStr">
        <is>
          <t>B</t>
        </is>
      </c>
    </row>
    <row r="267">
      <c r="A267" t="n">
        <v>327</v>
      </c>
      <c r="B267" t="n">
        <v>14</v>
      </c>
      <c r="C267" t="n">
        <v>15</v>
      </c>
      <c r="D267" t="n">
        <v>1736012</v>
      </c>
      <c r="E267" t="inlineStr"/>
      <c r="F267" t="inlineStr">
        <is>
          <t>Восстановления ул.</t>
        </is>
      </c>
      <c r="G267" t="n">
        <v>75.8</v>
      </c>
      <c r="H267" t="inlineStr">
        <is>
          <t>12 734 400</t>
        </is>
      </c>
      <c r="I267" t="inlineStr"/>
      <c r="J267" t="inlineStr"/>
      <c r="K267" t="inlineStr"/>
      <c r="L267" t="inlineStr"/>
      <c r="M267" t="inlineStr"/>
      <c r="N267" t="inlineStr">
        <is>
          <t>no</t>
        </is>
      </c>
      <c r="O267" t="inlineStr">
        <is>
          <t>none</t>
        </is>
      </c>
      <c r="P267">
        <f>HYPERLINK("https://knru.ru/catalog/vosstanovleniya-ul-1736012/","ссылка")</f>
        <v/>
      </c>
      <c r="Q267" t="inlineStr"/>
      <c r="R267" t="inlineStr">
        <is>
          <t>Нет у нас</t>
        </is>
      </c>
      <c r="S267" t="n">
        <v>0</v>
      </c>
      <c r="T267" t="inlineStr">
        <is>
          <t>Совпадений по улице+дому не найдено</t>
        </is>
      </c>
      <c r="U267" t="n">
        <v>327</v>
      </c>
      <c r="V267" t="n">
        <v>14</v>
      </c>
      <c r="W267" t="n">
        <v>15</v>
      </c>
      <c r="X267" t="n">
        <v>12734400</v>
      </c>
      <c r="Y267" t="inlineStr"/>
      <c r="Z267" t="inlineStr"/>
      <c r="AA267" t="inlineStr">
        <is>
          <t>https://knru.ru/catalog/vosstanovleniya-ul-1736012/</t>
        </is>
      </c>
      <c r="AB267" t="inlineStr">
        <is>
          <t>B</t>
        </is>
      </c>
    </row>
    <row r="268">
      <c r="A268" t="n">
        <v>328</v>
      </c>
      <c r="B268" t="n">
        <v>14</v>
      </c>
      <c r="C268" t="n">
        <v>16</v>
      </c>
      <c r="D268" t="n">
        <v>333156923</v>
      </c>
      <c r="E268" t="inlineStr"/>
      <c r="F268" t="inlineStr">
        <is>
          <t>Восстановления ул.</t>
        </is>
      </c>
      <c r="G268" t="n">
        <v>117</v>
      </c>
      <c r="H268" t="inlineStr">
        <is>
          <t>20 889 855</t>
        </is>
      </c>
      <c r="I268" t="inlineStr"/>
      <c r="J268" t="inlineStr"/>
      <c r="K268" t="inlineStr"/>
      <c r="L268" t="inlineStr"/>
      <c r="M268" t="inlineStr"/>
      <c r="N268" t="inlineStr">
        <is>
          <t>no</t>
        </is>
      </c>
      <c r="O268" t="inlineStr">
        <is>
          <t>none</t>
        </is>
      </c>
      <c r="P268">
        <f>HYPERLINK("https://knru.ru/catalog/vosstanovleniya-ul-333156923/","ссылка")</f>
        <v/>
      </c>
      <c r="Q268" t="inlineStr"/>
      <c r="R268" t="inlineStr">
        <is>
          <t>Нет у нас</t>
        </is>
      </c>
      <c r="S268" t="n">
        <v>0</v>
      </c>
      <c r="T268" t="inlineStr">
        <is>
          <t>Совпадений по улице+дому не найдено</t>
        </is>
      </c>
      <c r="U268" t="n">
        <v>328</v>
      </c>
      <c r="V268" t="n">
        <v>14</v>
      </c>
      <c r="W268" t="n">
        <v>16</v>
      </c>
      <c r="X268" t="n">
        <v>20889855</v>
      </c>
      <c r="Y268" t="inlineStr"/>
      <c r="Z268" t="inlineStr"/>
      <c r="AA268" t="inlineStr">
        <is>
          <t>https://knru.ru/catalog/vosstanovleniya-ul-333156923/</t>
        </is>
      </c>
      <c r="AB268" t="inlineStr">
        <is>
          <t>B</t>
        </is>
      </c>
    </row>
    <row r="269">
      <c r="A269" t="n">
        <v>329</v>
      </c>
      <c r="B269" t="n">
        <v>14</v>
      </c>
      <c r="C269" t="n">
        <v>17</v>
      </c>
      <c r="D269" t="n">
        <v>1444420931</v>
      </c>
      <c r="E269" t="inlineStr"/>
      <c r="F269" t="inlineStr">
        <is>
          <t>Восстановления ул.</t>
        </is>
      </c>
      <c r="G269" t="n">
        <v>107.9</v>
      </c>
      <c r="H269" t="inlineStr">
        <is>
          <t>15 296 243</t>
        </is>
      </c>
      <c r="I269" t="inlineStr"/>
      <c r="J269" t="inlineStr"/>
      <c r="K269" t="inlineStr"/>
      <c r="L269" t="inlineStr"/>
      <c r="M269" t="inlineStr"/>
      <c r="N269" t="inlineStr">
        <is>
          <t>no</t>
        </is>
      </c>
      <c r="O269" t="inlineStr">
        <is>
          <t>none</t>
        </is>
      </c>
      <c r="P269">
        <f>HYPERLINK("https://knru.ru/catalog/vosstanovleniya-ul-1444420931/","ссылка")</f>
        <v/>
      </c>
      <c r="Q269" t="inlineStr"/>
      <c r="R269" t="inlineStr">
        <is>
          <t>Нет у нас</t>
        </is>
      </c>
      <c r="S269" t="n">
        <v>0</v>
      </c>
      <c r="T269" t="inlineStr">
        <is>
          <t>Совпадений по улице+дому не найдено</t>
        </is>
      </c>
      <c r="U269" t="n">
        <v>329</v>
      </c>
      <c r="V269" t="n">
        <v>14</v>
      </c>
      <c r="W269" t="n">
        <v>17</v>
      </c>
      <c r="X269" t="n">
        <v>15296243</v>
      </c>
      <c r="Y269" t="inlineStr"/>
      <c r="Z269" t="inlineStr"/>
      <c r="AA269" t="inlineStr">
        <is>
          <t>https://knru.ru/catalog/vosstanovleniya-ul-1444420931/</t>
        </is>
      </c>
      <c r="AB269" t="inlineStr">
        <is>
          <t>B</t>
        </is>
      </c>
    </row>
    <row r="270">
      <c r="A270" t="n">
        <v>330</v>
      </c>
      <c r="B270" t="n">
        <v>14</v>
      </c>
      <c r="C270" t="n">
        <v>18</v>
      </c>
      <c r="D270" t="n">
        <v>571488554</v>
      </c>
      <c r="E270" t="inlineStr"/>
      <c r="F270" t="inlineStr">
        <is>
          <t>Восстановления ул.</t>
        </is>
      </c>
      <c r="G270" t="n">
        <v>137.6</v>
      </c>
      <c r="H270" t="inlineStr">
        <is>
          <t>16 516 800</t>
        </is>
      </c>
      <c r="I270" t="inlineStr"/>
      <c r="J270" t="inlineStr"/>
      <c r="K270" t="inlineStr"/>
      <c r="L270" t="inlineStr"/>
      <c r="M270" t="inlineStr"/>
      <c r="N270" t="inlineStr">
        <is>
          <t>no</t>
        </is>
      </c>
      <c r="O270" t="inlineStr">
        <is>
          <t>none</t>
        </is>
      </c>
      <c r="P270">
        <f>HYPERLINK("https://knru.ru/catalog/vosstanovleniya-ul-571488554/","ссылка")</f>
        <v/>
      </c>
      <c r="Q270" t="inlineStr"/>
      <c r="R270" t="inlineStr">
        <is>
          <t>Нет у нас</t>
        </is>
      </c>
      <c r="S270" t="n">
        <v>0</v>
      </c>
      <c r="T270" t="inlineStr">
        <is>
          <t>Совпадений по улице+дому не найдено</t>
        </is>
      </c>
      <c r="U270" t="n">
        <v>330</v>
      </c>
      <c r="V270" t="n">
        <v>14</v>
      </c>
      <c r="W270" t="n">
        <v>18</v>
      </c>
      <c r="X270" t="n">
        <v>16516800</v>
      </c>
      <c r="Y270" t="inlineStr"/>
      <c r="Z270" t="inlineStr"/>
      <c r="AA270" t="inlineStr">
        <is>
          <t>https://knru.ru/catalog/vosstanovleniya-ul-571488554/</t>
        </is>
      </c>
      <c r="AB270" t="inlineStr">
        <is>
          <t>B</t>
        </is>
      </c>
    </row>
    <row r="271">
      <c r="A271" t="n">
        <v>331</v>
      </c>
      <c r="B271" t="n">
        <v>14</v>
      </c>
      <c r="C271" t="n">
        <v>19</v>
      </c>
      <c r="D271" t="n">
        <v>209763922</v>
      </c>
      <c r="E271" t="inlineStr"/>
      <c r="F271" t="inlineStr">
        <is>
          <t>Восстановления ул.</t>
        </is>
      </c>
      <c r="G271" t="n">
        <v>149.7</v>
      </c>
      <c r="H271" t="inlineStr">
        <is>
          <t>17 960 400</t>
        </is>
      </c>
      <c r="I271" t="inlineStr"/>
      <c r="J271" t="inlineStr"/>
      <c r="K271" t="inlineStr"/>
      <c r="L271" t="inlineStr"/>
      <c r="M271" t="inlineStr"/>
      <c r="N271" t="inlineStr">
        <is>
          <t>no</t>
        </is>
      </c>
      <c r="O271" t="inlineStr">
        <is>
          <t>none</t>
        </is>
      </c>
      <c r="P271">
        <f>HYPERLINK("https://knru.ru/catalog/vosstanovleniya-ul-209763922/","ссылка")</f>
        <v/>
      </c>
      <c r="Q271" t="inlineStr"/>
      <c r="R271" t="inlineStr">
        <is>
          <t>Нет у нас</t>
        </is>
      </c>
      <c r="S271" t="n">
        <v>0</v>
      </c>
      <c r="T271" t="inlineStr">
        <is>
          <t>Совпадений по улице+дому не найдено</t>
        </is>
      </c>
      <c r="U271" t="n">
        <v>331</v>
      </c>
      <c r="V271" t="n">
        <v>14</v>
      </c>
      <c r="W271" t="n">
        <v>19</v>
      </c>
      <c r="X271" t="n">
        <v>17960400</v>
      </c>
      <c r="Y271" t="inlineStr"/>
      <c r="Z271" t="inlineStr"/>
      <c r="AA271" t="inlineStr">
        <is>
          <t>https://knru.ru/catalog/vosstanovleniya-ul-209763922/</t>
        </is>
      </c>
      <c r="AB271" t="inlineStr">
        <is>
          <t>B</t>
        </is>
      </c>
    </row>
    <row r="272">
      <c r="A272" t="n">
        <v>332</v>
      </c>
      <c r="B272" t="n">
        <v>14</v>
      </c>
      <c r="C272" t="n">
        <v>20</v>
      </c>
      <c r="D272" t="n">
        <v>849945158</v>
      </c>
      <c r="E272" t="inlineStr"/>
      <c r="F272" t="inlineStr">
        <is>
          <t>Восстановления ул.</t>
        </is>
      </c>
      <c r="G272" t="n">
        <v>17.6</v>
      </c>
      <c r="H272" t="inlineStr">
        <is>
          <t>4 392 500</t>
        </is>
      </c>
      <c r="I272" t="inlineStr"/>
      <c r="J272" t="inlineStr"/>
      <c r="K272" t="inlineStr"/>
      <c r="L272" t="inlineStr"/>
      <c r="M272" t="inlineStr"/>
      <c r="N272" t="inlineStr">
        <is>
          <t>no</t>
        </is>
      </c>
      <c r="O272" t="inlineStr">
        <is>
          <t>none</t>
        </is>
      </c>
      <c r="P272">
        <f>HYPERLINK("https://knru.ru/catalog/vosstanovleniya-ul-849945158/","ссылка")</f>
        <v/>
      </c>
      <c r="Q272" t="inlineStr"/>
      <c r="R272" t="inlineStr">
        <is>
          <t>Нет у нас</t>
        </is>
      </c>
      <c r="S272" t="n">
        <v>0</v>
      </c>
      <c r="T272" t="inlineStr">
        <is>
          <t>Совпадений по улице+дому не найдено</t>
        </is>
      </c>
      <c r="U272" t="n">
        <v>332</v>
      </c>
      <c r="V272" t="n">
        <v>14</v>
      </c>
      <c r="W272" t="n">
        <v>20</v>
      </c>
      <c r="X272" t="n">
        <v>4392500</v>
      </c>
      <c r="Y272" t="inlineStr"/>
      <c r="Z272" t="inlineStr"/>
      <c r="AA272" t="inlineStr">
        <is>
          <t>https://knru.ru/catalog/vosstanovleniya-ul-849945158/</t>
        </is>
      </c>
      <c r="AB272" t="inlineStr">
        <is>
          <t>B</t>
        </is>
      </c>
    </row>
    <row r="273">
      <c r="A273" t="n">
        <v>333</v>
      </c>
      <c r="B273" t="n">
        <v>14</v>
      </c>
      <c r="C273" t="n">
        <v>21</v>
      </c>
      <c r="D273" t="n">
        <v>1283865524</v>
      </c>
      <c r="E273" t="inlineStr"/>
      <c r="F273" t="inlineStr">
        <is>
          <t>Восстановления ул.</t>
        </is>
      </c>
      <c r="G273" t="n">
        <v>123</v>
      </c>
      <c r="H273" t="inlineStr">
        <is>
          <t>16 605 000</t>
        </is>
      </c>
      <c r="I273" t="inlineStr"/>
      <c r="J273" t="inlineStr"/>
      <c r="K273" t="inlineStr"/>
      <c r="L273" t="inlineStr"/>
      <c r="M273" t="inlineStr"/>
      <c r="N273" t="inlineStr">
        <is>
          <t>no</t>
        </is>
      </c>
      <c r="O273" t="inlineStr">
        <is>
          <t>none</t>
        </is>
      </c>
      <c r="P273">
        <f>HYPERLINK("https://knru.ru/catalog/vosstanovleniya-ul-1283865524/","ссылка")</f>
        <v/>
      </c>
      <c r="Q273" t="inlineStr"/>
      <c r="R273" t="inlineStr">
        <is>
          <t>Нет у нас</t>
        </is>
      </c>
      <c r="S273" t="n">
        <v>0</v>
      </c>
      <c r="T273" t="inlineStr">
        <is>
          <t>Совпадений по улице+дому не найдено</t>
        </is>
      </c>
      <c r="U273" t="n">
        <v>333</v>
      </c>
      <c r="V273" t="n">
        <v>14</v>
      </c>
      <c r="W273" t="n">
        <v>21</v>
      </c>
      <c r="X273" t="n">
        <v>16605000</v>
      </c>
      <c r="Y273" t="inlineStr"/>
      <c r="Z273" t="inlineStr"/>
      <c r="AA273" t="inlineStr">
        <is>
          <t>https://knru.ru/catalog/vosstanovleniya-ul-1283865524/</t>
        </is>
      </c>
      <c r="AB273" t="inlineStr">
        <is>
          <t>B</t>
        </is>
      </c>
    </row>
    <row r="274">
      <c r="A274" t="n">
        <v>334</v>
      </c>
      <c r="B274" t="n">
        <v>14</v>
      </c>
      <c r="C274" t="n">
        <v>22</v>
      </c>
      <c r="D274" t="n">
        <v>1549911907</v>
      </c>
      <c r="E274" t="inlineStr"/>
      <c r="F274" t="inlineStr">
        <is>
          <t>Восстановления ул.</t>
        </is>
      </c>
      <c r="G274" t="n">
        <v>118.2</v>
      </c>
      <c r="H274" t="inlineStr">
        <is>
          <t>36 000 000</t>
        </is>
      </c>
      <c r="I274" t="inlineStr"/>
      <c r="J274" t="inlineStr"/>
      <c r="K274" t="inlineStr"/>
      <c r="L274" t="inlineStr"/>
      <c r="M274" t="inlineStr"/>
      <c r="N274" t="inlineStr">
        <is>
          <t>no</t>
        </is>
      </c>
      <c r="O274" t="inlineStr">
        <is>
          <t>none</t>
        </is>
      </c>
      <c r="P274">
        <f>HYPERLINK("https://knru.ru/catalog/vosstanovleniya-ul-1549911907/","ссылка")</f>
        <v/>
      </c>
      <c r="Q274" t="inlineStr"/>
      <c r="R274" t="inlineStr">
        <is>
          <t>Нет у нас</t>
        </is>
      </c>
      <c r="S274" t="n">
        <v>0</v>
      </c>
      <c r="T274" t="inlineStr">
        <is>
          <t>Совпадений по улице+дому не найдено</t>
        </is>
      </c>
      <c r="U274" t="n">
        <v>334</v>
      </c>
      <c r="V274" t="n">
        <v>14</v>
      </c>
      <c r="W274" t="n">
        <v>22</v>
      </c>
      <c r="X274" t="n">
        <v>36000000</v>
      </c>
      <c r="Y274" t="inlineStr"/>
      <c r="Z274" t="inlineStr"/>
      <c r="AA274" t="inlineStr">
        <is>
          <t>https://knru.ru/catalog/vosstanovleniya-ul-1549911907/</t>
        </is>
      </c>
      <c r="AB274" t="inlineStr">
        <is>
          <t>B</t>
        </is>
      </c>
    </row>
    <row r="275">
      <c r="A275" t="n">
        <v>335</v>
      </c>
      <c r="B275" t="n">
        <v>14</v>
      </c>
      <c r="C275" t="n">
        <v>23</v>
      </c>
      <c r="D275" t="n">
        <v>1466910035</v>
      </c>
      <c r="E275" t="inlineStr"/>
      <c r="F275" t="inlineStr">
        <is>
          <t>Восстановления ул.</t>
        </is>
      </c>
      <c r="G275" t="n">
        <v>107.9</v>
      </c>
      <c r="H275" t="inlineStr">
        <is>
          <t>26 977 500</t>
        </is>
      </c>
      <c r="I275" t="inlineStr"/>
      <c r="J275" t="inlineStr"/>
      <c r="K275" t="inlineStr"/>
      <c r="L275" t="inlineStr"/>
      <c r="M275" t="inlineStr"/>
      <c r="N275" t="inlineStr">
        <is>
          <t>no</t>
        </is>
      </c>
      <c r="O275" t="inlineStr">
        <is>
          <t>none</t>
        </is>
      </c>
      <c r="P275">
        <f>HYPERLINK("https://knru.ru/catalog/vosstanovleniya-ul-1466910035/","ссылка")</f>
        <v/>
      </c>
      <c r="Q275" t="inlineStr"/>
      <c r="R275" t="inlineStr">
        <is>
          <t>Нет у нас</t>
        </is>
      </c>
      <c r="S275" t="n">
        <v>0</v>
      </c>
      <c r="T275" t="inlineStr">
        <is>
          <t>Совпадений по улице+дому не найдено</t>
        </is>
      </c>
      <c r="U275" t="n">
        <v>335</v>
      </c>
      <c r="V275" t="n">
        <v>14</v>
      </c>
      <c r="W275" t="n">
        <v>23</v>
      </c>
      <c r="X275" t="n">
        <v>26977500</v>
      </c>
      <c r="Y275" t="inlineStr"/>
      <c r="Z275" t="inlineStr"/>
      <c r="AA275" t="inlineStr">
        <is>
          <t>https://knru.ru/catalog/vosstanovleniya-ul-1466910035/</t>
        </is>
      </c>
      <c r="AB275" t="inlineStr">
        <is>
          <t>B</t>
        </is>
      </c>
    </row>
    <row r="276">
      <c r="A276" t="n">
        <v>336</v>
      </c>
      <c r="B276" t="n">
        <v>14</v>
      </c>
      <c r="C276" t="n">
        <v>24</v>
      </c>
      <c r="D276" t="n">
        <v>1620168768</v>
      </c>
      <c r="E276" t="inlineStr"/>
      <c r="F276" t="inlineStr">
        <is>
          <t>Восстановления ул.</t>
        </is>
      </c>
      <c r="G276" t="n">
        <v>63.8</v>
      </c>
      <c r="H276" t="inlineStr">
        <is>
          <t>22 780 170</t>
        </is>
      </c>
      <c r="I276" t="inlineStr"/>
      <c r="J276" t="inlineStr"/>
      <c r="K276" t="inlineStr"/>
      <c r="L276" t="inlineStr"/>
      <c r="M276" t="inlineStr"/>
      <c r="N276" t="inlineStr">
        <is>
          <t>no</t>
        </is>
      </c>
      <c r="O276" t="inlineStr">
        <is>
          <t>none</t>
        </is>
      </c>
      <c r="P276">
        <f>HYPERLINK("https://knru.ru/catalog/vosstanovleniya-ul-1620168768/","ссылка")</f>
        <v/>
      </c>
      <c r="Q276" t="inlineStr"/>
      <c r="R276" t="inlineStr">
        <is>
          <t>Нет у нас</t>
        </is>
      </c>
      <c r="S276" t="n">
        <v>0</v>
      </c>
      <c r="T276" t="inlineStr">
        <is>
          <t>Совпадений по улице+дому не найдено</t>
        </is>
      </c>
      <c r="U276" t="n">
        <v>336</v>
      </c>
      <c r="V276" t="n">
        <v>14</v>
      </c>
      <c r="W276" t="n">
        <v>24</v>
      </c>
      <c r="X276" t="n">
        <v>22780170</v>
      </c>
      <c r="Y276" t="inlineStr"/>
      <c r="Z276" t="inlineStr"/>
      <c r="AA276" t="inlineStr">
        <is>
          <t>https://knru.ru/catalog/vosstanovleniya-ul-1620168768/</t>
        </is>
      </c>
      <c r="AB276" t="inlineStr">
        <is>
          <t>B</t>
        </is>
      </c>
    </row>
    <row r="277">
      <c r="A277" t="n">
        <v>337</v>
      </c>
      <c r="B277" t="n">
        <v>15</v>
      </c>
      <c r="C277" t="n">
        <v>1</v>
      </c>
      <c r="D277" t="n">
        <v>1403304576</v>
      </c>
      <c r="E277" t="inlineStr"/>
      <c r="F277" t="inlineStr">
        <is>
          <t>Восстановления ул.</t>
        </is>
      </c>
      <c r="G277" t="n">
        <v>113.8</v>
      </c>
      <c r="H277" t="inlineStr">
        <is>
          <t>28 440 000</t>
        </is>
      </c>
      <c r="I277" t="inlineStr"/>
      <c r="J277" t="inlineStr"/>
      <c r="K277" t="inlineStr"/>
      <c r="L277" t="inlineStr"/>
      <c r="M277" t="inlineStr"/>
      <c r="N277" t="inlineStr">
        <is>
          <t>no</t>
        </is>
      </c>
      <c r="O277" t="inlineStr">
        <is>
          <t>none</t>
        </is>
      </c>
      <c r="P277">
        <f>HYPERLINK("https://knru.ru/catalog/vosstanovleniya-ul-1403304576/","ссылка")</f>
        <v/>
      </c>
      <c r="Q277" t="inlineStr"/>
      <c r="R277" t="inlineStr">
        <is>
          <t>Нет у нас</t>
        </is>
      </c>
      <c r="S277" t="n">
        <v>0</v>
      </c>
      <c r="T277" t="inlineStr">
        <is>
          <t>Совпадений по улице+дому не найдено</t>
        </is>
      </c>
      <c r="U277" t="n">
        <v>337</v>
      </c>
      <c r="V277" t="n">
        <v>15</v>
      </c>
      <c r="W277" t="n">
        <v>1</v>
      </c>
      <c r="X277" t="n">
        <v>28440000</v>
      </c>
      <c r="Y277" t="inlineStr"/>
      <c r="Z277" t="inlineStr"/>
      <c r="AA277" t="inlineStr">
        <is>
          <t>https://knru.ru/catalog/vosstanovleniya-ul-1403304576/</t>
        </is>
      </c>
      <c r="AB277" t="inlineStr">
        <is>
          <t>B</t>
        </is>
      </c>
    </row>
    <row r="278">
      <c r="A278" t="n">
        <v>338</v>
      </c>
      <c r="B278" t="n">
        <v>15</v>
      </c>
      <c r="C278" t="n">
        <v>2</v>
      </c>
      <c r="D278" t="inlineStr"/>
      <c r="E278" t="inlineStr"/>
      <c r="F278" t="inlineStr">
        <is>
          <t>Восстановления ул.</t>
        </is>
      </c>
      <c r="G278" t="n">
        <v>113.8</v>
      </c>
      <c r="H278" t="inlineStr">
        <is>
          <t>28 440 000</t>
        </is>
      </c>
      <c r="I278" t="inlineStr"/>
      <c r="J278" t="inlineStr"/>
      <c r="K278" t="inlineStr"/>
      <c r="L278" t="inlineStr"/>
      <c r="M278" t="inlineStr"/>
      <c r="N278" t="inlineStr">
        <is>
          <t>no</t>
        </is>
      </c>
      <c r="O278" t="inlineStr">
        <is>
          <t>none</t>
        </is>
      </c>
      <c r="P278">
        <f>HYPERLINK("https://knru.ru/catalog/vosstanovleniya-ul/","ссылка")</f>
        <v/>
      </c>
      <c r="Q278" t="inlineStr"/>
      <c r="R278" t="inlineStr">
        <is>
          <t>Нет у нас</t>
        </is>
      </c>
      <c r="S278" t="n">
        <v>0</v>
      </c>
      <c r="T278" t="inlineStr">
        <is>
          <t>Совпадений по улице+дому не найдено</t>
        </is>
      </c>
      <c r="U278" t="n">
        <v>338</v>
      </c>
      <c r="V278" t="n">
        <v>15</v>
      </c>
      <c r="W278" t="n">
        <v>2</v>
      </c>
      <c r="X278" t="n">
        <v>28440000</v>
      </c>
      <c r="Y278" t="inlineStr"/>
      <c r="Z278" t="inlineStr"/>
      <c r="AA278" t="inlineStr">
        <is>
          <t>https://knru.ru/catalog/vosstanovleniya-ul/</t>
        </is>
      </c>
      <c r="AB278" t="inlineStr">
        <is>
          <t>B</t>
        </is>
      </c>
    </row>
    <row r="279">
      <c r="A279" t="n">
        <v>339</v>
      </c>
      <c r="B279" t="n">
        <v>15</v>
      </c>
      <c r="C279" t="n">
        <v>3</v>
      </c>
      <c r="D279" t="n">
        <v>1</v>
      </c>
      <c r="E279" t="inlineStr">
        <is>
          <t>Выборгский</t>
        </is>
      </c>
      <c r="F279" t="inlineStr">
        <is>
          <t>Кустодиева ул., д. 5 корп.1 стр.1</t>
        </is>
      </c>
      <c r="G279" t="n">
        <v>131.5</v>
      </c>
      <c r="H279" t="inlineStr">
        <is>
          <t>38 108 700</t>
        </is>
      </c>
      <c r="I279" t="inlineStr"/>
      <c r="J279" t="inlineStr"/>
      <c r="K279" t="inlineStr"/>
      <c r="L279" t="inlineStr"/>
      <c r="M279" t="inlineStr"/>
      <c r="N279" t="inlineStr">
        <is>
          <t>no</t>
        </is>
      </c>
      <c r="O279" t="inlineStr">
        <is>
          <t>none</t>
        </is>
      </c>
      <c r="P279">
        <f>HYPERLINK("https://knru.ru/catalog/kustodieva-ul-d-5-korp-1-str-1/","ссылка")</f>
        <v/>
      </c>
      <c r="Q279" t="inlineStr"/>
      <c r="R279" t="inlineStr">
        <is>
          <t>Нет у нас</t>
        </is>
      </c>
      <c r="S279" t="n">
        <v>0</v>
      </c>
      <c r="T279" t="inlineStr">
        <is>
          <t>Совпадений по улице+дому не найдено</t>
        </is>
      </c>
      <c r="U279" t="n">
        <v>339</v>
      </c>
      <c r="V279" t="n">
        <v>15</v>
      </c>
      <c r="W279" t="n">
        <v>3</v>
      </c>
      <c r="X279" t="n">
        <v>38108700</v>
      </c>
      <c r="Y279" t="inlineStr"/>
      <c r="Z279" t="inlineStr"/>
      <c r="AA279" t="inlineStr">
        <is>
          <t>https://knru.ru/catalog/kustodieva-ul-d-5-korp-1-str-1/</t>
        </is>
      </c>
      <c r="AB279" t="inlineStr">
        <is>
          <t>B</t>
        </is>
      </c>
    </row>
    <row r="280">
      <c r="A280" t="n">
        <v>340</v>
      </c>
      <c r="B280" t="n">
        <v>15</v>
      </c>
      <c r="C280" t="n">
        <v>4</v>
      </c>
      <c r="D280" t="n">
        <v>1878857097</v>
      </c>
      <c r="E280" t="inlineStr">
        <is>
          <t>Приморский</t>
        </is>
      </c>
      <c r="F280" t="inlineStr">
        <is>
          <t>Суздальское шос.</t>
        </is>
      </c>
      <c r="G280" t="n">
        <v>148.2</v>
      </c>
      <c r="H280" t="inlineStr">
        <is>
          <t>44 222 880</t>
        </is>
      </c>
      <c r="I280" t="inlineStr"/>
      <c r="J280" t="inlineStr"/>
      <c r="K280" t="inlineStr"/>
      <c r="L280" t="inlineStr"/>
      <c r="M280" t="inlineStr"/>
      <c r="N280" t="inlineStr">
        <is>
          <t>yes</t>
        </is>
      </c>
      <c r="O280" t="inlineStr">
        <is>
          <t>pixel_heuristic</t>
        </is>
      </c>
      <c r="P280">
        <f>HYPERLINK("https://knru.ru/catalog/suzdalskoe-shos-1878857097/","ссылка")</f>
        <v/>
      </c>
      <c r="Q280" t="inlineStr"/>
      <c r="R280" t="inlineStr">
        <is>
          <t>Нет у нас</t>
        </is>
      </c>
      <c r="S280" t="n">
        <v>0</v>
      </c>
      <c r="T280" t="inlineStr">
        <is>
          <t>Совпадений по улице+дому не найдено</t>
        </is>
      </c>
      <c r="U280" t="n">
        <v>340</v>
      </c>
      <c r="V280" t="n">
        <v>15</v>
      </c>
      <c r="W280" t="n">
        <v>4</v>
      </c>
      <c r="X280" t="n">
        <v>44222880</v>
      </c>
      <c r="Y280" t="inlineStr"/>
      <c r="Z280" t="inlineStr"/>
      <c r="AA280" t="inlineStr">
        <is>
          <t>https://knru.ru/catalog/suzdalskoe-shos-1878857097/</t>
        </is>
      </c>
      <c r="AB280" t="inlineStr">
        <is>
          <t>B</t>
        </is>
      </c>
    </row>
    <row r="281">
      <c r="A281" t="n">
        <v>341</v>
      </c>
      <c r="B281" t="n">
        <v>15</v>
      </c>
      <c r="C281" t="n">
        <v>5</v>
      </c>
      <c r="D281" t="n">
        <v>775308057</v>
      </c>
      <c r="E281" t="inlineStr">
        <is>
          <t>Приморский</t>
        </is>
      </c>
      <c r="F281" t="inlineStr">
        <is>
          <t>Суздальское шос.</t>
        </is>
      </c>
      <c r="G281" t="n">
        <v>173.7</v>
      </c>
      <c r="H281" t="inlineStr">
        <is>
          <t>49 869 270</t>
        </is>
      </c>
      <c r="I281" t="inlineStr"/>
      <c r="J281" t="inlineStr"/>
      <c r="K281" t="inlineStr"/>
      <c r="L281" t="inlineStr"/>
      <c r="M281" t="inlineStr"/>
      <c r="N281" t="inlineStr">
        <is>
          <t>yes</t>
        </is>
      </c>
      <c r="O281" t="inlineStr">
        <is>
          <t>pixel_heuristic</t>
        </is>
      </c>
      <c r="P281">
        <f>HYPERLINK("https://knru.ru/catalog/suzdalskoe-shos-775308057/","ссылка")</f>
        <v/>
      </c>
      <c r="Q281" t="inlineStr"/>
      <c r="R281" t="inlineStr">
        <is>
          <t>Нет у нас</t>
        </is>
      </c>
      <c r="S281" t="n">
        <v>0</v>
      </c>
      <c r="T281" t="inlineStr">
        <is>
          <t>Совпадений по улице+дому не найдено</t>
        </is>
      </c>
      <c r="U281" t="n">
        <v>341</v>
      </c>
      <c r="V281" t="n">
        <v>15</v>
      </c>
      <c r="W281" t="n">
        <v>5</v>
      </c>
      <c r="X281" t="n">
        <v>49869270</v>
      </c>
      <c r="Y281" t="inlineStr"/>
      <c r="Z281" t="inlineStr"/>
      <c r="AA281" t="inlineStr">
        <is>
          <t>https://knru.ru/catalog/suzdalskoe-shos-775308057/</t>
        </is>
      </c>
      <c r="AB281" t="inlineStr">
        <is>
          <t>B</t>
        </is>
      </c>
    </row>
    <row r="282">
      <c r="A282" t="n">
        <v>342</v>
      </c>
      <c r="B282" t="n">
        <v>15</v>
      </c>
      <c r="C282" t="n">
        <v>6</v>
      </c>
      <c r="D282" t="n">
        <v>459635400</v>
      </c>
      <c r="E282" t="inlineStr">
        <is>
          <t>Приморский</t>
        </is>
      </c>
      <c r="F282" t="inlineStr">
        <is>
          <t>Суздальское шос.</t>
        </is>
      </c>
      <c r="G282" t="n">
        <v>119.3</v>
      </c>
      <c r="H282" t="inlineStr">
        <is>
          <t>36 302 990</t>
        </is>
      </c>
      <c r="I282" t="inlineStr"/>
      <c r="J282" t="inlineStr"/>
      <c r="K282" t="inlineStr"/>
      <c r="L282" t="inlineStr"/>
      <c r="M282" t="inlineStr"/>
      <c r="N282" t="inlineStr">
        <is>
          <t>yes</t>
        </is>
      </c>
      <c r="O282" t="inlineStr">
        <is>
          <t>pixel_heuristic</t>
        </is>
      </c>
      <c r="P282">
        <f>HYPERLINK("https://knru.ru/catalog/suzdalskoe-shos-459635400/","ссылка")</f>
        <v/>
      </c>
      <c r="Q282" t="inlineStr"/>
      <c r="R282" t="inlineStr">
        <is>
          <t>Нет у нас</t>
        </is>
      </c>
      <c r="S282" t="n">
        <v>0</v>
      </c>
      <c r="T282" t="inlineStr">
        <is>
          <t>Совпадений по улице+дому не найдено</t>
        </is>
      </c>
      <c r="U282" t="n">
        <v>342</v>
      </c>
      <c r="V282" t="n">
        <v>15</v>
      </c>
      <c r="W282" t="n">
        <v>6</v>
      </c>
      <c r="X282" t="n">
        <v>36302990</v>
      </c>
      <c r="Y282" t="inlineStr"/>
      <c r="Z282" t="inlineStr"/>
      <c r="AA282" t="inlineStr">
        <is>
          <t>https://knru.ru/catalog/suzdalskoe-shos-459635400/</t>
        </is>
      </c>
      <c r="AB282" t="inlineStr">
        <is>
          <t>B</t>
        </is>
      </c>
    </row>
    <row r="283">
      <c r="A283" t="n">
        <v>343</v>
      </c>
      <c r="B283" t="n">
        <v>15</v>
      </c>
      <c r="C283" t="n">
        <v>7</v>
      </c>
      <c r="D283" t="inlineStr"/>
      <c r="E283" t="inlineStr"/>
      <c r="F283" t="inlineStr">
        <is>
          <t>Севастьянова ул., д. дом 34корпус1</t>
        </is>
      </c>
      <c r="G283" t="n">
        <v>120.3</v>
      </c>
      <c r="H283" t="inlineStr">
        <is>
          <t>19 616 055</t>
        </is>
      </c>
      <c r="I283" t="inlineStr"/>
      <c r="J283" t="inlineStr"/>
      <c r="K283" t="inlineStr"/>
      <c r="L283" t="inlineStr"/>
      <c r="M283" t="inlineStr"/>
      <c r="N283" t="inlineStr">
        <is>
          <t>yes</t>
        </is>
      </c>
      <c r="O283" t="inlineStr">
        <is>
          <t>pixel_heuristic</t>
        </is>
      </c>
      <c r="P283">
        <f>HYPERLINK("https://knru.ru/catalog/sevastyanova-ul-d-dom-34korpus1/","ссылка")</f>
        <v/>
      </c>
      <c r="Q283" t="inlineStr"/>
      <c r="R283" t="inlineStr">
        <is>
          <t>Нет у нас</t>
        </is>
      </c>
      <c r="S283" t="n">
        <v>0</v>
      </c>
      <c r="T283" t="inlineStr">
        <is>
          <t>Совпадений по улице+дому не найдено</t>
        </is>
      </c>
      <c r="U283" t="n">
        <v>343</v>
      </c>
      <c r="V283" t="n">
        <v>15</v>
      </c>
      <c r="W283" t="n">
        <v>7</v>
      </c>
      <c r="X283" t="n">
        <v>19616055</v>
      </c>
      <c r="Y283" t="inlineStr"/>
      <c r="Z283" t="inlineStr"/>
      <c r="AA283" t="inlineStr">
        <is>
          <t>https://knru.ru/catalog/sevastyanova-ul-d-dom-34korpus1/</t>
        </is>
      </c>
      <c r="AB283" t="inlineStr">
        <is>
          <t>B</t>
        </is>
      </c>
    </row>
    <row r="284">
      <c r="A284" t="n">
        <v>344</v>
      </c>
      <c r="B284" t="n">
        <v>15</v>
      </c>
      <c r="C284" t="n">
        <v>8</v>
      </c>
      <c r="D284" t="n">
        <v>1293291228</v>
      </c>
      <c r="E284" t="inlineStr">
        <is>
          <t>Центральный</t>
        </is>
      </c>
      <c r="F284" t="inlineStr">
        <is>
          <t>Лиговский пр., д. 127/А</t>
        </is>
      </c>
      <c r="G284" t="n">
        <v>70</v>
      </c>
      <c r="H284" t="inlineStr">
        <is>
          <t>26 610 801</t>
        </is>
      </c>
      <c r="I284" t="inlineStr"/>
      <c r="J284" t="inlineStr"/>
      <c r="K284" t="inlineStr"/>
      <c r="L284" t="inlineStr"/>
      <c r="M284" t="inlineStr"/>
      <c r="N284" t="inlineStr">
        <is>
          <t>yes</t>
        </is>
      </c>
      <c r="O284" t="inlineStr">
        <is>
          <t>pixel_heuristic</t>
        </is>
      </c>
      <c r="P284">
        <f>HYPERLINK("https://knru.ru/catalog/ligovskiy-pr-d-127-a-1293291228/","ссылка")</f>
        <v/>
      </c>
      <c r="Q284" t="inlineStr"/>
      <c r="R284" t="inlineStr">
        <is>
          <t>Нет у нас</t>
        </is>
      </c>
      <c r="S284" t="n">
        <v>0</v>
      </c>
      <c r="T284" t="inlineStr">
        <is>
          <t>Совпадений по улице+дому не найдено</t>
        </is>
      </c>
      <c r="U284" t="n">
        <v>344</v>
      </c>
      <c r="V284" t="n">
        <v>15</v>
      </c>
      <c r="W284" t="n">
        <v>8</v>
      </c>
      <c r="X284" t="n">
        <v>26610801</v>
      </c>
      <c r="Y284" t="inlineStr"/>
      <c r="Z284" t="inlineStr"/>
      <c r="AA284" t="inlineStr">
        <is>
          <t>https://knru.ru/catalog/ligovskiy-pr-d-127-a-1293291228/</t>
        </is>
      </c>
      <c r="AB284" t="inlineStr">
        <is>
          <t>B</t>
        </is>
      </c>
    </row>
    <row r="285">
      <c r="A285" t="n">
        <v>345</v>
      </c>
      <c r="B285" t="n">
        <v>15</v>
      </c>
      <c r="C285" t="n">
        <v>9</v>
      </c>
      <c r="D285" t="inlineStr"/>
      <c r="E285" t="inlineStr">
        <is>
          <t>Центральный</t>
        </is>
      </c>
      <c r="F285" t="inlineStr">
        <is>
          <t>Лиговский пр., д. 127/А</t>
        </is>
      </c>
      <c r="G285" t="n">
        <v>129.1</v>
      </c>
      <c r="H285" t="inlineStr">
        <is>
          <t>49 059 507</t>
        </is>
      </c>
      <c r="I285" t="inlineStr"/>
      <c r="J285" t="inlineStr"/>
      <c r="K285" t="inlineStr"/>
      <c r="L285" t="inlineStr"/>
      <c r="M285" t="inlineStr"/>
      <c r="N285" t="inlineStr">
        <is>
          <t>yes</t>
        </is>
      </c>
      <c r="O285" t="inlineStr">
        <is>
          <t>pixel_heuristic</t>
        </is>
      </c>
      <c r="P285">
        <f>HYPERLINK("https://knru.ru/catalog/ligovskiy-pr-d-127-a/","ссылка")</f>
        <v/>
      </c>
      <c r="Q285" t="inlineStr"/>
      <c r="R285" t="inlineStr">
        <is>
          <t>Нет у нас</t>
        </is>
      </c>
      <c r="S285" t="n">
        <v>0</v>
      </c>
      <c r="T285" t="inlineStr">
        <is>
          <t>Совпадений по улице+дому не найдено</t>
        </is>
      </c>
      <c r="U285" t="n">
        <v>345</v>
      </c>
      <c r="V285" t="n">
        <v>15</v>
      </c>
      <c r="W285" t="n">
        <v>9</v>
      </c>
      <c r="X285" t="n">
        <v>49059507</v>
      </c>
      <c r="Y285" t="inlineStr"/>
      <c r="Z285" t="inlineStr"/>
      <c r="AA285" t="inlineStr">
        <is>
          <t>https://knru.ru/catalog/ligovskiy-pr-d-127-a/</t>
        </is>
      </c>
      <c r="AB285" t="inlineStr">
        <is>
          <t>B</t>
        </is>
      </c>
    </row>
    <row r="286">
      <c r="A286" t="n">
        <v>346</v>
      </c>
      <c r="B286" t="n">
        <v>15</v>
      </c>
      <c r="C286" t="n">
        <v>10</v>
      </c>
      <c r="D286" t="n">
        <v>1</v>
      </c>
      <c r="E286" t="inlineStr">
        <is>
          <t>Центральный</t>
        </is>
      </c>
      <c r="F286" t="inlineStr">
        <is>
          <t>Херсонский прд., д. 6 стр.1</t>
        </is>
      </c>
      <c r="G286" t="n">
        <v>95.7</v>
      </c>
      <c r="H286" t="inlineStr">
        <is>
          <t>43 065 000</t>
        </is>
      </c>
      <c r="I286" t="inlineStr"/>
      <c r="J286" t="inlineStr"/>
      <c r="K286" t="inlineStr"/>
      <c r="L286" t="inlineStr"/>
      <c r="M286" t="inlineStr"/>
      <c r="N286" t="inlineStr">
        <is>
          <t>no</t>
        </is>
      </c>
      <c r="O286" t="inlineStr">
        <is>
          <t>none</t>
        </is>
      </c>
      <c r="P286">
        <f>HYPERLINK("https://knru.ru/catalog/khersonskiy-prd-d-6-str-1/","ссылка")</f>
        <v/>
      </c>
      <c r="Q286" t="inlineStr"/>
      <c r="R286" t="inlineStr">
        <is>
          <t>Нет у нас</t>
        </is>
      </c>
      <c r="S286" t="n">
        <v>0</v>
      </c>
      <c r="T286" t="inlineStr">
        <is>
          <t>Совпадений по улице+дому не найдено</t>
        </is>
      </c>
      <c r="U286" t="n">
        <v>346</v>
      </c>
      <c r="V286" t="n">
        <v>15</v>
      </c>
      <c r="W286" t="n">
        <v>10</v>
      </c>
      <c r="X286" t="n">
        <v>43065000</v>
      </c>
      <c r="Y286" t="inlineStr"/>
      <c r="Z286" t="inlineStr"/>
      <c r="AA286" t="inlineStr">
        <is>
          <t>https://knru.ru/catalog/khersonskiy-prd-d-6-str-1/</t>
        </is>
      </c>
      <c r="AB286" t="inlineStr">
        <is>
          <t>B</t>
        </is>
      </c>
    </row>
    <row r="287">
      <c r="A287" t="n">
        <v>358</v>
      </c>
      <c r="B287" t="n">
        <v>15</v>
      </c>
      <c r="C287" t="n">
        <v>22</v>
      </c>
      <c r="D287" t="n">
        <v>1</v>
      </c>
      <c r="E287" t="inlineStr"/>
      <c r="F287" t="inlineStr">
        <is>
          <t>Буденного пр., д. 24 к 3 стр 1</t>
        </is>
      </c>
      <c r="G287" t="n">
        <v>54.9</v>
      </c>
      <c r="H287" t="inlineStr">
        <is>
          <t>14 825 250</t>
        </is>
      </c>
      <c r="I287" t="inlineStr"/>
      <c r="J287" t="inlineStr"/>
      <c r="K287" t="inlineStr"/>
      <c r="L287" t="inlineStr"/>
      <c r="M287" t="inlineStr"/>
      <c r="N287" t="inlineStr">
        <is>
          <t>no</t>
        </is>
      </c>
      <c r="O287" t="inlineStr">
        <is>
          <t>none</t>
        </is>
      </c>
      <c r="P287">
        <f>HYPERLINK("https://knru.ru/catalog/budennogo-pr-d-24-k-3-str-1/","ссылка")</f>
        <v/>
      </c>
      <c r="Q287" t="inlineStr"/>
      <c r="R287" t="inlineStr">
        <is>
          <t>Нет у нас</t>
        </is>
      </c>
      <c r="S287" t="n">
        <v>0</v>
      </c>
      <c r="T287" t="inlineStr">
        <is>
          <t>Совпадений по улице+дому не найдено</t>
        </is>
      </c>
      <c r="U287" t="n">
        <v>358</v>
      </c>
      <c r="V287" t="n">
        <v>15</v>
      </c>
      <c r="W287" t="n">
        <v>22</v>
      </c>
      <c r="X287" t="n">
        <v>14825250</v>
      </c>
      <c r="Y287" t="inlineStr"/>
      <c r="Z287" t="inlineStr"/>
      <c r="AA287" t="inlineStr">
        <is>
          <t>https://knru.ru/catalog/budennogo-pr-d-24-k-3-str-1/</t>
        </is>
      </c>
      <c r="AB287" t="inlineStr">
        <is>
          <t>B</t>
        </is>
      </c>
    </row>
    <row r="288">
      <c r="A288" t="n">
        <v>359</v>
      </c>
      <c r="B288" t="n">
        <v>15</v>
      </c>
      <c r="C288" t="n">
        <v>23</v>
      </c>
      <c r="D288" t="n">
        <v>3</v>
      </c>
      <c r="E288" t="inlineStr">
        <is>
          <t>Красногвардейский</t>
        </is>
      </c>
      <c r="F288" t="inlineStr">
        <is>
          <t>Магнитогорская ул., д. 51/3</t>
        </is>
      </c>
      <c r="G288" t="n">
        <v>57.8</v>
      </c>
      <c r="H288" t="inlineStr">
        <is>
          <t>13 529 880</t>
        </is>
      </c>
      <c r="I288" t="inlineStr"/>
      <c r="J288" t="inlineStr"/>
      <c r="K288" t="inlineStr"/>
      <c r="L288" t="inlineStr"/>
      <c r="M288" t="inlineStr"/>
      <c r="N288" t="inlineStr">
        <is>
          <t>yes</t>
        </is>
      </c>
      <c r="O288" t="inlineStr">
        <is>
          <t>pixel_heuristic</t>
        </is>
      </c>
      <c r="P288">
        <f>HYPERLINK("https://knru.ru/catalog/magnitogorskaya-ul-d-51-3/","ссылка")</f>
        <v/>
      </c>
      <c r="Q288" t="inlineStr"/>
      <c r="R288" t="inlineStr">
        <is>
          <t>Нет у нас</t>
        </is>
      </c>
      <c r="S288" t="n">
        <v>0</v>
      </c>
      <c r="T288" t="inlineStr">
        <is>
          <t>Совпадений по улице+дому не найдено</t>
        </is>
      </c>
      <c r="U288" t="n">
        <v>359</v>
      </c>
      <c r="V288" t="n">
        <v>15</v>
      </c>
      <c r="W288" t="n">
        <v>23</v>
      </c>
      <c r="X288" t="n">
        <v>13529880</v>
      </c>
      <c r="Y288" t="inlineStr"/>
      <c r="Z288" t="inlineStr"/>
      <c r="AA288" t="inlineStr">
        <is>
          <t>https://knru.ru/catalog/magnitogorskaya-ul-d-51-3/</t>
        </is>
      </c>
      <c r="AB288" t="inlineStr">
        <is>
          <t>B</t>
        </is>
      </c>
    </row>
    <row r="289">
      <c r="A289" t="n">
        <v>360</v>
      </c>
      <c r="B289" t="n">
        <v>15</v>
      </c>
      <c r="C289" t="n">
        <v>24</v>
      </c>
      <c r="D289" t="n">
        <v>1464437904</v>
      </c>
      <c r="E289" t="inlineStr"/>
      <c r="F289" t="inlineStr">
        <is>
          <t>Ленсоветовский тер. мкр., д. дом 19корпус2</t>
        </is>
      </c>
      <c r="G289" t="n">
        <v>144</v>
      </c>
      <c r="H289" t="inlineStr">
        <is>
          <t>18 140 880</t>
        </is>
      </c>
      <c r="I289" t="inlineStr"/>
      <c r="J289" t="inlineStr"/>
      <c r="K289" t="inlineStr"/>
      <c r="L289" t="inlineStr"/>
      <c r="M289" t="inlineStr"/>
      <c r="N289" t="inlineStr">
        <is>
          <t>no</t>
        </is>
      </c>
      <c r="O289" t="inlineStr">
        <is>
          <t>none</t>
        </is>
      </c>
      <c r="P289">
        <f>HYPERLINK("https://knru.ru/catalog/lensovetovskiy-ter-mkr-d-dom-19korpus2-1464437904/","ссылка")</f>
        <v/>
      </c>
      <c r="Q289" t="inlineStr"/>
      <c r="R289" t="inlineStr">
        <is>
          <t>Нет у нас</t>
        </is>
      </c>
      <c r="S289" t="n">
        <v>0</v>
      </c>
      <c r="T289" t="inlineStr">
        <is>
          <t>Совпадений по улице+дому не найдено</t>
        </is>
      </c>
      <c r="U289" t="n">
        <v>360</v>
      </c>
      <c r="V289" t="n">
        <v>15</v>
      </c>
      <c r="W289" t="n">
        <v>24</v>
      </c>
      <c r="X289" t="n">
        <v>18140880</v>
      </c>
      <c r="Y289" t="inlineStr"/>
      <c r="Z289" t="inlineStr"/>
      <c r="AA289" t="inlineStr">
        <is>
          <t>https://knru.ru/catalog/lensovetovskiy-ter-mkr-d-dom-19korpus2-1464437904/</t>
        </is>
      </c>
      <c r="AB289" t="inlineStr">
        <is>
          <t>B</t>
        </is>
      </c>
    </row>
    <row r="290">
      <c r="A290" t="n">
        <v>361</v>
      </c>
      <c r="B290" t="n">
        <v>16</v>
      </c>
      <c r="C290" t="n">
        <v>1</v>
      </c>
      <c r="D290" t="n">
        <v>942839775</v>
      </c>
      <c r="E290" t="inlineStr"/>
      <c r="F290" t="inlineStr">
        <is>
          <t>Ленсоветовский тер. мкр., д. дом 19корпус2</t>
        </is>
      </c>
      <c r="G290" t="n">
        <v>128.3</v>
      </c>
      <c r="H290" t="inlineStr">
        <is>
          <t>16 165 800</t>
        </is>
      </c>
      <c r="I290" t="inlineStr"/>
      <c r="J290" t="inlineStr"/>
      <c r="K290" t="inlineStr"/>
      <c r="L290" t="inlineStr"/>
      <c r="M290" t="inlineStr"/>
      <c r="N290" t="inlineStr">
        <is>
          <t>no</t>
        </is>
      </c>
      <c r="O290" t="inlineStr">
        <is>
          <t>none</t>
        </is>
      </c>
      <c r="P290">
        <f>HYPERLINK("https://knru.ru/catalog/lensovetovskiy-ter-mkr-d-dom-19korpus2-942839775/","ссылка")</f>
        <v/>
      </c>
      <c r="Q290" t="inlineStr"/>
      <c r="R290" t="inlineStr">
        <is>
          <t>Нет у нас</t>
        </is>
      </c>
      <c r="S290" t="n">
        <v>0</v>
      </c>
      <c r="T290" t="inlineStr">
        <is>
          <t>Совпадений по улице+дому не найдено</t>
        </is>
      </c>
      <c r="U290" t="n">
        <v>361</v>
      </c>
      <c r="V290" t="n">
        <v>16</v>
      </c>
      <c r="W290" t="n">
        <v>1</v>
      </c>
      <c r="X290" t="n">
        <v>16165800</v>
      </c>
      <c r="Y290" t="inlineStr"/>
      <c r="Z290" t="inlineStr"/>
      <c r="AA290" t="inlineStr">
        <is>
          <t>https://knru.ru/catalog/lensovetovskiy-ter-mkr-d-dom-19korpus2-942839775/</t>
        </is>
      </c>
      <c r="AB290" t="inlineStr">
        <is>
          <t>B</t>
        </is>
      </c>
    </row>
    <row r="291">
      <c r="A291" t="n">
        <v>362</v>
      </c>
      <c r="B291" t="n">
        <v>16</v>
      </c>
      <c r="C291" t="n">
        <v>2</v>
      </c>
      <c r="D291" t="n">
        <v>2113306632</v>
      </c>
      <c r="E291" t="inlineStr"/>
      <c r="F291" t="inlineStr">
        <is>
          <t>Ленсоветовский тер. мкр., д. дом 19корпус2</t>
        </is>
      </c>
      <c r="G291" t="n">
        <v>111.8</v>
      </c>
      <c r="H291" t="inlineStr">
        <is>
          <t>14 086 800</t>
        </is>
      </c>
      <c r="I291" t="inlineStr"/>
      <c r="J291" t="inlineStr"/>
      <c r="K291" t="inlineStr"/>
      <c r="L291" t="inlineStr"/>
      <c r="M291" t="inlineStr"/>
      <c r="N291" t="inlineStr">
        <is>
          <t>no</t>
        </is>
      </c>
      <c r="O291" t="inlineStr">
        <is>
          <t>none</t>
        </is>
      </c>
      <c r="P291">
        <f>HYPERLINK("https://knru.ru/catalog/lensovetovskiy-ter-mkr-d-dom-19korpus2-2113306632/","ссылка")</f>
        <v/>
      </c>
      <c r="Q291" t="inlineStr"/>
      <c r="R291" t="inlineStr">
        <is>
          <t>Нет у нас</t>
        </is>
      </c>
      <c r="S291" t="n">
        <v>0</v>
      </c>
      <c r="T291" t="inlineStr">
        <is>
          <t>Совпадений по улице+дому не найдено</t>
        </is>
      </c>
      <c r="U291" t="n">
        <v>362</v>
      </c>
      <c r="V291" t="n">
        <v>16</v>
      </c>
      <c r="W291" t="n">
        <v>2</v>
      </c>
      <c r="X291" t="n">
        <v>14086800</v>
      </c>
      <c r="Y291" t="inlineStr"/>
      <c r="Z291" t="inlineStr"/>
      <c r="AA291" t="inlineStr">
        <is>
          <t>https://knru.ru/catalog/lensovetovskiy-ter-mkr-d-dom-19korpus2-2113306632/</t>
        </is>
      </c>
      <c r="AB291" t="inlineStr">
        <is>
          <t>B</t>
        </is>
      </c>
    </row>
    <row r="292">
      <c r="A292" t="n">
        <v>363</v>
      </c>
      <c r="B292" t="n">
        <v>16</v>
      </c>
      <c r="C292" t="n">
        <v>3</v>
      </c>
      <c r="D292" t="n">
        <v>1687220736</v>
      </c>
      <c r="E292" t="inlineStr"/>
      <c r="F292" t="inlineStr">
        <is>
          <t>Ленсоветовский тер. мкр., д. дом 19корпус2</t>
        </is>
      </c>
      <c r="G292" t="n">
        <v>96.5</v>
      </c>
      <c r="H292" t="inlineStr">
        <is>
          <t>12 159 000</t>
        </is>
      </c>
      <c r="I292" t="inlineStr"/>
      <c r="J292" t="inlineStr"/>
      <c r="K292" t="inlineStr"/>
      <c r="L292" t="inlineStr"/>
      <c r="M292" t="inlineStr"/>
      <c r="N292" t="inlineStr">
        <is>
          <t>no</t>
        </is>
      </c>
      <c r="O292" t="inlineStr">
        <is>
          <t>none</t>
        </is>
      </c>
      <c r="P292">
        <f>HYPERLINK("https://knru.ru/catalog/lensovetovskiy-ter-mkr-d-dom-19korpus2-1687220736/","ссылка")</f>
        <v/>
      </c>
      <c r="Q292" t="inlineStr"/>
      <c r="R292" t="inlineStr">
        <is>
          <t>Нет у нас</t>
        </is>
      </c>
      <c r="S292" t="n">
        <v>0</v>
      </c>
      <c r="T292" t="inlineStr">
        <is>
          <t>Совпадений по улице+дому не найдено</t>
        </is>
      </c>
      <c r="U292" t="n">
        <v>363</v>
      </c>
      <c r="V292" t="n">
        <v>16</v>
      </c>
      <c r="W292" t="n">
        <v>3</v>
      </c>
      <c r="X292" t="n">
        <v>12159000</v>
      </c>
      <c r="Y292" t="inlineStr"/>
      <c r="Z292" t="inlineStr"/>
      <c r="AA292" t="inlineStr">
        <is>
          <t>https://knru.ru/catalog/lensovetovskiy-ter-mkr-d-dom-19korpus2-1687220736/</t>
        </is>
      </c>
      <c r="AB292" t="inlineStr">
        <is>
          <t>B</t>
        </is>
      </c>
    </row>
    <row r="293">
      <c r="A293" t="n">
        <v>364</v>
      </c>
      <c r="B293" t="n">
        <v>16</v>
      </c>
      <c r="C293" t="n">
        <v>4</v>
      </c>
      <c r="D293" t="n">
        <v>414198868</v>
      </c>
      <c r="E293" t="inlineStr"/>
      <c r="F293" t="inlineStr">
        <is>
          <t>Ленсоветовский тер. мкр., д. дом 19корпус2</t>
        </is>
      </c>
      <c r="G293" t="n">
        <v>57.7</v>
      </c>
      <c r="H293" t="inlineStr">
        <is>
          <t>4 962 200</t>
        </is>
      </c>
      <c r="I293" t="inlineStr"/>
      <c r="J293" t="inlineStr"/>
      <c r="K293" t="inlineStr"/>
      <c r="L293" t="inlineStr"/>
      <c r="M293" t="inlineStr"/>
      <c r="N293" t="inlineStr">
        <is>
          <t>no</t>
        </is>
      </c>
      <c r="O293" t="inlineStr">
        <is>
          <t>none</t>
        </is>
      </c>
      <c r="P293">
        <f>HYPERLINK("https://knru.ru/catalog/lensovetovskiy-ter-mkr-d-dom-19korpus2-414198868/","ссылка")</f>
        <v/>
      </c>
      <c r="Q293" t="inlineStr"/>
      <c r="R293" t="inlineStr">
        <is>
          <t>Нет у нас</t>
        </is>
      </c>
      <c r="S293" t="n">
        <v>0</v>
      </c>
      <c r="T293" t="inlineStr">
        <is>
          <t>Совпадений по улице+дому не найдено</t>
        </is>
      </c>
      <c r="U293" t="n">
        <v>364</v>
      </c>
      <c r="V293" t="n">
        <v>16</v>
      </c>
      <c r="W293" t="n">
        <v>4</v>
      </c>
      <c r="X293" t="n">
        <v>4962200</v>
      </c>
      <c r="Y293" t="inlineStr"/>
      <c r="Z293" t="inlineStr"/>
      <c r="AA293" t="inlineStr">
        <is>
          <t>https://knru.ru/catalog/lensovetovskiy-ter-mkr-d-dom-19korpus2-414198868/</t>
        </is>
      </c>
      <c r="AB293" t="inlineStr">
        <is>
          <t>B</t>
        </is>
      </c>
    </row>
    <row r="294">
      <c r="A294" t="n">
        <v>365</v>
      </c>
      <c r="B294" t="n">
        <v>16</v>
      </c>
      <c r="C294" t="n">
        <v>5</v>
      </c>
      <c r="D294" t="inlineStr"/>
      <c r="E294" t="inlineStr"/>
      <c r="F294" t="inlineStr">
        <is>
          <t>Ленсоветовский тер. мкр., д. дом 19корпус2</t>
        </is>
      </c>
      <c r="G294" t="n">
        <v>46.4</v>
      </c>
      <c r="H294" t="inlineStr">
        <is>
          <t>3 990 400</t>
        </is>
      </c>
      <c r="I294" t="inlineStr"/>
      <c r="J294" t="inlineStr"/>
      <c r="K294" t="inlineStr"/>
      <c r="L294" t="inlineStr"/>
      <c r="M294" t="inlineStr"/>
      <c r="N294" t="inlineStr">
        <is>
          <t>no</t>
        </is>
      </c>
      <c r="O294" t="inlineStr">
        <is>
          <t>none</t>
        </is>
      </c>
      <c r="P294">
        <f>HYPERLINK("https://knru.ru/catalog/lensovetovskiy-ter-mkr-d-dom-19korpus2/","ссылка")</f>
        <v/>
      </c>
      <c r="Q294" t="inlineStr"/>
      <c r="R294" t="inlineStr">
        <is>
          <t>Нет у нас</t>
        </is>
      </c>
      <c r="S294" t="n">
        <v>0</v>
      </c>
      <c r="T294" t="inlineStr">
        <is>
          <t>Совпадений по улице+дому не найдено</t>
        </is>
      </c>
      <c r="U294" t="n">
        <v>365</v>
      </c>
      <c r="V294" t="n">
        <v>16</v>
      </c>
      <c r="W294" t="n">
        <v>5</v>
      </c>
      <c r="X294" t="n">
        <v>3990400</v>
      </c>
      <c r="Y294" t="inlineStr"/>
      <c r="Z294" t="inlineStr"/>
      <c r="AA294" t="inlineStr">
        <is>
          <t>https://knru.ru/catalog/lensovetovskiy-ter-mkr-d-dom-19korpus2/</t>
        </is>
      </c>
      <c r="AB294" t="inlineStr">
        <is>
          <t>B</t>
        </is>
      </c>
    </row>
    <row r="295">
      <c r="A295" t="n">
        <v>366</v>
      </c>
      <c r="B295" t="n">
        <v>16</v>
      </c>
      <c r="C295" t="n">
        <v>6</v>
      </c>
      <c r="D295" t="n">
        <v>1707299203</v>
      </c>
      <c r="E295" t="inlineStr"/>
      <c r="F295" t="inlineStr">
        <is>
          <t>Буденного пр., д. 24 к 2 стр 1</t>
        </is>
      </c>
      <c r="G295" t="n">
        <v>70.40000000000001</v>
      </c>
      <c r="H295" t="inlineStr">
        <is>
          <t>21 045 000</t>
        </is>
      </c>
      <c r="I295" t="inlineStr"/>
      <c r="J295" t="inlineStr"/>
      <c r="K295" t="inlineStr"/>
      <c r="L295" t="inlineStr"/>
      <c r="M295" t="inlineStr"/>
      <c r="N295" t="inlineStr">
        <is>
          <t>no</t>
        </is>
      </c>
      <c r="O295" t="inlineStr">
        <is>
          <t>none</t>
        </is>
      </c>
      <c r="P295">
        <f>HYPERLINK("https://knru.ru/catalog/budennogo-pr-d-24-k-2-str-1-1707299203/","ссылка")</f>
        <v/>
      </c>
      <c r="Q295" t="inlineStr"/>
      <c r="R295" t="inlineStr">
        <is>
          <t>Нет у нас</t>
        </is>
      </c>
      <c r="S295" t="n">
        <v>0</v>
      </c>
      <c r="T295" t="inlineStr">
        <is>
          <t>Совпадений по улице+дому не найдено</t>
        </is>
      </c>
      <c r="U295" t="n">
        <v>366</v>
      </c>
      <c r="V295" t="n">
        <v>16</v>
      </c>
      <c r="W295" t="n">
        <v>6</v>
      </c>
      <c r="X295" t="n">
        <v>21045000</v>
      </c>
      <c r="Y295" t="inlineStr"/>
      <c r="Z295" t="inlineStr"/>
      <c r="AA295" t="inlineStr">
        <is>
          <t>https://knru.ru/catalog/budennogo-pr-d-24-k-2-str-1-1707299203/</t>
        </is>
      </c>
      <c r="AB295" t="inlineStr">
        <is>
          <t>B</t>
        </is>
      </c>
    </row>
    <row r="296">
      <c r="A296" t="n">
        <v>367</v>
      </c>
      <c r="B296" t="n">
        <v>16</v>
      </c>
      <c r="C296" t="n">
        <v>7</v>
      </c>
      <c r="D296" t="n">
        <v>1720258633</v>
      </c>
      <c r="E296" t="inlineStr"/>
      <c r="F296" t="inlineStr">
        <is>
          <t>Буденного пр., д. 24 к 2 стр 1</t>
        </is>
      </c>
      <c r="G296" t="n">
        <v>100.5</v>
      </c>
      <c r="H296" t="inlineStr">
        <is>
          <t>26 989 200</t>
        </is>
      </c>
      <c r="I296" t="inlineStr"/>
      <c r="J296" t="inlineStr"/>
      <c r="K296" t="inlineStr"/>
      <c r="L296" t="inlineStr"/>
      <c r="M296" t="inlineStr"/>
      <c r="N296" t="inlineStr">
        <is>
          <t>no</t>
        </is>
      </c>
      <c r="O296" t="inlineStr">
        <is>
          <t>none</t>
        </is>
      </c>
      <c r="P296">
        <f>HYPERLINK("https://knru.ru/catalog/budennogo-pr-d-24-k-2-str-1-1720258633/","ссылка")</f>
        <v/>
      </c>
      <c r="Q296" t="inlineStr"/>
      <c r="R296" t="inlineStr">
        <is>
          <t>Нет у нас</t>
        </is>
      </c>
      <c r="S296" t="n">
        <v>0</v>
      </c>
      <c r="T296" t="inlineStr">
        <is>
          <t>Совпадений по улице+дому не найдено</t>
        </is>
      </c>
      <c r="U296" t="n">
        <v>367</v>
      </c>
      <c r="V296" t="n">
        <v>16</v>
      </c>
      <c r="W296" t="n">
        <v>7</v>
      </c>
      <c r="X296" t="n">
        <v>26989200</v>
      </c>
      <c r="Y296" t="inlineStr"/>
      <c r="Z296" t="inlineStr"/>
      <c r="AA296" t="inlineStr">
        <is>
          <t>https://knru.ru/catalog/budennogo-pr-d-24-k-2-str-1-1720258633/</t>
        </is>
      </c>
      <c r="AB296" t="inlineStr">
        <is>
          <t>B</t>
        </is>
      </c>
    </row>
    <row r="297">
      <c r="A297" t="n">
        <v>368</v>
      </c>
      <c r="B297" t="n">
        <v>16</v>
      </c>
      <c r="C297" t="n">
        <v>8</v>
      </c>
      <c r="D297" t="n">
        <v>1</v>
      </c>
      <c r="E297" t="inlineStr"/>
      <c r="F297" t="inlineStr">
        <is>
          <t>Буденного пр., д. 24 к 2 стр 1</t>
        </is>
      </c>
      <c r="G297" t="n">
        <v>57</v>
      </c>
      <c r="H297" t="inlineStr">
        <is>
          <t>18 089 600</t>
        </is>
      </c>
      <c r="I297" t="inlineStr"/>
      <c r="J297" t="inlineStr"/>
      <c r="K297" t="inlineStr"/>
      <c r="L297" t="inlineStr"/>
      <c r="M297" t="inlineStr"/>
      <c r="N297" t="inlineStr">
        <is>
          <t>no</t>
        </is>
      </c>
      <c r="O297" t="inlineStr">
        <is>
          <t>none</t>
        </is>
      </c>
      <c r="P297">
        <f>HYPERLINK("https://knru.ru/catalog/budennogo-pr-d-24-k-2-str-1/","ссылка")</f>
        <v/>
      </c>
      <c r="Q297" t="inlineStr"/>
      <c r="R297" t="inlineStr">
        <is>
          <t>Нет у нас</t>
        </is>
      </c>
      <c r="S297" t="n">
        <v>0</v>
      </c>
      <c r="T297" t="inlineStr">
        <is>
          <t>Совпадений по улице+дому не найдено</t>
        </is>
      </c>
      <c r="U297" t="n">
        <v>368</v>
      </c>
      <c r="V297" t="n">
        <v>16</v>
      </c>
      <c r="W297" t="n">
        <v>8</v>
      </c>
      <c r="X297" t="n">
        <v>18089600</v>
      </c>
      <c r="Y297" t="inlineStr"/>
      <c r="Z297" t="inlineStr"/>
      <c r="AA297" t="inlineStr">
        <is>
          <t>https://knru.ru/catalog/budennogo-pr-d-24-k-2-str-1/</t>
        </is>
      </c>
      <c r="AB297" t="inlineStr">
        <is>
          <t>B</t>
        </is>
      </c>
    </row>
    <row r="298">
      <c r="A298" t="n">
        <v>369</v>
      </c>
      <c r="B298" t="n">
        <v>16</v>
      </c>
      <c r="C298" t="n">
        <v>9</v>
      </c>
      <c r="D298" t="inlineStr"/>
      <c r="E298" t="inlineStr">
        <is>
          <t>Приморский</t>
        </is>
      </c>
      <c r="F298" t="inlineStr">
        <is>
          <t>Суздальское шос.</t>
        </is>
      </c>
      <c r="G298" t="n">
        <v>71.90000000000001</v>
      </c>
      <c r="H298" t="inlineStr">
        <is>
          <t>19 865 970</t>
        </is>
      </c>
      <c r="I298" t="inlineStr"/>
      <c r="J298" t="inlineStr"/>
      <c r="K298" t="inlineStr"/>
      <c r="L298" t="inlineStr"/>
      <c r="M298" t="inlineStr"/>
      <c r="N298" t="inlineStr">
        <is>
          <t>yes</t>
        </is>
      </c>
      <c r="O298" t="inlineStr">
        <is>
          <t>pixel_heuristic</t>
        </is>
      </c>
      <c r="P298">
        <f>HYPERLINK("https://knru.ru/catalog/suzdalskoe-shos/","ссылка")</f>
        <v/>
      </c>
      <c r="Q298" t="inlineStr"/>
      <c r="R298" t="inlineStr">
        <is>
          <t>Нет у нас</t>
        </is>
      </c>
      <c r="S298" t="n">
        <v>0</v>
      </c>
      <c r="T298" t="inlineStr">
        <is>
          <t>Совпадений по улице+дому не найдено</t>
        </is>
      </c>
      <c r="U298" t="n">
        <v>369</v>
      </c>
      <c r="V298" t="n">
        <v>16</v>
      </c>
      <c r="W298" t="n">
        <v>9</v>
      </c>
      <c r="X298" t="n">
        <v>19865970</v>
      </c>
      <c r="Y298" t="inlineStr"/>
      <c r="Z298" t="inlineStr"/>
      <c r="AA298" t="inlineStr">
        <is>
          <t>https://knru.ru/catalog/suzdalskoe-shos/</t>
        </is>
      </c>
      <c r="AB298" t="inlineStr">
        <is>
          <t>B</t>
        </is>
      </c>
    </row>
    <row r="299">
      <c r="A299" t="n">
        <v>370</v>
      </c>
      <c r="B299" t="n">
        <v>16</v>
      </c>
      <c r="C299" t="n">
        <v>10</v>
      </c>
      <c r="D299" t="n">
        <v>1485276014</v>
      </c>
      <c r="E299" t="inlineStr">
        <is>
          <t>Красногвардейский</t>
        </is>
      </c>
      <c r="F299" t="inlineStr">
        <is>
          <t>Помяловского ул., д. 3 стр. 1/А</t>
        </is>
      </c>
      <c r="G299" t="n">
        <v>68.90000000000001</v>
      </c>
      <c r="H299" t="inlineStr">
        <is>
          <t>21 496 800</t>
        </is>
      </c>
      <c r="I299" t="inlineStr"/>
      <c r="J299" t="inlineStr"/>
      <c r="K299" t="inlineStr"/>
      <c r="L299" t="inlineStr"/>
      <c r="M299" t="inlineStr"/>
      <c r="N299" t="inlineStr">
        <is>
          <t>yes</t>
        </is>
      </c>
      <c r="O299" t="inlineStr">
        <is>
          <t>pixel_heuristic</t>
        </is>
      </c>
      <c r="P299">
        <f>HYPERLINK("https://knru.ru/catalog/pomyalovskogo-ul-d-3-str-1-a-1485276014/","ссылка")</f>
        <v/>
      </c>
      <c r="Q299" t="inlineStr"/>
      <c r="R299" t="inlineStr">
        <is>
          <t>Нет у нас</t>
        </is>
      </c>
      <c r="S299" t="n">
        <v>0</v>
      </c>
      <c r="T299" t="inlineStr">
        <is>
          <t>Совпадений по улице+дому не найдено</t>
        </is>
      </c>
      <c r="U299" t="n">
        <v>370</v>
      </c>
      <c r="V299" t="n">
        <v>16</v>
      </c>
      <c r="W299" t="n">
        <v>10</v>
      </c>
      <c r="X299" t="n">
        <v>21496800</v>
      </c>
      <c r="Y299" t="inlineStr"/>
      <c r="Z299" t="inlineStr"/>
      <c r="AA299" t="inlineStr">
        <is>
          <t>https://knru.ru/catalog/pomyalovskogo-ul-d-3-str-1-a-1485276014/</t>
        </is>
      </c>
      <c r="AB299" t="inlineStr">
        <is>
          <t>B</t>
        </is>
      </c>
    </row>
    <row r="300">
      <c r="A300" t="n">
        <v>371</v>
      </c>
      <c r="B300" t="n">
        <v>16</v>
      </c>
      <c r="C300" t="n">
        <v>11</v>
      </c>
      <c r="D300" t="inlineStr"/>
      <c r="E300" t="inlineStr">
        <is>
          <t>Красногвардейский</t>
        </is>
      </c>
      <c r="F300" t="inlineStr">
        <is>
          <t>Помяловского ул., д. 3 стр. 1/А</t>
        </is>
      </c>
      <c r="G300" t="n">
        <v>88.3</v>
      </c>
      <c r="H300" t="inlineStr">
        <is>
          <t>27 196 400</t>
        </is>
      </c>
      <c r="I300" t="inlineStr"/>
      <c r="J300" t="inlineStr"/>
      <c r="K300" t="inlineStr"/>
      <c r="L300" t="inlineStr"/>
      <c r="M300" t="inlineStr"/>
      <c r="N300" t="inlineStr">
        <is>
          <t>yes</t>
        </is>
      </c>
      <c r="O300" t="inlineStr">
        <is>
          <t>pixel_heuristic</t>
        </is>
      </c>
      <c r="P300">
        <f>HYPERLINK("https://knru.ru/catalog/pomyalovskogo-ul-d-3-str-1-a/","ссылка")</f>
        <v/>
      </c>
      <c r="Q300" t="inlineStr"/>
      <c r="R300" t="inlineStr">
        <is>
          <t>Нет у нас</t>
        </is>
      </c>
      <c r="S300" t="n">
        <v>0</v>
      </c>
      <c r="T300" t="inlineStr">
        <is>
          <t>Совпадений по улице+дому не найдено</t>
        </is>
      </c>
      <c r="U300" t="n">
        <v>371</v>
      </c>
      <c r="V300" t="n">
        <v>16</v>
      </c>
      <c r="W300" t="n">
        <v>11</v>
      </c>
      <c r="X300" t="n">
        <v>27196400</v>
      </c>
      <c r="Y300" t="inlineStr"/>
      <c r="Z300" t="inlineStr"/>
      <c r="AA300" t="inlineStr">
        <is>
          <t>https://knru.ru/catalog/pomyalovskogo-ul-d-3-str-1-a/</t>
        </is>
      </c>
      <c r="AB300" t="inlineStr">
        <is>
          <t>B</t>
        </is>
      </c>
    </row>
    <row r="301">
      <c r="A301" t="n">
        <v>372</v>
      </c>
      <c r="B301" t="n">
        <v>16</v>
      </c>
      <c r="C301" t="n">
        <v>12</v>
      </c>
      <c r="D301" t="inlineStr"/>
      <c r="E301" t="inlineStr">
        <is>
          <t>Московский</t>
        </is>
      </c>
      <c r="F301" t="inlineStr">
        <is>
          <t>Московский пр., д. 183-185/А</t>
        </is>
      </c>
      <c r="G301" t="n">
        <v>195.8</v>
      </c>
      <c r="H301" t="inlineStr">
        <is>
          <t>51 529 884</t>
        </is>
      </c>
      <c r="I301" t="inlineStr"/>
      <c r="J301" t="inlineStr"/>
      <c r="K301" t="inlineStr"/>
      <c r="L301" t="inlineStr"/>
      <c r="M301" t="inlineStr"/>
      <c r="N301" t="inlineStr">
        <is>
          <t>no</t>
        </is>
      </c>
      <c r="O301" t="inlineStr">
        <is>
          <t>none</t>
        </is>
      </c>
      <c r="P301">
        <f>HYPERLINK("https://knru.ru/catalog/moskovskiy-pr-d-183-185-a/","ссылка")</f>
        <v/>
      </c>
      <c r="Q301" t="inlineStr"/>
      <c r="R301" t="inlineStr">
        <is>
          <t>Нет у нас</t>
        </is>
      </c>
      <c r="S301" t="n">
        <v>0</v>
      </c>
      <c r="T301" t="inlineStr">
        <is>
          <t>Совпадений по улице+дому не найдено</t>
        </is>
      </c>
      <c r="U301" t="n">
        <v>372</v>
      </c>
      <c r="V301" t="n">
        <v>16</v>
      </c>
      <c r="W301" t="n">
        <v>12</v>
      </c>
      <c r="X301" t="n">
        <v>51529884</v>
      </c>
      <c r="Y301" t="inlineStr"/>
      <c r="Z301" t="inlineStr"/>
      <c r="AA301" t="inlineStr">
        <is>
          <t>https://knru.ru/catalog/moskovskiy-pr-d-183-185-a/</t>
        </is>
      </c>
      <c r="AB301" t="inlineStr">
        <is>
          <t>B</t>
        </is>
      </c>
    </row>
    <row r="302">
      <c r="A302" t="n">
        <v>373</v>
      </c>
      <c r="B302" t="n">
        <v>16</v>
      </c>
      <c r="C302" t="n">
        <v>13</v>
      </c>
      <c r="D302" t="n">
        <v>1645498248</v>
      </c>
      <c r="E302" t="inlineStr">
        <is>
          <t>Выборгский</t>
        </is>
      </c>
      <c r="F302" t="inlineStr">
        <is>
          <t>Руднева ул., д. 18/1</t>
        </is>
      </c>
      <c r="G302" t="n">
        <v>272.3</v>
      </c>
      <c r="H302" t="inlineStr">
        <is>
          <t>48 788 993</t>
        </is>
      </c>
      <c r="I302" t="inlineStr"/>
      <c r="J302" t="inlineStr"/>
      <c r="K302" t="inlineStr"/>
      <c r="L302" t="inlineStr"/>
      <c r="M302" t="inlineStr"/>
      <c r="N302" t="inlineStr">
        <is>
          <t>yes</t>
        </is>
      </c>
      <c r="O302" t="inlineStr">
        <is>
          <t>pixel_heuristic</t>
        </is>
      </c>
      <c r="P302">
        <f>HYPERLINK("https://knru.ru/catalog/rudneva-ul-d-18-1-1645498248/","ссылка")</f>
        <v/>
      </c>
      <c r="Q302" t="inlineStr"/>
      <c r="R302" t="inlineStr">
        <is>
          <t>Нет у нас</t>
        </is>
      </c>
      <c r="S302" t="n">
        <v>0</v>
      </c>
      <c r="T302" t="inlineStr">
        <is>
          <t>Совпадений по улице+дому не найдено</t>
        </is>
      </c>
      <c r="U302" t="n">
        <v>373</v>
      </c>
      <c r="V302" t="n">
        <v>16</v>
      </c>
      <c r="W302" t="n">
        <v>13</v>
      </c>
      <c r="X302" t="n">
        <v>48788993</v>
      </c>
      <c r="Y302" t="inlineStr"/>
      <c r="Z302" t="inlineStr"/>
      <c r="AA302" t="inlineStr">
        <is>
          <t>https://knru.ru/catalog/rudneva-ul-d-18-1-1645498248/</t>
        </is>
      </c>
      <c r="AB302" t="inlineStr">
        <is>
          <t>B</t>
        </is>
      </c>
    </row>
    <row r="303">
      <c r="A303" t="n">
        <v>374</v>
      </c>
      <c r="B303" t="n">
        <v>16</v>
      </c>
      <c r="C303" t="n">
        <v>14</v>
      </c>
      <c r="D303" t="n">
        <v>2127675574</v>
      </c>
      <c r="E303" t="inlineStr">
        <is>
          <t>Выборгский</t>
        </is>
      </c>
      <c r="F303" t="inlineStr">
        <is>
          <t>Руднева ул., д. 18/1</t>
        </is>
      </c>
      <c r="G303" t="n">
        <v>381.2</v>
      </c>
      <c r="H303" t="inlineStr">
        <is>
          <t>59 958 810</t>
        </is>
      </c>
      <c r="I303" t="inlineStr"/>
      <c r="J303" t="inlineStr"/>
      <c r="K303" t="inlineStr"/>
      <c r="L303" t="inlineStr"/>
      <c r="M303" t="inlineStr"/>
      <c r="N303" t="inlineStr">
        <is>
          <t>no</t>
        </is>
      </c>
      <c r="O303" t="inlineStr">
        <is>
          <t>none</t>
        </is>
      </c>
      <c r="P303">
        <f>HYPERLINK("https://knru.ru/catalog/rudneva-ul-d-18-1-2127675574/","ссылка")</f>
        <v/>
      </c>
      <c r="Q303" t="inlineStr"/>
      <c r="R303" t="inlineStr">
        <is>
          <t>Нет у нас</t>
        </is>
      </c>
      <c r="S303" t="n">
        <v>0</v>
      </c>
      <c r="T303" t="inlineStr">
        <is>
          <t>Совпадений по улице+дому не найдено</t>
        </is>
      </c>
      <c r="U303" t="n">
        <v>374</v>
      </c>
      <c r="V303" t="n">
        <v>16</v>
      </c>
      <c r="W303" t="n">
        <v>14</v>
      </c>
      <c r="X303" t="n">
        <v>59958810</v>
      </c>
      <c r="Y303" t="inlineStr"/>
      <c r="Z303" t="inlineStr"/>
      <c r="AA303" t="inlineStr">
        <is>
          <t>https://knru.ru/catalog/rudneva-ul-d-18-1-2127675574/</t>
        </is>
      </c>
      <c r="AB303" t="inlineStr">
        <is>
          <t>B</t>
        </is>
      </c>
    </row>
    <row r="304">
      <c r="A304" t="n">
        <v>375</v>
      </c>
      <c r="B304" t="n">
        <v>16</v>
      </c>
      <c r="C304" t="n">
        <v>15</v>
      </c>
      <c r="D304" t="n">
        <v>1</v>
      </c>
      <c r="E304" t="inlineStr">
        <is>
          <t>Выборгский</t>
        </is>
      </c>
      <c r="F304" t="inlineStr">
        <is>
          <t>Руднева ул., д. 18/1</t>
        </is>
      </c>
      <c r="G304" t="n">
        <v>227.8</v>
      </c>
      <c r="H304" t="inlineStr">
        <is>
          <t>38 184 328</t>
        </is>
      </c>
      <c r="I304" t="inlineStr"/>
      <c r="J304" t="inlineStr"/>
      <c r="K304" t="inlineStr"/>
      <c r="L304" t="inlineStr"/>
      <c r="M304" t="inlineStr"/>
      <c r="N304" t="inlineStr">
        <is>
          <t>yes</t>
        </is>
      </c>
      <c r="O304" t="inlineStr">
        <is>
          <t>pixel_heuristic</t>
        </is>
      </c>
      <c r="P304">
        <f>HYPERLINK("https://knru.ru/catalog/rudneva-ul-d-18-1/","ссылка")</f>
        <v/>
      </c>
      <c r="Q304" t="inlineStr"/>
      <c r="R304" t="inlineStr">
        <is>
          <t>Нет у нас</t>
        </is>
      </c>
      <c r="S304" t="n">
        <v>0</v>
      </c>
      <c r="T304" t="inlineStr">
        <is>
          <t>Совпадений по улице+дому не найдено</t>
        </is>
      </c>
      <c r="U304" t="n">
        <v>375</v>
      </c>
      <c r="V304" t="n">
        <v>16</v>
      </c>
      <c r="W304" t="n">
        <v>15</v>
      </c>
      <c r="X304" t="n">
        <v>38184328</v>
      </c>
      <c r="Y304" t="inlineStr"/>
      <c r="Z304" t="inlineStr"/>
      <c r="AA304" t="inlineStr">
        <is>
          <t>https://knru.ru/catalog/rudneva-ul-d-18-1/</t>
        </is>
      </c>
      <c r="AB304" t="inlineStr">
        <is>
          <t>B</t>
        </is>
      </c>
    </row>
    <row r="305">
      <c r="A305" t="n">
        <v>376</v>
      </c>
      <c r="B305" t="n">
        <v>16</v>
      </c>
      <c r="C305" t="n">
        <v>16</v>
      </c>
      <c r="D305" t="n">
        <v>1165730381</v>
      </c>
      <c r="E305" t="inlineStr">
        <is>
          <t>Приморский</t>
        </is>
      </c>
      <c r="F305" t="inlineStr">
        <is>
          <t>Арцеуловская алл., д. 9строение1</t>
        </is>
      </c>
      <c r="G305" t="n">
        <v>87.90000000000001</v>
      </c>
      <c r="H305" t="inlineStr">
        <is>
          <t>22 041 888</t>
        </is>
      </c>
      <c r="I305" t="inlineStr"/>
      <c r="J305" t="inlineStr"/>
      <c r="K305" t="inlineStr"/>
      <c r="L305" t="inlineStr"/>
      <c r="M305" t="inlineStr"/>
      <c r="N305" t="inlineStr">
        <is>
          <t>yes</t>
        </is>
      </c>
      <c r="O305" t="inlineStr">
        <is>
          <t>pixel_heuristic</t>
        </is>
      </c>
      <c r="P305">
        <f>HYPERLINK("https://knru.ru/catalog/artseulovskaya-all-d-9stroenie1-1165730381/","ссылка")</f>
        <v/>
      </c>
      <c r="Q305" t="inlineStr"/>
      <c r="R305" t="inlineStr">
        <is>
          <t>Нет у нас</t>
        </is>
      </c>
      <c r="S305" t="n">
        <v>0</v>
      </c>
      <c r="T305" t="inlineStr">
        <is>
          <t>Совпадений по улице+дому не найдено</t>
        </is>
      </c>
      <c r="U305" t="n">
        <v>376</v>
      </c>
      <c r="V305" t="n">
        <v>16</v>
      </c>
      <c r="W305" t="n">
        <v>16</v>
      </c>
      <c r="X305" t="n">
        <v>22041888</v>
      </c>
      <c r="Y305" t="inlineStr"/>
      <c r="Z305" t="inlineStr"/>
      <c r="AA305" t="inlineStr">
        <is>
          <t>https://knru.ru/catalog/artseulovskaya-all-d-9stroenie1-1165730381/</t>
        </is>
      </c>
      <c r="AB305" t="inlineStr">
        <is>
          <t>B</t>
        </is>
      </c>
    </row>
    <row r="306">
      <c r="A306" t="n">
        <v>377</v>
      </c>
      <c r="B306" t="n">
        <v>16</v>
      </c>
      <c r="C306" t="n">
        <v>17</v>
      </c>
      <c r="D306" t="inlineStr"/>
      <c r="E306" t="inlineStr">
        <is>
          <t>Приморский</t>
        </is>
      </c>
      <c r="F306" t="inlineStr">
        <is>
          <t>Арцеуловская алл., д. 9строение1</t>
        </is>
      </c>
      <c r="G306" t="n">
        <v>170.2</v>
      </c>
      <c r="H306" t="inlineStr">
        <is>
          <t>37 559 887</t>
        </is>
      </c>
      <c r="I306" t="inlineStr"/>
      <c r="J306" t="inlineStr"/>
      <c r="K306" t="inlineStr"/>
      <c r="L306" t="inlineStr"/>
      <c r="M306" t="inlineStr"/>
      <c r="N306" t="inlineStr">
        <is>
          <t>yes</t>
        </is>
      </c>
      <c r="O306" t="inlineStr">
        <is>
          <t>pixel_heuristic</t>
        </is>
      </c>
      <c r="P306">
        <f>HYPERLINK("https://knru.ru/catalog/artseulovskaya-all-d-9stroenie1/","ссылка")</f>
        <v/>
      </c>
      <c r="Q306" t="inlineStr"/>
      <c r="R306" t="inlineStr">
        <is>
          <t>Нет у нас</t>
        </is>
      </c>
      <c r="S306" t="n">
        <v>0</v>
      </c>
      <c r="T306" t="inlineStr">
        <is>
          <t>Совпадений по улице+дому не найдено</t>
        </is>
      </c>
      <c r="U306" t="n">
        <v>377</v>
      </c>
      <c r="V306" t="n">
        <v>16</v>
      </c>
      <c r="W306" t="n">
        <v>17</v>
      </c>
      <c r="X306" t="n">
        <v>37559887</v>
      </c>
      <c r="Y306" t="inlineStr"/>
      <c r="Z306" t="inlineStr"/>
      <c r="AA306" t="inlineStr">
        <is>
          <t>https://knru.ru/catalog/artseulovskaya-all-d-9stroenie1/</t>
        </is>
      </c>
      <c r="AB306" t="inlineStr">
        <is>
          <t>B</t>
        </is>
      </c>
    </row>
    <row r="307">
      <c r="A307" t="n">
        <v>378</v>
      </c>
      <c r="B307" t="n">
        <v>16</v>
      </c>
      <c r="C307" t="n">
        <v>18</v>
      </c>
      <c r="D307" t="n">
        <v>14</v>
      </c>
      <c r="E307" t="inlineStr"/>
      <c r="F307" t="inlineStr">
        <is>
          <t>Рубежное шос., д. 14</t>
        </is>
      </c>
      <c r="G307" t="n">
        <v>81.3</v>
      </c>
      <c r="H307" t="inlineStr">
        <is>
          <t>14 056 770</t>
        </is>
      </c>
      <c r="I307" t="inlineStr"/>
      <c r="J307" t="inlineStr"/>
      <c r="K307" t="inlineStr"/>
      <c r="L307" t="inlineStr"/>
      <c r="M307" t="inlineStr"/>
      <c r="N307" t="inlineStr">
        <is>
          <t>no</t>
        </is>
      </c>
      <c r="O307" t="inlineStr">
        <is>
          <t>none</t>
        </is>
      </c>
      <c r="P307">
        <f>HYPERLINK("https://knru.ru/catalog/rubezhnoe-shos-d-14/","ссылка")</f>
        <v/>
      </c>
      <c r="Q307" t="inlineStr"/>
      <c r="R307" t="inlineStr">
        <is>
          <t>Нет у нас</t>
        </is>
      </c>
      <c r="S307" t="n">
        <v>0</v>
      </c>
      <c r="T307" t="inlineStr">
        <is>
          <t>Совпадений по улице+дому не найдено</t>
        </is>
      </c>
      <c r="U307" t="n">
        <v>378</v>
      </c>
      <c r="V307" t="n">
        <v>16</v>
      </c>
      <c r="W307" t="n">
        <v>18</v>
      </c>
      <c r="X307" t="n">
        <v>14056770</v>
      </c>
      <c r="Y307" t="inlineStr"/>
      <c r="Z307" t="inlineStr"/>
      <c r="AA307" t="inlineStr">
        <is>
          <t>https://knru.ru/catalog/rubezhnoe-shos-d-14/</t>
        </is>
      </c>
      <c r="AB307" t="inlineStr">
        <is>
          <t>B</t>
        </is>
      </c>
    </row>
    <row r="308">
      <c r="A308" t="n">
        <v>379</v>
      </c>
      <c r="B308" t="n">
        <v>16</v>
      </c>
      <c r="C308" t="n">
        <v>19</v>
      </c>
      <c r="D308" t="inlineStr"/>
      <c r="E308" t="inlineStr">
        <is>
          <t>Невский</t>
        </is>
      </c>
      <c r="F308" t="inlineStr">
        <is>
          <t>Товарищеский пр.</t>
        </is>
      </c>
      <c r="G308" t="n">
        <v>84.90000000000001</v>
      </c>
      <c r="H308" t="inlineStr">
        <is>
          <t>18 900 000</t>
        </is>
      </c>
      <c r="I308" t="inlineStr"/>
      <c r="J308" t="inlineStr"/>
      <c r="K308" t="inlineStr"/>
      <c r="L308" t="inlineStr"/>
      <c r="M308" t="inlineStr"/>
      <c r="N308" t="inlineStr">
        <is>
          <t>no</t>
        </is>
      </c>
      <c r="O308" t="inlineStr">
        <is>
          <t>none</t>
        </is>
      </c>
      <c r="P308">
        <f>HYPERLINK("https://knru.ru/catalog/tovarishcheskiy-pr/","ссылка")</f>
        <v/>
      </c>
      <c r="Q308" t="inlineStr"/>
      <c r="R308" t="inlineStr">
        <is>
          <t>Нет у нас</t>
        </is>
      </c>
      <c r="S308" t="n">
        <v>0</v>
      </c>
      <c r="T308" t="inlineStr">
        <is>
          <t>Совпадений по улице+дому не найдено</t>
        </is>
      </c>
      <c r="U308" t="n">
        <v>379</v>
      </c>
      <c r="V308" t="n">
        <v>16</v>
      </c>
      <c r="W308" t="n">
        <v>19</v>
      </c>
      <c r="X308" t="n">
        <v>18900000</v>
      </c>
      <c r="Y308" t="inlineStr"/>
      <c r="Z308" t="inlineStr"/>
      <c r="AA308" t="inlineStr">
        <is>
          <t>https://knru.ru/catalog/tovarishcheskiy-pr/</t>
        </is>
      </c>
      <c r="AB308" t="inlineStr">
        <is>
          <t>B</t>
        </is>
      </c>
    </row>
    <row r="309">
      <c r="A309" t="n">
        <v>399</v>
      </c>
      <c r="B309" t="n">
        <v>17</v>
      </c>
      <c r="C309" t="n">
        <v>15</v>
      </c>
      <c r="D309" t="n">
        <v>1</v>
      </c>
      <c r="E309" t="inlineStr">
        <is>
          <t>Выборгский</t>
        </is>
      </c>
      <c r="F309" t="inlineStr">
        <is>
          <t>Большой Сампсониевский пр., д. 74/2 стр. 1</t>
        </is>
      </c>
      <c r="G309" t="n">
        <v>82.40000000000001</v>
      </c>
      <c r="H309" t="inlineStr">
        <is>
          <t>11 124 000</t>
        </is>
      </c>
      <c r="I309" t="inlineStr"/>
      <c r="J309" t="inlineStr"/>
      <c r="K309" t="inlineStr"/>
      <c r="L309" t="inlineStr"/>
      <c r="M309" t="inlineStr"/>
      <c r="N309" t="inlineStr">
        <is>
          <t>yes</t>
        </is>
      </c>
      <c r="O309" t="inlineStr">
        <is>
          <t>pixel_heuristic</t>
        </is>
      </c>
      <c r="P309">
        <f>HYPERLINK("https://knru.ru/catalog/bolshoy-sampsonievskiy-pr-d-74-2-str-1/","ссылка")</f>
        <v/>
      </c>
      <c r="Q309" t="inlineStr"/>
      <c r="R309" t="inlineStr">
        <is>
          <t>Нет у нас</t>
        </is>
      </c>
      <c r="S309" t="n">
        <v>0</v>
      </c>
      <c r="T309" t="inlineStr">
        <is>
          <t>Совпадений по улице+дому не найдено</t>
        </is>
      </c>
      <c r="U309" t="n">
        <v>399</v>
      </c>
      <c r="V309" t="n">
        <v>17</v>
      </c>
      <c r="W309" t="n">
        <v>15</v>
      </c>
      <c r="X309" t="n">
        <v>11124000</v>
      </c>
      <c r="Y309" t="inlineStr"/>
      <c r="Z309" t="inlineStr"/>
      <c r="AA309" t="inlineStr">
        <is>
          <t>https://knru.ru/catalog/bolshoy-sampsonievskiy-pr-d-74-2-str-1/</t>
        </is>
      </c>
      <c r="AB309" t="inlineStr">
        <is>
          <t>B</t>
        </is>
      </c>
    </row>
    <row r="310">
      <c r="A310" t="n">
        <v>403</v>
      </c>
      <c r="B310" t="n">
        <v>17</v>
      </c>
      <c r="C310" t="n">
        <v>19</v>
      </c>
      <c r="D310" t="n">
        <v>609964991</v>
      </c>
      <c r="E310" t="inlineStr">
        <is>
          <t>Петроградский</t>
        </is>
      </c>
      <c r="F310" t="inlineStr">
        <is>
          <t>реки Карповки наб, 27А</t>
        </is>
      </c>
      <c r="G310" t="n">
        <v>1300</v>
      </c>
      <c r="H310" t="inlineStr">
        <is>
          <t>650 000 000</t>
        </is>
      </c>
      <c r="I310" t="inlineStr"/>
      <c r="J310" t="inlineStr"/>
      <c r="K310" t="inlineStr"/>
      <c r="L310" t="inlineStr"/>
      <c r="M310" t="inlineStr"/>
      <c r="N310" t="inlineStr">
        <is>
          <t>no</t>
        </is>
      </c>
      <c r="O310" t="inlineStr">
        <is>
          <t>none</t>
        </is>
      </c>
      <c r="P310">
        <f>HYPERLINK("https://knru.ru/catalog/sankt-peterburg-nab-reki-karpovki-27-609964991/","ссылка")</f>
        <v/>
      </c>
      <c r="Q310" t="inlineStr"/>
      <c r="R310" t="inlineStr">
        <is>
          <t>Нет у нас</t>
        </is>
      </c>
      <c r="S310" t="n">
        <v>0</v>
      </c>
      <c r="T310" t="inlineStr">
        <is>
          <t>Совпадений по улице+дому не найдено</t>
        </is>
      </c>
      <c r="U310" t="n">
        <v>403</v>
      </c>
      <c r="V310" t="n">
        <v>17</v>
      </c>
      <c r="W310" t="n">
        <v>19</v>
      </c>
      <c r="X310" t="n">
        <v>650000000</v>
      </c>
      <c r="Y310" t="inlineStr"/>
      <c r="Z310" t="inlineStr"/>
      <c r="AA310" t="inlineStr">
        <is>
          <t>https://knru.ru/catalog/sankt-peterburg-nab-reki-karpovki-27-609964991/</t>
        </is>
      </c>
      <c r="AB310" t="inlineStr">
        <is>
          <t>C</t>
        </is>
      </c>
    </row>
    <row r="311">
      <c r="A311" t="n">
        <v>404</v>
      </c>
      <c r="B311" t="n">
        <v>17</v>
      </c>
      <c r="C311" t="n">
        <v>20</v>
      </c>
      <c r="D311" t="n">
        <v>1002384166</v>
      </c>
      <c r="E311" t="inlineStr">
        <is>
          <t>Петроградский</t>
        </is>
      </c>
      <c r="F311" t="inlineStr">
        <is>
          <t>реки Карповки наб, 27А</t>
        </is>
      </c>
      <c r="G311" t="n">
        <v>147</v>
      </c>
      <c r="H311" t="inlineStr">
        <is>
          <t>73 500 000</t>
        </is>
      </c>
      <c r="I311" t="inlineStr"/>
      <c r="J311" t="inlineStr"/>
      <c r="K311" t="inlineStr"/>
      <c r="L311" t="inlineStr"/>
      <c r="M311" t="inlineStr"/>
      <c r="N311" t="inlineStr">
        <is>
          <t>no</t>
        </is>
      </c>
      <c r="O311" t="inlineStr">
        <is>
          <t>none</t>
        </is>
      </c>
      <c r="P311">
        <f>HYPERLINK("https://knru.ru/catalog/sankt-peterburg-nab-reki-karpovki-27-1002384166/","ссылка")</f>
        <v/>
      </c>
      <c r="Q311" t="inlineStr"/>
      <c r="R311" t="inlineStr">
        <is>
          <t>Нет у нас</t>
        </is>
      </c>
      <c r="S311" t="n">
        <v>0</v>
      </c>
      <c r="T311" t="inlineStr">
        <is>
          <t>Совпадений по улице+дому не найдено</t>
        </is>
      </c>
      <c r="U311" t="n">
        <v>404</v>
      </c>
      <c r="V311" t="n">
        <v>17</v>
      </c>
      <c r="W311" t="n">
        <v>20</v>
      </c>
      <c r="X311" t="n">
        <v>73500000</v>
      </c>
      <c r="Y311" t="inlineStr"/>
      <c r="Z311" t="inlineStr"/>
      <c r="AA311" t="inlineStr">
        <is>
          <t>https://knru.ru/catalog/sankt-peterburg-nab-reki-karpovki-27-1002384166/</t>
        </is>
      </c>
      <c r="AB311" t="inlineStr">
        <is>
          <t>C</t>
        </is>
      </c>
    </row>
    <row r="312">
      <c r="A312" t="n">
        <v>405</v>
      </c>
      <c r="B312" t="n">
        <v>17</v>
      </c>
      <c r="C312" t="n">
        <v>21</v>
      </c>
      <c r="D312" t="n">
        <v>529607626</v>
      </c>
      <c r="E312" t="inlineStr">
        <is>
          <t>Петроградский</t>
        </is>
      </c>
      <c r="F312" t="inlineStr">
        <is>
          <t>реки Карповки наб, 27А</t>
        </is>
      </c>
      <c r="G312" t="n">
        <v>987</v>
      </c>
      <c r="H312" t="inlineStr">
        <is>
          <t>481 800 000</t>
        </is>
      </c>
      <c r="I312" t="inlineStr"/>
      <c r="J312" t="inlineStr"/>
      <c r="K312" t="inlineStr"/>
      <c r="L312" t="inlineStr"/>
      <c r="M312" t="inlineStr"/>
      <c r="N312" t="inlineStr">
        <is>
          <t>no</t>
        </is>
      </c>
      <c r="O312" t="inlineStr">
        <is>
          <t>none</t>
        </is>
      </c>
      <c r="P312">
        <f>HYPERLINK("https://knru.ru/catalog/sankt-peterburg-nab-reki-karpovki-27-529607626/","ссылка")</f>
        <v/>
      </c>
      <c r="Q312" t="inlineStr"/>
      <c r="R312" t="inlineStr">
        <is>
          <t>Нет у нас</t>
        </is>
      </c>
      <c r="S312" t="n">
        <v>0</v>
      </c>
      <c r="T312" t="inlineStr">
        <is>
          <t>Совпадений по улице+дому не найдено</t>
        </is>
      </c>
      <c r="U312" t="n">
        <v>405</v>
      </c>
      <c r="V312" t="n">
        <v>17</v>
      </c>
      <c r="W312" t="n">
        <v>21</v>
      </c>
      <c r="X312" t="n">
        <v>481800000</v>
      </c>
      <c r="Y312" t="inlineStr"/>
      <c r="Z312" t="inlineStr"/>
      <c r="AA312" t="inlineStr">
        <is>
          <t>https://knru.ru/catalog/sankt-peterburg-nab-reki-karpovki-27-529607626/</t>
        </is>
      </c>
      <c r="AB312" t="inlineStr">
        <is>
          <t>C</t>
        </is>
      </c>
    </row>
    <row r="313">
      <c r="A313" t="n">
        <v>407</v>
      </c>
      <c r="B313" t="n">
        <v>17</v>
      </c>
      <c r="C313" t="n">
        <v>23</v>
      </c>
      <c r="D313" t="n">
        <v>1</v>
      </c>
      <c r="E313" t="inlineStr">
        <is>
          <t>Выборгский</t>
        </is>
      </c>
      <c r="F313" t="inlineStr">
        <is>
          <t>Сердобольская ул, 1</t>
        </is>
      </c>
      <c r="G313" t="n">
        <v>408</v>
      </c>
      <c r="H313" t="inlineStr">
        <is>
          <t>75 000 000</t>
        </is>
      </c>
      <c r="I313" t="inlineStr"/>
      <c r="J313" t="inlineStr"/>
      <c r="K313" t="inlineStr"/>
      <c r="L313" t="inlineStr"/>
      <c r="M313" t="inlineStr"/>
      <c r="N313" t="inlineStr">
        <is>
          <t>no</t>
        </is>
      </c>
      <c r="O313" t="inlineStr">
        <is>
          <t>none</t>
        </is>
      </c>
      <c r="P313">
        <f>HYPERLINK("https://knru.ru/catalog/serdobolskaya-ul-1/","ссылка")</f>
        <v/>
      </c>
      <c r="Q313" t="inlineStr"/>
      <c r="R313" t="inlineStr">
        <is>
          <t>Нет у нас</t>
        </is>
      </c>
      <c r="S313" t="n">
        <v>0</v>
      </c>
      <c r="T313" t="inlineStr">
        <is>
          <t>Совпадений по улице+дому не найдено</t>
        </is>
      </c>
      <c r="U313" t="n">
        <v>407</v>
      </c>
      <c r="V313" t="n">
        <v>17</v>
      </c>
      <c r="W313" t="n">
        <v>23</v>
      </c>
      <c r="X313" t="n">
        <v>75000000</v>
      </c>
      <c r="Y313" t="inlineStr"/>
      <c r="Z313" t="inlineStr"/>
      <c r="AA313" t="inlineStr">
        <is>
          <t>https://knru.ru/catalog/serdobolskaya-ul-1/</t>
        </is>
      </c>
      <c r="AB313" t="inlineStr">
        <is>
          <t>C</t>
        </is>
      </c>
    </row>
    <row r="314">
      <c r="A314" t="n">
        <v>408</v>
      </c>
      <c r="B314" t="n">
        <v>17</v>
      </c>
      <c r="C314" t="n">
        <v>24</v>
      </c>
      <c r="D314" t="inlineStr"/>
      <c r="E314" t="inlineStr"/>
      <c r="F314" t="inlineStr">
        <is>
          <t>Мурманское шоссе, 12-й километр, с1</t>
        </is>
      </c>
      <c r="G314" t="n">
        <v>1404</v>
      </c>
      <c r="H314" t="inlineStr">
        <is>
          <t>140 000</t>
        </is>
      </c>
      <c r="I314" t="inlineStr"/>
      <c r="J314" t="inlineStr"/>
      <c r="K314" t="inlineStr"/>
      <c r="L314" t="inlineStr"/>
      <c r="M314" t="inlineStr"/>
      <c r="N314" t="inlineStr">
        <is>
          <t>no</t>
        </is>
      </c>
      <c r="O314" t="inlineStr">
        <is>
          <t>none</t>
        </is>
      </c>
      <c r="P314">
        <f>HYPERLINK("https://knru.ru/catalog/murmanskoe-shosse-12-y-kilometr-s1/","ссылка")</f>
        <v/>
      </c>
      <c r="Q314" t="inlineStr"/>
      <c r="R314" t="inlineStr">
        <is>
          <t>Нет у нас</t>
        </is>
      </c>
      <c r="S314" t="n">
        <v>0</v>
      </c>
      <c r="T314" t="inlineStr">
        <is>
          <t>Совпадений по улице+дому не найдено</t>
        </is>
      </c>
      <c r="U314" t="n">
        <v>408</v>
      </c>
      <c r="V314" t="n">
        <v>17</v>
      </c>
      <c r="W314" t="n">
        <v>24</v>
      </c>
      <c r="X314" t="n">
        <v>140000</v>
      </c>
      <c r="Y314" t="inlineStr"/>
      <c r="Z314" t="inlineStr"/>
      <c r="AA314" t="inlineStr">
        <is>
          <t>https://knru.ru/catalog/murmanskoe-shosse-12-y-kilometr-s1/</t>
        </is>
      </c>
      <c r="AB314" t="inlineStr">
        <is>
          <t>C</t>
        </is>
      </c>
    </row>
    <row r="315">
      <c r="A315" t="n">
        <v>410</v>
      </c>
      <c r="B315" t="n">
        <v>18</v>
      </c>
      <c r="C315" t="n">
        <v>2</v>
      </c>
      <c r="D315" t="n">
        <v>509225970</v>
      </c>
      <c r="E315" t="inlineStr">
        <is>
          <t>Красногвардейский</t>
        </is>
      </c>
      <c r="F315" t="inlineStr">
        <is>
          <t>Ириновский пр-кт, 38</t>
        </is>
      </c>
      <c r="G315" t="n">
        <v>197.8</v>
      </c>
      <c r="H315" t="inlineStr">
        <is>
          <t>69 244 000</t>
        </is>
      </c>
      <c r="I315" t="inlineStr"/>
      <c r="J315" t="inlineStr"/>
      <c r="K315" t="inlineStr"/>
      <c r="L315" t="inlineStr"/>
      <c r="M315" t="inlineStr"/>
      <c r="N315" t="inlineStr">
        <is>
          <t>no</t>
        </is>
      </c>
      <c r="O315" t="inlineStr">
        <is>
          <t>none</t>
        </is>
      </c>
      <c r="P315">
        <f>HYPERLINK("https://knru.ru/catalog/irinovskiy-pr-d-38-509225970/","ссылка")</f>
        <v/>
      </c>
      <c r="Q315" t="inlineStr"/>
      <c r="R315" t="inlineStr">
        <is>
          <t>Нет у нас</t>
        </is>
      </c>
      <c r="S315" t="n">
        <v>0</v>
      </c>
      <c r="T315" t="inlineStr">
        <is>
          <t>Совпадений по улице+дому не найдено</t>
        </is>
      </c>
      <c r="U315" t="n">
        <v>410</v>
      </c>
      <c r="V315" t="n">
        <v>18</v>
      </c>
      <c r="W315" t="n">
        <v>2</v>
      </c>
      <c r="X315" t="n">
        <v>69244000</v>
      </c>
      <c r="Y315" t="inlineStr"/>
      <c r="Z315" t="inlineStr"/>
      <c r="AA315" t="inlineStr">
        <is>
          <t>https://knru.ru/catalog/irinovskiy-pr-d-38-509225970/</t>
        </is>
      </c>
      <c r="AB315" t="inlineStr">
        <is>
          <t>C</t>
        </is>
      </c>
    </row>
    <row r="316">
      <c r="A316" t="n">
        <v>411</v>
      </c>
      <c r="B316" t="n">
        <v>18</v>
      </c>
      <c r="C316" t="n">
        <v>3</v>
      </c>
      <c r="D316" t="n">
        <v>18</v>
      </c>
      <c r="E316" t="inlineStr">
        <is>
          <t>Центральный</t>
        </is>
      </c>
      <c r="F316" t="inlineStr">
        <is>
          <t>Кирочная ул, 18</t>
        </is>
      </c>
      <c r="G316" t="n">
        <v>50</v>
      </c>
      <c r="H316" t="inlineStr">
        <is>
          <t>12 000 000</t>
        </is>
      </c>
      <c r="I316" t="inlineStr"/>
      <c r="J316" t="inlineStr"/>
      <c r="K316" t="inlineStr"/>
      <c r="L316" t="inlineStr"/>
      <c r="M316" t="inlineStr"/>
      <c r="N316" t="inlineStr">
        <is>
          <t>no</t>
        </is>
      </c>
      <c r="O316" t="inlineStr">
        <is>
          <t>none</t>
        </is>
      </c>
      <c r="P316">
        <f>HYPERLINK("https://knru.ru/catalog/kirochnaya-ul-18/","ссылка")</f>
        <v/>
      </c>
      <c r="Q316" t="inlineStr"/>
      <c r="R316" t="inlineStr">
        <is>
          <t>Нет у нас</t>
        </is>
      </c>
      <c r="S316" t="n">
        <v>0</v>
      </c>
      <c r="T316" t="inlineStr">
        <is>
          <t>Совпадений по улице+дому не найдено</t>
        </is>
      </c>
      <c r="U316" t="n">
        <v>411</v>
      </c>
      <c r="V316" t="n">
        <v>18</v>
      </c>
      <c r="W316" t="n">
        <v>3</v>
      </c>
      <c r="X316" t="n">
        <v>12000000</v>
      </c>
      <c r="Y316" t="inlineStr"/>
      <c r="Z316" t="inlineStr"/>
      <c r="AA316" t="inlineStr">
        <is>
          <t>https://knru.ru/catalog/kirochnaya-ul-18/</t>
        </is>
      </c>
      <c r="AB316" t="inlineStr">
        <is>
          <t>C</t>
        </is>
      </c>
    </row>
    <row r="317">
      <c r="A317" t="n">
        <v>412</v>
      </c>
      <c r="B317" t="n">
        <v>18</v>
      </c>
      <c r="C317" t="n">
        <v>4</v>
      </c>
      <c r="D317" t="n">
        <v>17</v>
      </c>
      <c r="E317" t="inlineStr">
        <is>
          <t>Красногвардейский</t>
        </is>
      </c>
      <c r="F317" t="inlineStr">
        <is>
          <t>6-я Жерновская ул, 17</t>
        </is>
      </c>
      <c r="G317" t="n">
        <v>115</v>
      </c>
      <c r="H317" t="inlineStr">
        <is>
          <t>16 500 000</t>
        </is>
      </c>
      <c r="I317" t="inlineStr"/>
      <c r="J317" t="inlineStr"/>
      <c r="K317" t="inlineStr"/>
      <c r="L317" t="inlineStr"/>
      <c r="M317" t="inlineStr"/>
      <c r="N317" t="inlineStr">
        <is>
          <t>no</t>
        </is>
      </c>
      <c r="O317" t="inlineStr">
        <is>
          <t>none</t>
        </is>
      </c>
      <c r="P317">
        <f>HYPERLINK("https://knru.ru/catalog/6-ya-zhernovskaya-ul-17/","ссылка")</f>
        <v/>
      </c>
      <c r="Q317" t="inlineStr"/>
      <c r="R317" t="inlineStr">
        <is>
          <t>Нет у нас</t>
        </is>
      </c>
      <c r="S317" t="n">
        <v>0</v>
      </c>
      <c r="T317" t="inlineStr">
        <is>
          <t>Совпадений по улице+дому не найдено</t>
        </is>
      </c>
      <c r="U317" t="n">
        <v>412</v>
      </c>
      <c r="V317" t="n">
        <v>18</v>
      </c>
      <c r="W317" t="n">
        <v>4</v>
      </c>
      <c r="X317" t="n">
        <v>16500000</v>
      </c>
      <c r="Y317" t="inlineStr"/>
      <c r="Z317" t="inlineStr"/>
      <c r="AA317" t="inlineStr">
        <is>
          <t>https://knru.ru/catalog/6-ya-zhernovskaya-ul-17/</t>
        </is>
      </c>
      <c r="AB317" t="inlineStr">
        <is>
          <t>C</t>
        </is>
      </c>
    </row>
    <row r="318">
      <c r="A318" t="n">
        <v>413</v>
      </c>
      <c r="B318" t="n">
        <v>18</v>
      </c>
      <c r="C318" t="n">
        <v>5</v>
      </c>
      <c r="D318" t="n">
        <v>12</v>
      </c>
      <c r="E318" t="inlineStr">
        <is>
          <t>Центральный</t>
        </is>
      </c>
      <c r="F318" t="inlineStr">
        <is>
          <t>Кавалергардская ул, 12</t>
        </is>
      </c>
      <c r="G318" t="n">
        <v>142.7</v>
      </c>
      <c r="H318" t="inlineStr">
        <is>
          <t>7 700 000</t>
        </is>
      </c>
      <c r="I318" t="inlineStr"/>
      <c r="J318" t="inlineStr"/>
      <c r="K318" t="inlineStr"/>
      <c r="L318" t="inlineStr"/>
      <c r="M318" t="inlineStr"/>
      <c r="N318" t="inlineStr">
        <is>
          <t>no</t>
        </is>
      </c>
      <c r="O318" t="inlineStr">
        <is>
          <t>none</t>
        </is>
      </c>
      <c r="P318">
        <f>HYPERLINK("https://knru.ru/catalog/kavalergardskaya-ul-12/","ссылка")</f>
        <v/>
      </c>
      <c r="Q318" t="inlineStr"/>
      <c r="R318" t="inlineStr">
        <is>
          <t>Нет у нас</t>
        </is>
      </c>
      <c r="S318" t="n">
        <v>0</v>
      </c>
      <c r="T318" t="inlineStr">
        <is>
          <t>Совпадений по улице+дому не найдено</t>
        </is>
      </c>
      <c r="U318" t="n">
        <v>413</v>
      </c>
      <c r="V318" t="n">
        <v>18</v>
      </c>
      <c r="W318" t="n">
        <v>5</v>
      </c>
      <c r="X318" t="n">
        <v>7700000</v>
      </c>
      <c r="Y318" t="inlineStr"/>
      <c r="Z318" t="inlineStr"/>
      <c r="AA318" t="inlineStr">
        <is>
          <t>https://knru.ru/catalog/kavalergardskaya-ul-12/</t>
        </is>
      </c>
      <c r="AB318" t="inlineStr">
        <is>
          <t>C</t>
        </is>
      </c>
    </row>
    <row r="319">
      <c r="A319" t="n">
        <v>414</v>
      </c>
      <c r="B319" t="n">
        <v>18</v>
      </c>
      <c r="C319" t="n">
        <v>6</v>
      </c>
      <c r="D319" t="n">
        <v>36</v>
      </c>
      <c r="E319" t="inlineStr">
        <is>
          <t>Красносельский</t>
        </is>
      </c>
      <c r="F319" t="inlineStr">
        <is>
          <t>Маршала Казакова, 36</t>
        </is>
      </c>
      <c r="G319" t="n">
        <v>2044</v>
      </c>
      <c r="H319" t="inlineStr">
        <is>
          <t>280 000 000</t>
        </is>
      </c>
      <c r="I319" t="inlineStr"/>
      <c r="J319" t="inlineStr"/>
      <c r="K319" t="inlineStr"/>
      <c r="L319" t="inlineStr"/>
      <c r="M319" t="inlineStr"/>
      <c r="N319" t="inlineStr">
        <is>
          <t>no</t>
        </is>
      </c>
      <c r="O319" t="inlineStr">
        <is>
          <t>none</t>
        </is>
      </c>
      <c r="P319">
        <f>HYPERLINK("https://knru.ru/catalog/marshala-kazakova-ul-d-36/","ссылка")</f>
        <v/>
      </c>
      <c r="Q319" t="inlineStr"/>
      <c r="R319" t="inlineStr">
        <is>
          <t>Нет у нас</t>
        </is>
      </c>
      <c r="S319" t="n">
        <v>0</v>
      </c>
      <c r="T319" t="inlineStr">
        <is>
          <t>Совпадений по улице+дому не найдено</t>
        </is>
      </c>
      <c r="U319" t="n">
        <v>414</v>
      </c>
      <c r="V319" t="n">
        <v>18</v>
      </c>
      <c r="W319" t="n">
        <v>6</v>
      </c>
      <c r="X319" t="n">
        <v>280000000</v>
      </c>
      <c r="Y319" t="inlineStr"/>
      <c r="Z319" t="inlineStr"/>
      <c r="AA319" t="inlineStr">
        <is>
          <t>https://knru.ru/catalog/marshala-kazakova-ul-d-36/</t>
        </is>
      </c>
      <c r="AB319" t="inlineStr">
        <is>
          <t>C</t>
        </is>
      </c>
    </row>
    <row r="320">
      <c r="A320" t="n">
        <v>415</v>
      </c>
      <c r="B320" t="n">
        <v>18</v>
      </c>
      <c r="C320" t="n">
        <v>7</v>
      </c>
      <c r="D320" t="n">
        <v>41149812</v>
      </c>
      <c r="E320" t="inlineStr">
        <is>
          <t>Выборгский</t>
        </is>
      </c>
      <c r="F320" t="inlineStr">
        <is>
          <t>Курчатова ул, 14 А</t>
        </is>
      </c>
      <c r="G320" t="n">
        <v>79.90000000000001</v>
      </c>
      <c r="H320" t="inlineStr">
        <is>
          <t>34 161 525</t>
        </is>
      </c>
      <c r="I320" t="inlineStr"/>
      <c r="J320" t="inlineStr"/>
      <c r="K320" t="inlineStr"/>
      <c r="L320" t="inlineStr"/>
      <c r="M320" t="inlineStr"/>
      <c r="N320" t="inlineStr">
        <is>
          <t>no</t>
        </is>
      </c>
      <c r="O320" t="inlineStr">
        <is>
          <t>none</t>
        </is>
      </c>
      <c r="P320">
        <f>HYPERLINK("https://knru.ru/catalog/ul-kurchatova-d-14a-41149812/","ссылка")</f>
        <v/>
      </c>
      <c r="Q320" t="inlineStr"/>
      <c r="R320" t="inlineStr">
        <is>
          <t>Нет у нас</t>
        </is>
      </c>
      <c r="S320" t="n">
        <v>0</v>
      </c>
      <c r="T320" t="inlineStr">
        <is>
          <t>Совпадений по улице+дому не найдено</t>
        </is>
      </c>
      <c r="U320" t="n">
        <v>415</v>
      </c>
      <c r="V320" t="n">
        <v>18</v>
      </c>
      <c r="W320" t="n">
        <v>7</v>
      </c>
      <c r="X320" t="n">
        <v>34161525</v>
      </c>
      <c r="Y320" t="inlineStr"/>
      <c r="Z320" t="inlineStr"/>
      <c r="AA320" t="inlineStr">
        <is>
          <t>https://knru.ru/catalog/ul-kurchatova-d-14a-41149812/</t>
        </is>
      </c>
      <c r="AB320" t="inlineStr">
        <is>
          <t>C</t>
        </is>
      </c>
    </row>
    <row r="321">
      <c r="A321" t="n">
        <v>418</v>
      </c>
      <c r="B321" t="n">
        <v>18</v>
      </c>
      <c r="C321" t="n">
        <v>10</v>
      </c>
      <c r="D321" t="n">
        <v>1350913440</v>
      </c>
      <c r="E321" t="inlineStr">
        <is>
          <t>Центральный</t>
        </is>
      </c>
      <c r="F321" t="inlineStr">
        <is>
          <t>Миллионная ул, 4/1 Б</t>
        </is>
      </c>
      <c r="G321" t="n">
        <v>382</v>
      </c>
      <c r="H321" t="inlineStr">
        <is>
          <t>80 000 000</t>
        </is>
      </c>
      <c r="I321" t="inlineStr"/>
      <c r="J321" t="inlineStr"/>
      <c r="K321" t="inlineStr"/>
      <c r="L321" t="inlineStr"/>
      <c r="M321" t="inlineStr"/>
      <c r="N321" t="inlineStr">
        <is>
          <t>no</t>
        </is>
      </c>
      <c r="O321" t="inlineStr">
        <is>
          <t>none</t>
        </is>
      </c>
      <c r="P321">
        <f>HYPERLINK("https://knru.ru/catalog/ul-millionnaya-d-4-1-lit-b-1350913440/","ссылка")</f>
        <v/>
      </c>
      <c r="Q321" t="inlineStr"/>
      <c r="R321" t="inlineStr">
        <is>
          <t>Нет у нас</t>
        </is>
      </c>
      <c r="S321" t="n">
        <v>0</v>
      </c>
      <c r="T321" t="inlineStr">
        <is>
          <t>Совпадений по улице+дому не найдено</t>
        </is>
      </c>
      <c r="U321" t="n">
        <v>418</v>
      </c>
      <c r="V321" t="n">
        <v>18</v>
      </c>
      <c r="W321" t="n">
        <v>10</v>
      </c>
      <c r="X321" t="n">
        <v>80000000</v>
      </c>
      <c r="Y321" t="inlineStr"/>
      <c r="Z321" t="inlineStr"/>
      <c r="AA321" t="inlineStr">
        <is>
          <t>https://knru.ru/catalog/ul-millionnaya-d-4-1-lit-b-1350913440/</t>
        </is>
      </c>
      <c r="AB321" t="inlineStr">
        <is>
          <t>C</t>
        </is>
      </c>
    </row>
    <row r="322">
      <c r="A322" t="n">
        <v>419</v>
      </c>
      <c r="B322" t="n">
        <v>18</v>
      </c>
      <c r="C322" t="n">
        <v>11</v>
      </c>
      <c r="D322" t="n">
        <v>28</v>
      </c>
      <c r="E322" t="inlineStr">
        <is>
          <t>Кировский</t>
        </is>
      </c>
      <c r="F322" t="inlineStr">
        <is>
          <t>Стачек пр-кт, 28 А</t>
        </is>
      </c>
      <c r="G322" t="n">
        <v>280</v>
      </c>
      <c r="H322" t="inlineStr">
        <is>
          <t>60 000 000</t>
        </is>
      </c>
      <c r="I322" t="inlineStr"/>
      <c r="J322" t="inlineStr"/>
      <c r="K322" t="inlineStr"/>
      <c r="L322" t="inlineStr"/>
      <c r="M322" t="inlineStr"/>
      <c r="N322" t="inlineStr">
        <is>
          <t>no</t>
        </is>
      </c>
      <c r="O322" t="inlineStr">
        <is>
          <t>none</t>
        </is>
      </c>
      <c r="P322">
        <f>HYPERLINK("https://knru.ru/catalog/pr-stachek-28/","ссылка")</f>
        <v/>
      </c>
      <c r="Q322" t="inlineStr"/>
      <c r="R322" t="inlineStr">
        <is>
          <t>Нет у нас</t>
        </is>
      </c>
      <c r="S322" t="n">
        <v>0</v>
      </c>
      <c r="T322" t="inlineStr">
        <is>
          <t>Совпадений по улице+дому не найдено</t>
        </is>
      </c>
      <c r="U322" t="n">
        <v>419</v>
      </c>
      <c r="V322" t="n">
        <v>18</v>
      </c>
      <c r="W322" t="n">
        <v>11</v>
      </c>
      <c r="X322" t="n">
        <v>60000000</v>
      </c>
      <c r="Y322" t="inlineStr"/>
      <c r="Z322" t="inlineStr"/>
      <c r="AA322" t="inlineStr">
        <is>
          <t>https://knru.ru/catalog/pr-stachek-28/</t>
        </is>
      </c>
      <c r="AB322" t="inlineStr">
        <is>
          <t>C</t>
        </is>
      </c>
    </row>
    <row r="323">
      <c r="A323" t="n">
        <v>424</v>
      </c>
      <c r="B323" t="n">
        <v>18</v>
      </c>
      <c r="C323" t="n">
        <v>16</v>
      </c>
      <c r="D323" t="n">
        <v>99</v>
      </c>
      <c r="E323" t="inlineStr">
        <is>
          <t>Василеостровский</t>
        </is>
      </c>
      <c r="F323" t="inlineStr">
        <is>
          <t>Средний В.О. пр-кт, 99/18 А</t>
        </is>
      </c>
      <c r="G323" t="n">
        <v>365</v>
      </c>
      <c r="H323" t="inlineStr">
        <is>
          <t>79 000 000</t>
        </is>
      </c>
      <c r="I323" t="inlineStr"/>
      <c r="J323" t="inlineStr"/>
      <c r="K323" t="inlineStr"/>
      <c r="L323" t="inlineStr"/>
      <c r="M323" t="inlineStr"/>
      <c r="N323" t="inlineStr">
        <is>
          <t>no</t>
        </is>
      </c>
      <c r="O323" t="inlineStr">
        <is>
          <t>none</t>
        </is>
      </c>
      <c r="P323">
        <f>HYPERLINK("https://knru.ru/catalog/sredniy-pr-vo-d-99/","ссылка")</f>
        <v/>
      </c>
      <c r="Q323" t="inlineStr"/>
      <c r="R323" t="inlineStr">
        <is>
          <t>Нет у нас</t>
        </is>
      </c>
      <c r="S323" t="n">
        <v>0</v>
      </c>
      <c r="T323" t="inlineStr">
        <is>
          <t>Совпадений по улице+дому не найдено</t>
        </is>
      </c>
      <c r="U323" t="n">
        <v>424</v>
      </c>
      <c r="V323" t="n">
        <v>18</v>
      </c>
      <c r="W323" t="n">
        <v>16</v>
      </c>
      <c r="X323" t="n">
        <v>79000000</v>
      </c>
      <c r="Y323" t="inlineStr"/>
      <c r="Z323" t="inlineStr"/>
      <c r="AA323" t="inlineStr">
        <is>
          <t>https://knru.ru/catalog/sredniy-pr-vo-d-99/</t>
        </is>
      </c>
      <c r="AB323" t="inlineStr">
        <is>
          <t>C</t>
        </is>
      </c>
    </row>
    <row r="324">
      <c r="A324" t="n">
        <v>428</v>
      </c>
      <c r="B324" t="n">
        <v>18</v>
      </c>
      <c r="C324" t="n">
        <v>20</v>
      </c>
      <c r="D324" t="n">
        <v>27</v>
      </c>
      <c r="E324" t="inlineStr">
        <is>
          <t>Центральный</t>
        </is>
      </c>
      <c r="F324" t="inlineStr">
        <is>
          <t>Тележная ул, 25-27</t>
        </is>
      </c>
      <c r="G324" t="n">
        <v>37.1</v>
      </c>
      <c r="H324" t="inlineStr">
        <is>
          <t>22 490 000</t>
        </is>
      </c>
      <c r="I324" t="inlineStr"/>
      <c r="J324" t="inlineStr"/>
      <c r="K324" t="inlineStr"/>
      <c r="L324" t="inlineStr"/>
      <c r="M324" t="inlineStr"/>
      <c r="N324" t="inlineStr">
        <is>
          <t>no</t>
        </is>
      </c>
      <c r="O324" t="inlineStr">
        <is>
          <t>none</t>
        </is>
      </c>
      <c r="P324">
        <f>HYPERLINK("https://knru.ru/catalog/telezhnaya-ul-25-27/","ссылка")</f>
        <v/>
      </c>
      <c r="Q324" t="inlineStr"/>
      <c r="R324" t="inlineStr">
        <is>
          <t>Нет у нас</t>
        </is>
      </c>
      <c r="S324" t="n">
        <v>0</v>
      </c>
      <c r="T324" t="inlineStr">
        <is>
          <t>Совпадений по улице+дому не найдено</t>
        </is>
      </c>
      <c r="U324" t="n">
        <v>428</v>
      </c>
      <c r="V324" t="n">
        <v>18</v>
      </c>
      <c r="W324" t="n">
        <v>20</v>
      </c>
      <c r="X324" t="n">
        <v>22490000</v>
      </c>
      <c r="Y324" t="inlineStr"/>
      <c r="Z324" t="inlineStr"/>
      <c r="AA324" t="inlineStr">
        <is>
          <t>https://knru.ru/catalog/telezhnaya-ul-25-27/</t>
        </is>
      </c>
      <c r="AB324" t="inlineStr">
        <is>
          <t>C</t>
        </is>
      </c>
    </row>
    <row r="325">
      <c r="A325" t="n">
        <v>430</v>
      </c>
      <c r="B325" t="n">
        <v>18</v>
      </c>
      <c r="C325" t="n">
        <v>22</v>
      </c>
      <c r="D325" t="n">
        <v>10</v>
      </c>
      <c r="E325" t="inlineStr">
        <is>
          <t>Петроградский</t>
        </is>
      </c>
      <c r="F325" t="inlineStr">
        <is>
          <t>Вязовая ул, 10</t>
        </is>
      </c>
      <c r="G325" t="n">
        <v>341</v>
      </c>
      <c r="H325" t="inlineStr">
        <is>
          <t>153 600 000</t>
        </is>
      </c>
      <c r="I325" t="inlineStr"/>
      <c r="J325" t="inlineStr"/>
      <c r="K325" t="inlineStr"/>
      <c r="L325" t="inlineStr"/>
      <c r="M325" t="inlineStr"/>
      <c r="N325" t="inlineStr">
        <is>
          <t>no</t>
        </is>
      </c>
      <c r="O325" t="inlineStr">
        <is>
          <t>none</t>
        </is>
      </c>
      <c r="P325">
        <f>HYPERLINK("https://knru.ru/catalog/ul-vyazovaya-d-10/","ссылка")</f>
        <v/>
      </c>
      <c r="Q325" t="inlineStr"/>
      <c r="R325" t="inlineStr">
        <is>
          <t>Нет у нас</t>
        </is>
      </c>
      <c r="S325" t="n">
        <v>0</v>
      </c>
      <c r="T325" t="inlineStr">
        <is>
          <t>Совпадений по улице+дому не найдено</t>
        </is>
      </c>
      <c r="U325" t="n">
        <v>430</v>
      </c>
      <c r="V325" t="n">
        <v>18</v>
      </c>
      <c r="W325" t="n">
        <v>22</v>
      </c>
      <c r="X325" t="n">
        <v>153600000</v>
      </c>
      <c r="Y325" t="inlineStr"/>
      <c r="Z325" t="inlineStr"/>
      <c r="AA325" t="inlineStr">
        <is>
          <t>https://knru.ru/catalog/ul-vyazovaya-d-10/</t>
        </is>
      </c>
      <c r="AB325" t="inlineStr">
        <is>
          <t>C</t>
        </is>
      </c>
    </row>
    <row r="326">
      <c r="A326" t="n">
        <v>434</v>
      </c>
      <c r="B326" t="n">
        <v>19</v>
      </c>
      <c r="C326" t="n">
        <v>2</v>
      </c>
      <c r="D326" t="inlineStr"/>
      <c r="E326" t="inlineStr">
        <is>
          <t>Приморский</t>
        </is>
      </c>
      <c r="F326" t="inlineStr">
        <is>
          <t>Королёва пр-кт, 39к1</t>
        </is>
      </c>
      <c r="G326" t="n">
        <v>71</v>
      </c>
      <c r="H326" t="inlineStr">
        <is>
          <t>17 548 000</t>
        </is>
      </c>
      <c r="I326" t="inlineStr"/>
      <c r="J326" t="inlineStr"/>
      <c r="K326" t="inlineStr"/>
      <c r="L326" t="inlineStr"/>
      <c r="M326" t="inlineStr"/>
      <c r="N326" t="inlineStr">
        <is>
          <t>no</t>
        </is>
      </c>
      <c r="O326" t="inlineStr">
        <is>
          <t>none</t>
        </is>
      </c>
      <c r="P326">
        <f>HYPERLINK("https://knru.ru/catalog/korolyeva-pr-kt-39k1/","ссылка")</f>
        <v/>
      </c>
      <c r="Q326" t="inlineStr"/>
      <c r="R326" t="inlineStr">
        <is>
          <t>Нет у нас</t>
        </is>
      </c>
      <c r="S326" t="n">
        <v>0</v>
      </c>
      <c r="T326" t="inlineStr">
        <is>
          <t>Совпадений по улице+дому не найдено</t>
        </is>
      </c>
      <c r="U326" t="n">
        <v>434</v>
      </c>
      <c r="V326" t="n">
        <v>19</v>
      </c>
      <c r="W326" t="n">
        <v>2</v>
      </c>
      <c r="X326" t="n">
        <v>17548000</v>
      </c>
      <c r="Y326" t="inlineStr"/>
      <c r="Z326" t="inlineStr"/>
      <c r="AA326" t="inlineStr">
        <is>
          <t>https://knru.ru/catalog/korolyeva-pr-kt-39k1/</t>
        </is>
      </c>
      <c r="AB326" t="inlineStr">
        <is>
          <t>C</t>
        </is>
      </c>
    </row>
    <row r="327">
      <c r="A327" t="n">
        <v>435</v>
      </c>
      <c r="B327" t="n">
        <v>19</v>
      </c>
      <c r="C327" t="n">
        <v>3</v>
      </c>
      <c r="D327" t="n">
        <v>1841018866</v>
      </c>
      <c r="E327" t="inlineStr">
        <is>
          <t>Красногвардейский</t>
        </is>
      </c>
      <c r="F327" t="inlineStr">
        <is>
          <t>Ириновский пр-кт, 38</t>
        </is>
      </c>
      <c r="G327" t="n">
        <v>23.8</v>
      </c>
      <c r="H327" t="inlineStr">
        <is>
          <t>8 830 000</t>
        </is>
      </c>
      <c r="I327" t="inlineStr"/>
      <c r="J327" t="inlineStr"/>
      <c r="K327" t="inlineStr"/>
      <c r="L327" t="inlineStr"/>
      <c r="M327" t="inlineStr"/>
      <c r="N327" t="inlineStr">
        <is>
          <t>no</t>
        </is>
      </c>
      <c r="O327" t="inlineStr">
        <is>
          <t>none</t>
        </is>
      </c>
      <c r="P327">
        <f>HYPERLINK("https://knru.ru/catalog/irinovskiy-pr-d-38-1841018866/","ссылка")</f>
        <v/>
      </c>
      <c r="Q327" t="inlineStr"/>
      <c r="R327" t="inlineStr">
        <is>
          <t>Нет у нас</t>
        </is>
      </c>
      <c r="S327" t="n">
        <v>0</v>
      </c>
      <c r="T327" t="inlineStr">
        <is>
          <t>Совпадений по улице+дому не найдено</t>
        </is>
      </c>
      <c r="U327" t="n">
        <v>435</v>
      </c>
      <c r="V327" t="n">
        <v>19</v>
      </c>
      <c r="W327" t="n">
        <v>3</v>
      </c>
      <c r="X327" t="n">
        <v>8830000</v>
      </c>
      <c r="Y327" t="inlineStr"/>
      <c r="Z327" t="inlineStr"/>
      <c r="AA327" t="inlineStr">
        <is>
          <t>https://knru.ru/catalog/irinovskiy-pr-d-38-1841018866/</t>
        </is>
      </c>
      <c r="AB327" t="inlineStr">
        <is>
          <t>C</t>
        </is>
      </c>
    </row>
    <row r="328">
      <c r="A328" t="n">
        <v>437</v>
      </c>
      <c r="B328" t="n">
        <v>19</v>
      </c>
      <c r="C328" t="n">
        <v>5</v>
      </c>
      <c r="D328" t="inlineStr"/>
      <c r="E328" t="inlineStr">
        <is>
          <t>Бугры</t>
        </is>
      </c>
      <c r="F328" t="inlineStr">
        <is>
          <t>25-й км, 14А</t>
        </is>
      </c>
      <c r="G328" t="n">
        <v>2300</v>
      </c>
      <c r="H328" t="inlineStr">
        <is>
          <t>49 000 000</t>
        </is>
      </c>
      <c r="I328" t="inlineStr"/>
      <c r="J328" t="inlineStr"/>
      <c r="K328" t="inlineStr"/>
      <c r="L328" t="inlineStr"/>
      <c r="M328" t="inlineStr"/>
      <c r="N328" t="inlineStr">
        <is>
          <t>no</t>
        </is>
      </c>
      <c r="O328" t="inlineStr">
        <is>
          <t>none</t>
        </is>
      </c>
      <c r="P328">
        <f>HYPERLINK("https://knru.ru/catalog/bugry-len-obl-vsevolozhskiy-r-n-u-peresecheniya-pr-engelsa-i-kad-naprotiv-tts-mega-parnas-vnutrennya/","ссылка")</f>
        <v/>
      </c>
      <c r="Q328" t="inlineStr"/>
      <c r="R328" t="inlineStr">
        <is>
          <t>Нет у нас</t>
        </is>
      </c>
      <c r="S328" t="n">
        <v>0</v>
      </c>
      <c r="T328" t="inlineStr">
        <is>
          <t>Совпадений по улице+дому не найдено</t>
        </is>
      </c>
      <c r="U328" t="n">
        <v>437</v>
      </c>
      <c r="V328" t="n">
        <v>19</v>
      </c>
      <c r="W328" t="n">
        <v>5</v>
      </c>
      <c r="X328" t="n">
        <v>49000000</v>
      </c>
      <c r="Y328" t="inlineStr"/>
      <c r="Z328" t="inlineStr"/>
      <c r="AA328" t="inlineStr">
        <is>
          <t>https://knru.ru/catalog/bugry-len-obl-vsevolozhskiy-r-n-u-peresecheniya-pr-engelsa-i-kad-naprotiv-tts-mega-parnas-vnutrennya/</t>
        </is>
      </c>
      <c r="AB328" t="inlineStr">
        <is>
          <t>C</t>
        </is>
      </c>
    </row>
    <row r="329">
      <c r="A329" t="n">
        <v>438</v>
      </c>
      <c r="B329" t="n">
        <v>19</v>
      </c>
      <c r="C329" t="n">
        <v>6</v>
      </c>
      <c r="D329" t="n">
        <v>1027303882</v>
      </c>
      <c r="E329" t="inlineStr">
        <is>
          <t>Фрунзенский</t>
        </is>
      </c>
      <c r="F329" t="inlineStr">
        <is>
          <t>Обводного канала наб, 56</t>
        </is>
      </c>
      <c r="G329" t="n">
        <v>97</v>
      </c>
      <c r="H329" t="inlineStr">
        <is>
          <t>20 000 000</t>
        </is>
      </c>
      <c r="I329" t="inlineStr"/>
      <c r="J329" t="inlineStr"/>
      <c r="K329" t="inlineStr"/>
      <c r="L329" t="inlineStr"/>
      <c r="M329" t="inlineStr"/>
      <c r="N329" t="inlineStr">
        <is>
          <t>no</t>
        </is>
      </c>
      <c r="O329" t="inlineStr">
        <is>
          <t>none</t>
        </is>
      </c>
      <c r="P329">
        <f>HYPERLINK("https://knru.ru/catalog/obvodnogo-kanala-nab-56-1027303882/","ссылка")</f>
        <v/>
      </c>
      <c r="Q329" t="inlineStr"/>
      <c r="R329" t="inlineStr">
        <is>
          <t>Нет у нас</t>
        </is>
      </c>
      <c r="S329" t="n">
        <v>0</v>
      </c>
      <c r="T329" t="inlineStr">
        <is>
          <t>Совпадений по улице+дому не найдено</t>
        </is>
      </c>
      <c r="U329" t="n">
        <v>438</v>
      </c>
      <c r="V329" t="n">
        <v>19</v>
      </c>
      <c r="W329" t="n">
        <v>6</v>
      </c>
      <c r="X329" t="n">
        <v>20000000</v>
      </c>
      <c r="Y329" t="inlineStr"/>
      <c r="Z329" t="inlineStr"/>
      <c r="AA329" t="inlineStr">
        <is>
          <t>https://knru.ru/catalog/obvodnogo-kanala-nab-56-1027303882/</t>
        </is>
      </c>
      <c r="AB329" t="inlineStr">
        <is>
          <t>C</t>
        </is>
      </c>
    </row>
    <row r="330">
      <c r="A330" t="n">
        <v>439</v>
      </c>
      <c r="B330" t="n">
        <v>19</v>
      </c>
      <c r="C330" t="n">
        <v>7</v>
      </c>
      <c r="D330" t="n">
        <v>1957405971</v>
      </c>
      <c r="E330" t="inlineStr">
        <is>
          <t>Центральный</t>
        </is>
      </c>
      <c r="F330" t="inlineStr">
        <is>
          <t>Гончарная ул, 6</t>
        </is>
      </c>
      <c r="G330" t="n">
        <v>134</v>
      </c>
      <c r="H330" t="inlineStr">
        <is>
          <t>67 000 000</t>
        </is>
      </c>
      <c r="I330" t="inlineStr"/>
      <c r="J330" t="inlineStr"/>
      <c r="K330" t="inlineStr"/>
      <c r="L330" t="inlineStr"/>
      <c r="M330" t="inlineStr"/>
      <c r="N330" t="inlineStr">
        <is>
          <t>no</t>
        </is>
      </c>
      <c r="O330" t="inlineStr">
        <is>
          <t>none</t>
        </is>
      </c>
      <c r="P330">
        <f>HYPERLINK("https://knru.ru/catalog/goncharnaya-ul-d-6-1957405971/","ссылка")</f>
        <v/>
      </c>
      <c r="Q330" t="inlineStr"/>
      <c r="R330" t="inlineStr">
        <is>
          <t>Нет у нас</t>
        </is>
      </c>
      <c r="S330" t="n">
        <v>0</v>
      </c>
      <c r="T330" t="inlineStr">
        <is>
          <t>Совпадений по улице+дому не найдено</t>
        </is>
      </c>
      <c r="U330" t="n">
        <v>439</v>
      </c>
      <c r="V330" t="n">
        <v>19</v>
      </c>
      <c r="W330" t="n">
        <v>7</v>
      </c>
      <c r="X330" t="n">
        <v>67000000</v>
      </c>
      <c r="Y330" t="inlineStr"/>
      <c r="Z330" t="inlineStr"/>
      <c r="AA330" t="inlineStr">
        <is>
          <t>https://knru.ru/catalog/goncharnaya-ul-d-6-1957405971/</t>
        </is>
      </c>
      <c r="AB330" t="inlineStr">
        <is>
          <t>C</t>
        </is>
      </c>
    </row>
    <row r="331">
      <c r="A331" t="n">
        <v>440</v>
      </c>
      <c r="B331" t="n">
        <v>19</v>
      </c>
      <c r="C331" t="n">
        <v>8</v>
      </c>
      <c r="D331" t="n">
        <v>1091037435</v>
      </c>
      <c r="E331" t="inlineStr">
        <is>
          <t>Центральный</t>
        </is>
      </c>
      <c r="F331" t="inlineStr">
        <is>
          <t>Гончарная ул, 6</t>
        </is>
      </c>
      <c r="G331" t="n">
        <v>190</v>
      </c>
      <c r="H331" t="inlineStr">
        <is>
          <t>95 000 000</t>
        </is>
      </c>
      <c r="I331" t="inlineStr"/>
      <c r="J331" t="inlineStr"/>
      <c r="K331" t="inlineStr"/>
      <c r="L331" t="inlineStr"/>
      <c r="M331" t="inlineStr"/>
      <c r="N331" t="inlineStr">
        <is>
          <t>no</t>
        </is>
      </c>
      <c r="O331" t="inlineStr">
        <is>
          <t>none</t>
        </is>
      </c>
      <c r="P331">
        <f>HYPERLINK("https://knru.ru/catalog/goncharnaya-ul-d-6-1091037435/","ссылка")</f>
        <v/>
      </c>
      <c r="Q331" t="inlineStr"/>
      <c r="R331" t="inlineStr">
        <is>
          <t>Нет у нас</t>
        </is>
      </c>
      <c r="S331" t="n">
        <v>0</v>
      </c>
      <c r="T331" t="inlineStr">
        <is>
          <t>Совпадений по улице+дому не найдено</t>
        </is>
      </c>
      <c r="U331" t="n">
        <v>440</v>
      </c>
      <c r="V331" t="n">
        <v>19</v>
      </c>
      <c r="W331" t="n">
        <v>8</v>
      </c>
      <c r="X331" t="n">
        <v>95000000</v>
      </c>
      <c r="Y331" t="inlineStr"/>
      <c r="Z331" t="inlineStr"/>
      <c r="AA331" t="inlineStr">
        <is>
          <t>https://knru.ru/catalog/goncharnaya-ul-d-6-1091037435/</t>
        </is>
      </c>
      <c r="AB331" t="inlineStr">
        <is>
          <t>C</t>
        </is>
      </c>
    </row>
    <row r="332">
      <c r="A332" t="n">
        <v>441</v>
      </c>
      <c r="B332" t="n">
        <v>19</v>
      </c>
      <c r="C332" t="n">
        <v>9</v>
      </c>
      <c r="D332" t="n">
        <v>694434700</v>
      </c>
      <c r="E332" t="inlineStr">
        <is>
          <t>Центральный</t>
        </is>
      </c>
      <c r="F332" t="inlineStr">
        <is>
          <t>Гончарная ул, 6</t>
        </is>
      </c>
      <c r="G332" t="n">
        <v>49</v>
      </c>
      <c r="H332" t="inlineStr">
        <is>
          <t>24 500 000</t>
        </is>
      </c>
      <c r="I332" t="inlineStr"/>
      <c r="J332" t="inlineStr"/>
      <c r="K332" t="inlineStr"/>
      <c r="L332" t="inlineStr"/>
      <c r="M332" t="inlineStr"/>
      <c r="N332" t="inlineStr">
        <is>
          <t>no</t>
        </is>
      </c>
      <c r="O332" t="inlineStr">
        <is>
          <t>none</t>
        </is>
      </c>
      <c r="P332">
        <f>HYPERLINK("https://knru.ru/catalog/goncharnaya-ul-d-6-694434700/","ссылка")</f>
        <v/>
      </c>
      <c r="Q332" t="inlineStr"/>
      <c r="R332" t="inlineStr">
        <is>
          <t>Нет у нас</t>
        </is>
      </c>
      <c r="S332" t="n">
        <v>0</v>
      </c>
      <c r="T332" t="inlineStr">
        <is>
          <t>Совпадений по улице+дому не найдено</t>
        </is>
      </c>
      <c r="U332" t="n">
        <v>441</v>
      </c>
      <c r="V332" t="n">
        <v>19</v>
      </c>
      <c r="W332" t="n">
        <v>9</v>
      </c>
      <c r="X332" t="n">
        <v>24500000</v>
      </c>
      <c r="Y332" t="inlineStr"/>
      <c r="Z332" t="inlineStr"/>
      <c r="AA332" t="inlineStr">
        <is>
          <t>https://knru.ru/catalog/goncharnaya-ul-d-6-694434700/</t>
        </is>
      </c>
      <c r="AB332" t="inlineStr">
        <is>
          <t>C</t>
        </is>
      </c>
    </row>
    <row r="333">
      <c r="A333" t="n">
        <v>442</v>
      </c>
      <c r="B333" t="n">
        <v>19</v>
      </c>
      <c r="C333" t="n">
        <v>10</v>
      </c>
      <c r="D333" t="n">
        <v>320572196</v>
      </c>
      <c r="E333" t="inlineStr">
        <is>
          <t>Центральный</t>
        </is>
      </c>
      <c r="F333" t="inlineStr">
        <is>
          <t>Гончарная ул, 6литераГ</t>
        </is>
      </c>
      <c r="G333" t="n">
        <v>93</v>
      </c>
      <c r="H333" t="inlineStr">
        <is>
          <t>46 500 000</t>
        </is>
      </c>
      <c r="I333" t="inlineStr"/>
      <c r="J333" t="inlineStr"/>
      <c r="K333" t="inlineStr"/>
      <c r="L333" t="inlineStr"/>
      <c r="M333" t="inlineStr"/>
      <c r="N333" t="inlineStr">
        <is>
          <t>no</t>
        </is>
      </c>
      <c r="O333" t="inlineStr">
        <is>
          <t>none</t>
        </is>
      </c>
      <c r="P333">
        <f>HYPERLINK("https://knru.ru/catalog/goncharnaya-ul-d-6-320572196/","ссылка")</f>
        <v/>
      </c>
      <c r="Q333" t="inlineStr"/>
      <c r="R333" t="inlineStr">
        <is>
          <t>Нет у нас</t>
        </is>
      </c>
      <c r="S333" t="n">
        <v>0</v>
      </c>
      <c r="T333" t="inlineStr">
        <is>
          <t>Совпадений по улице+дому не найдено</t>
        </is>
      </c>
      <c r="U333" t="n">
        <v>442</v>
      </c>
      <c r="V333" t="n">
        <v>19</v>
      </c>
      <c r="W333" t="n">
        <v>10</v>
      </c>
      <c r="X333" t="n">
        <v>46500000</v>
      </c>
      <c r="Y333" t="inlineStr"/>
      <c r="Z333" t="inlineStr"/>
      <c r="AA333" t="inlineStr">
        <is>
          <t>https://knru.ru/catalog/goncharnaya-ul-d-6-320572196/</t>
        </is>
      </c>
      <c r="AB333" t="inlineStr">
        <is>
          <t>C</t>
        </is>
      </c>
    </row>
    <row r="334">
      <c r="A334" t="n">
        <v>443</v>
      </c>
      <c r="B334" t="n">
        <v>19</v>
      </c>
      <c r="C334" t="n">
        <v>11</v>
      </c>
      <c r="D334" t="n">
        <v>654539449</v>
      </c>
      <c r="E334" t="inlineStr">
        <is>
          <t>Центральный</t>
        </is>
      </c>
      <c r="F334" t="inlineStr">
        <is>
          <t>Гончарная ул, 6литераГ</t>
        </is>
      </c>
      <c r="G334" t="n">
        <v>84</v>
      </c>
      <c r="H334" t="inlineStr">
        <is>
          <t>84 000 000</t>
        </is>
      </c>
      <c r="I334" t="inlineStr"/>
      <c r="J334" t="inlineStr"/>
      <c r="K334" t="inlineStr"/>
      <c r="L334" t="inlineStr"/>
      <c r="M334" t="inlineStr"/>
      <c r="N334" t="inlineStr">
        <is>
          <t>no</t>
        </is>
      </c>
      <c r="O334" t="inlineStr">
        <is>
          <t>none</t>
        </is>
      </c>
      <c r="P334">
        <f>HYPERLINK("https://knru.ru/catalog/goncharnaya-ul-d-6-654539449/","ссылка")</f>
        <v/>
      </c>
      <c r="Q334" t="inlineStr"/>
      <c r="R334" t="inlineStr">
        <is>
          <t>Нет у нас</t>
        </is>
      </c>
      <c r="S334" t="n">
        <v>0</v>
      </c>
      <c r="T334" t="inlineStr">
        <is>
          <t>Совпадений по улице+дому не найдено</t>
        </is>
      </c>
      <c r="U334" t="n">
        <v>443</v>
      </c>
      <c r="V334" t="n">
        <v>19</v>
      </c>
      <c r="W334" t="n">
        <v>11</v>
      </c>
      <c r="X334" t="n">
        <v>84000000</v>
      </c>
      <c r="Y334" t="inlineStr"/>
      <c r="Z334" t="inlineStr"/>
      <c r="AA334" t="inlineStr">
        <is>
          <t>https://knru.ru/catalog/goncharnaya-ul-d-6-654539449/</t>
        </is>
      </c>
      <c r="AB334" t="inlineStr">
        <is>
          <t>C</t>
        </is>
      </c>
    </row>
    <row r="335">
      <c r="A335" t="n">
        <v>444</v>
      </c>
      <c r="B335" t="n">
        <v>19</v>
      </c>
      <c r="C335" t="n">
        <v>12</v>
      </c>
      <c r="D335" t="n">
        <v>61575497</v>
      </c>
      <c r="E335" t="inlineStr">
        <is>
          <t>Центральный</t>
        </is>
      </c>
      <c r="F335" t="inlineStr">
        <is>
          <t>Гончарная ул, 6литераГ</t>
        </is>
      </c>
      <c r="G335" t="n">
        <v>85</v>
      </c>
      <c r="H335" t="inlineStr">
        <is>
          <t>42 500 000</t>
        </is>
      </c>
      <c r="I335" t="inlineStr"/>
      <c r="J335" t="inlineStr"/>
      <c r="K335" t="inlineStr"/>
      <c r="L335" t="inlineStr"/>
      <c r="M335" t="inlineStr"/>
      <c r="N335" t="inlineStr">
        <is>
          <t>no</t>
        </is>
      </c>
      <c r="O335" t="inlineStr">
        <is>
          <t>none</t>
        </is>
      </c>
      <c r="P335">
        <f>HYPERLINK("https://knru.ru/catalog/goncharnaya-ul-d-6-61575497/","ссылка")</f>
        <v/>
      </c>
      <c r="Q335" t="inlineStr"/>
      <c r="R335" t="inlineStr">
        <is>
          <t>Нет у нас</t>
        </is>
      </c>
      <c r="S335" t="n">
        <v>0</v>
      </c>
      <c r="T335" t="inlineStr">
        <is>
          <t>Совпадений по улице+дому не найдено</t>
        </is>
      </c>
      <c r="U335" t="n">
        <v>444</v>
      </c>
      <c r="V335" t="n">
        <v>19</v>
      </c>
      <c r="W335" t="n">
        <v>12</v>
      </c>
      <c r="X335" t="n">
        <v>42500000</v>
      </c>
      <c r="Y335" t="inlineStr"/>
      <c r="Z335" t="inlineStr"/>
      <c r="AA335" t="inlineStr">
        <is>
          <t>https://knru.ru/catalog/goncharnaya-ul-d-6-61575497/</t>
        </is>
      </c>
      <c r="AB335" t="inlineStr">
        <is>
          <t>C</t>
        </is>
      </c>
    </row>
    <row r="336">
      <c r="A336" t="n">
        <v>445</v>
      </c>
      <c r="B336" t="n">
        <v>19</v>
      </c>
      <c r="C336" t="n">
        <v>13</v>
      </c>
      <c r="D336" t="n">
        <v>1273789704</v>
      </c>
      <c r="E336" t="inlineStr">
        <is>
          <t>Центральный</t>
        </is>
      </c>
      <c r="F336" t="inlineStr">
        <is>
          <t>Гончарная ул, 6литераГ</t>
        </is>
      </c>
      <c r="G336" t="n">
        <v>41</v>
      </c>
      <c r="H336" t="inlineStr">
        <is>
          <t>20 500 000</t>
        </is>
      </c>
      <c r="I336" t="inlineStr"/>
      <c r="J336" t="inlineStr"/>
      <c r="K336" t="inlineStr"/>
      <c r="L336" t="inlineStr"/>
      <c r="M336" t="inlineStr"/>
      <c r="N336" t="inlineStr">
        <is>
          <t>no</t>
        </is>
      </c>
      <c r="O336" t="inlineStr">
        <is>
          <t>none</t>
        </is>
      </c>
      <c r="P336">
        <f>HYPERLINK("https://knru.ru/catalog/goncharnaya-ul-d-6-1273789704/","ссылка")</f>
        <v/>
      </c>
      <c r="Q336" t="inlineStr"/>
      <c r="R336" t="inlineStr">
        <is>
          <t>Нет у нас</t>
        </is>
      </c>
      <c r="S336" t="n">
        <v>0</v>
      </c>
      <c r="T336" t="inlineStr">
        <is>
          <t>Совпадений по улице+дому не найдено</t>
        </is>
      </c>
      <c r="U336" t="n">
        <v>445</v>
      </c>
      <c r="V336" t="n">
        <v>19</v>
      </c>
      <c r="W336" t="n">
        <v>13</v>
      </c>
      <c r="X336" t="n">
        <v>20500000</v>
      </c>
      <c r="Y336" t="inlineStr"/>
      <c r="Z336" t="inlineStr"/>
      <c r="AA336" t="inlineStr">
        <is>
          <t>https://knru.ru/catalog/goncharnaya-ul-d-6-1273789704/</t>
        </is>
      </c>
      <c r="AB336" t="inlineStr">
        <is>
          <t>C</t>
        </is>
      </c>
    </row>
    <row r="337">
      <c r="A337" t="n">
        <v>446</v>
      </c>
      <c r="B337" t="n">
        <v>19</v>
      </c>
      <c r="C337" t="n">
        <v>14</v>
      </c>
      <c r="D337" t="inlineStr"/>
      <c r="E337" t="inlineStr">
        <is>
          <t>Выборгский</t>
        </is>
      </c>
      <c r="F337" t="inlineStr">
        <is>
          <t>Руднева ул, 22к1</t>
        </is>
      </c>
      <c r="G337" t="n">
        <v>129.8</v>
      </c>
      <c r="H337" t="inlineStr">
        <is>
          <t>22 900 000</t>
        </is>
      </c>
      <c r="I337" t="inlineStr"/>
      <c r="J337" t="inlineStr"/>
      <c r="K337" t="inlineStr"/>
      <c r="L337" t="inlineStr"/>
      <c r="M337" t="inlineStr"/>
      <c r="N337" t="inlineStr">
        <is>
          <t>no</t>
        </is>
      </c>
      <c r="O337" t="inlineStr">
        <is>
          <t>none</t>
        </is>
      </c>
      <c r="P337">
        <f>HYPERLINK("https://knru.ru/catalog/rudneva-ul-22k1/","ссылка")</f>
        <v/>
      </c>
      <c r="Q337" t="inlineStr"/>
      <c r="R337" t="inlineStr">
        <is>
          <t>Нет у нас</t>
        </is>
      </c>
      <c r="S337" t="n">
        <v>0</v>
      </c>
      <c r="T337" t="inlineStr">
        <is>
          <t>Совпадений по улице+дому не найдено</t>
        </is>
      </c>
      <c r="U337" t="n">
        <v>446</v>
      </c>
      <c r="V337" t="n">
        <v>19</v>
      </c>
      <c r="W337" t="n">
        <v>14</v>
      </c>
      <c r="X337" t="n">
        <v>22900000</v>
      </c>
      <c r="Y337" t="inlineStr"/>
      <c r="Z337" t="inlineStr"/>
      <c r="AA337" t="inlineStr">
        <is>
          <t>https://knru.ru/catalog/rudneva-ul-22k1/</t>
        </is>
      </c>
      <c r="AB337" t="inlineStr">
        <is>
          <t>C</t>
        </is>
      </c>
    </row>
    <row r="338">
      <c r="A338" t="n">
        <v>447</v>
      </c>
      <c r="B338" t="n">
        <v>19</v>
      </c>
      <c r="C338" t="n">
        <v>15</v>
      </c>
      <c r="D338" t="inlineStr"/>
      <c r="E338" t="inlineStr">
        <is>
          <t>Центральный</t>
        </is>
      </c>
      <c r="F338" t="inlineStr">
        <is>
          <t>Тульская ул, 9 А</t>
        </is>
      </c>
      <c r="G338" t="n">
        <v>160</v>
      </c>
      <c r="H338" t="inlineStr">
        <is>
          <t>32 000 000</t>
        </is>
      </c>
      <c r="I338" t="inlineStr"/>
      <c r="J338" t="inlineStr"/>
      <c r="K338" t="inlineStr"/>
      <c r="L338" t="inlineStr"/>
      <c r="M338" t="inlineStr"/>
      <c r="N338" t="inlineStr">
        <is>
          <t>no</t>
        </is>
      </c>
      <c r="O338" t="inlineStr">
        <is>
          <t>none</t>
        </is>
      </c>
      <c r="P338">
        <f>HYPERLINK("https://knru.ru/catalog/tulskaya-ul-9-a/","ссылка")</f>
        <v/>
      </c>
      <c r="Q338" t="inlineStr"/>
      <c r="R338" t="inlineStr">
        <is>
          <t>Нет у нас</t>
        </is>
      </c>
      <c r="S338" t="n">
        <v>0</v>
      </c>
      <c r="T338" t="inlineStr">
        <is>
          <t>Совпадений по улице+дому не найдено</t>
        </is>
      </c>
      <c r="U338" t="n">
        <v>447</v>
      </c>
      <c r="V338" t="n">
        <v>19</v>
      </c>
      <c r="W338" t="n">
        <v>15</v>
      </c>
      <c r="X338" t="n">
        <v>32000000</v>
      </c>
      <c r="Y338" t="inlineStr"/>
      <c r="Z338" t="inlineStr"/>
      <c r="AA338" t="inlineStr">
        <is>
          <t>https://knru.ru/catalog/tulskaya-ul-9-a/</t>
        </is>
      </c>
      <c r="AB338" t="inlineStr">
        <is>
          <t>C</t>
        </is>
      </c>
    </row>
    <row r="339">
      <c r="A339" t="n">
        <v>448</v>
      </c>
      <c r="B339" t="n">
        <v>19</v>
      </c>
      <c r="C339" t="n">
        <v>16</v>
      </c>
      <c r="D339" t="n">
        <v>30</v>
      </c>
      <c r="E339" t="inlineStr">
        <is>
          <t>Василеостровский</t>
        </is>
      </c>
      <c r="F339" t="inlineStr">
        <is>
          <t>7-я В.О. линия, 30</t>
        </is>
      </c>
      <c r="G339" t="n">
        <v>189.3</v>
      </c>
      <c r="H339" t="inlineStr">
        <is>
          <t>112 000 000</t>
        </is>
      </c>
      <c r="I339" t="inlineStr"/>
      <c r="J339" t="inlineStr"/>
      <c r="K339" t="inlineStr"/>
      <c r="L339" t="inlineStr"/>
      <c r="M339" t="inlineStr"/>
      <c r="N339" t="inlineStr">
        <is>
          <t>no</t>
        </is>
      </c>
      <c r="O339" t="inlineStr">
        <is>
          <t>none</t>
        </is>
      </c>
      <c r="P339">
        <f>HYPERLINK("https://knru.ru/catalog/7-ya-liniya-v-o-d-30/","ссылка")</f>
        <v/>
      </c>
      <c r="Q339" t="inlineStr"/>
      <c r="R339" t="inlineStr">
        <is>
          <t>Нет у нас</t>
        </is>
      </c>
      <c r="S339" t="n">
        <v>0</v>
      </c>
      <c r="T339" t="inlineStr">
        <is>
          <t>Совпадений по улице+дому не найдено</t>
        </is>
      </c>
      <c r="U339" t="n">
        <v>448</v>
      </c>
      <c r="V339" t="n">
        <v>19</v>
      </c>
      <c r="W339" t="n">
        <v>16</v>
      </c>
      <c r="X339" t="n">
        <v>112000000</v>
      </c>
      <c r="Y339" t="inlineStr"/>
      <c r="Z339" t="inlineStr"/>
      <c r="AA339" t="inlineStr">
        <is>
          <t>https://knru.ru/catalog/7-ya-liniya-v-o-d-30/</t>
        </is>
      </c>
      <c r="AB339" t="inlineStr">
        <is>
          <t>C</t>
        </is>
      </c>
    </row>
    <row r="340">
      <c r="A340" t="n">
        <v>449</v>
      </c>
      <c r="B340" t="n">
        <v>19</v>
      </c>
      <c r="C340" t="n">
        <v>17</v>
      </c>
      <c r="D340" t="n">
        <v>1850514725</v>
      </c>
      <c r="E340" t="inlineStr">
        <is>
          <t>Невский</t>
        </is>
      </c>
      <c r="F340" t="inlineStr">
        <is>
          <t>Шелгунова ул, 12</t>
        </is>
      </c>
      <c r="G340" t="n">
        <v>172.2</v>
      </c>
      <c r="H340" t="inlineStr">
        <is>
          <t>33 600 000</t>
        </is>
      </c>
      <c r="I340" t="inlineStr"/>
      <c r="J340" t="inlineStr"/>
      <c r="K340" t="inlineStr"/>
      <c r="L340" t="inlineStr"/>
      <c r="M340" t="inlineStr"/>
      <c r="N340" t="inlineStr">
        <is>
          <t>no</t>
        </is>
      </c>
      <c r="O340" t="inlineStr">
        <is>
          <t>none</t>
        </is>
      </c>
      <c r="P340">
        <f>HYPERLINK("https://knru.ru/catalog/shelgunova-ul-12-1850514725/","ссылка")</f>
        <v/>
      </c>
      <c r="Q340" t="inlineStr"/>
      <c r="R340" t="inlineStr">
        <is>
          <t>Нет у нас</t>
        </is>
      </c>
      <c r="S340" t="n">
        <v>0</v>
      </c>
      <c r="T340" t="inlineStr">
        <is>
          <t>Совпадений по улице+дому не найдено</t>
        </is>
      </c>
      <c r="U340" t="n">
        <v>449</v>
      </c>
      <c r="V340" t="n">
        <v>19</v>
      </c>
      <c r="W340" t="n">
        <v>17</v>
      </c>
      <c r="X340" t="n">
        <v>33600000</v>
      </c>
      <c r="Y340" t="inlineStr"/>
      <c r="Z340" t="inlineStr"/>
      <c r="AA340" t="inlineStr">
        <is>
          <t>https://knru.ru/catalog/shelgunova-ul-12-1850514725/</t>
        </is>
      </c>
      <c r="AB340" t="inlineStr">
        <is>
          <t>C</t>
        </is>
      </c>
    </row>
    <row r="341">
      <c r="A341" t="n">
        <v>451</v>
      </c>
      <c r="B341" t="n">
        <v>19</v>
      </c>
      <c r="C341" t="n">
        <v>19</v>
      </c>
      <c r="D341" t="n">
        <v>4</v>
      </c>
      <c r="E341" t="inlineStr">
        <is>
          <t>Всеволожский</t>
        </is>
      </c>
      <c r="F341" t="inlineStr">
        <is>
          <t>Пражская ул, 4</t>
        </is>
      </c>
      <c r="G341" t="n">
        <v>150</v>
      </c>
      <c r="H341" t="inlineStr">
        <is>
          <t>3 150 000</t>
        </is>
      </c>
      <c r="I341" t="inlineStr"/>
      <c r="J341" t="inlineStr"/>
      <c r="K341" t="inlineStr"/>
      <c r="L341" t="inlineStr"/>
      <c r="M341" t="inlineStr"/>
      <c r="N341" t="inlineStr">
        <is>
          <t>no</t>
        </is>
      </c>
      <c r="O341" t="inlineStr">
        <is>
          <t>none</t>
        </is>
      </c>
      <c r="P341">
        <f>HYPERLINK("https://knru.ru/catalog/prazhskaya-ul-4/","ссылка")</f>
        <v/>
      </c>
      <c r="Q341" t="inlineStr"/>
      <c r="R341" t="inlineStr">
        <is>
          <t>Нет у нас</t>
        </is>
      </c>
      <c r="S341" t="n">
        <v>0</v>
      </c>
      <c r="T341" t="inlineStr">
        <is>
          <t>Совпадений по улице+дому не найдено</t>
        </is>
      </c>
      <c r="U341" t="n">
        <v>451</v>
      </c>
      <c r="V341" t="n">
        <v>19</v>
      </c>
      <c r="W341" t="n">
        <v>19</v>
      </c>
      <c r="X341" t="n">
        <v>3150000</v>
      </c>
      <c r="Y341" t="inlineStr"/>
      <c r="Z341" t="inlineStr"/>
      <c r="AA341" t="inlineStr">
        <is>
          <t>https://knru.ru/catalog/prazhskaya-ul-4/</t>
        </is>
      </c>
      <c r="AB341" t="inlineStr">
        <is>
          <t>C</t>
        </is>
      </c>
    </row>
    <row r="342">
      <c r="A342" t="n">
        <v>456</v>
      </c>
      <c r="B342" t="n">
        <v>19</v>
      </c>
      <c r="C342" t="n">
        <v>24</v>
      </c>
      <c r="D342" t="n">
        <v>1331932954</v>
      </c>
      <c r="E342" t="inlineStr">
        <is>
          <t>Невский</t>
        </is>
      </c>
      <c r="F342" t="inlineStr">
        <is>
          <t>Варфоломеевская ул, 6</t>
        </is>
      </c>
      <c r="G342" t="n">
        <v>159.2</v>
      </c>
      <c r="H342" t="inlineStr">
        <is>
          <t>19 104 000</t>
        </is>
      </c>
      <c r="I342" t="inlineStr"/>
      <c r="J342" t="inlineStr"/>
      <c r="K342" t="inlineStr"/>
      <c r="L342" t="inlineStr"/>
      <c r="M342" t="inlineStr"/>
      <c r="N342" t="inlineStr">
        <is>
          <t>no</t>
        </is>
      </c>
      <c r="O342" t="inlineStr">
        <is>
          <t>none</t>
        </is>
      </c>
      <c r="P342">
        <f>HYPERLINK("https://knru.ru/catalog/varfolomeevskaya-ul-d-6-1331932954/","ссылка")</f>
        <v/>
      </c>
      <c r="Q342" t="inlineStr"/>
      <c r="R342" t="inlineStr">
        <is>
          <t>Нет у нас</t>
        </is>
      </c>
      <c r="S342" t="n">
        <v>0</v>
      </c>
      <c r="T342" t="inlineStr">
        <is>
          <t>Совпадений по улице+дому не найдено</t>
        </is>
      </c>
      <c r="U342" t="n">
        <v>456</v>
      </c>
      <c r="V342" t="n">
        <v>19</v>
      </c>
      <c r="W342" t="n">
        <v>24</v>
      </c>
      <c r="X342" t="n">
        <v>19104000</v>
      </c>
      <c r="Y342" t="inlineStr"/>
      <c r="Z342" t="inlineStr"/>
      <c r="AA342" t="inlineStr">
        <is>
          <t>https://knru.ru/catalog/varfolomeevskaya-ul-d-6-1331932954/</t>
        </is>
      </c>
      <c r="AB342" t="inlineStr">
        <is>
          <t>C</t>
        </is>
      </c>
    </row>
    <row r="343">
      <c r="A343" t="n">
        <v>457</v>
      </c>
      <c r="B343" t="n">
        <v>20</v>
      </c>
      <c r="C343" t="n">
        <v>1</v>
      </c>
      <c r="D343" t="n">
        <v>6</v>
      </c>
      <c r="E343" t="inlineStr">
        <is>
          <t>Невский</t>
        </is>
      </c>
      <c r="F343" t="inlineStr">
        <is>
          <t>Варфоломеевская ул, 6</t>
        </is>
      </c>
      <c r="G343" t="n">
        <v>130.1</v>
      </c>
      <c r="H343" t="inlineStr">
        <is>
          <t>32 525 000</t>
        </is>
      </c>
      <c r="I343" t="inlineStr"/>
      <c r="J343" t="inlineStr"/>
      <c r="K343" t="inlineStr"/>
      <c r="L343" t="inlineStr"/>
      <c r="M343" t="inlineStr"/>
      <c r="N343" t="inlineStr">
        <is>
          <t>no</t>
        </is>
      </c>
      <c r="O343" t="inlineStr">
        <is>
          <t>none</t>
        </is>
      </c>
      <c r="P343">
        <f>HYPERLINK("https://knru.ru/catalog/varfolomeevskaya-ul-d-6/","ссылка")</f>
        <v/>
      </c>
      <c r="Q343" t="inlineStr"/>
      <c r="R343" t="inlineStr">
        <is>
          <t>Нет у нас</t>
        </is>
      </c>
      <c r="S343" t="n">
        <v>0</v>
      </c>
      <c r="T343" t="inlineStr">
        <is>
          <t>Совпадений по улице+дому не найдено</t>
        </is>
      </c>
      <c r="U343" t="n">
        <v>457</v>
      </c>
      <c r="V343" t="n">
        <v>20</v>
      </c>
      <c r="W343" t="n">
        <v>1</v>
      </c>
      <c r="X343" t="n">
        <v>32525000</v>
      </c>
      <c r="Y343" t="inlineStr"/>
      <c r="Z343" t="inlineStr"/>
      <c r="AA343" t="inlineStr">
        <is>
          <t>https://knru.ru/catalog/varfolomeevskaya-ul-d-6/</t>
        </is>
      </c>
      <c r="AB343" t="inlineStr">
        <is>
          <t>C</t>
        </is>
      </c>
    </row>
    <row r="344">
      <c r="A344" t="n">
        <v>458</v>
      </c>
      <c r="B344" t="n">
        <v>20</v>
      </c>
      <c r="C344" t="n">
        <v>2</v>
      </c>
      <c r="D344" t="n">
        <v>1</v>
      </c>
      <c r="E344" t="inlineStr">
        <is>
          <t>Московский</t>
        </is>
      </c>
      <c r="F344" t="inlineStr">
        <is>
          <t>Витебский пр-кт, 99к1стр1</t>
        </is>
      </c>
      <c r="G344" t="n">
        <v>712</v>
      </c>
      <c r="H344" t="inlineStr">
        <is>
          <t>142 420 000</t>
        </is>
      </c>
      <c r="I344" t="inlineStr"/>
      <c r="J344" t="inlineStr"/>
      <c r="K344" t="inlineStr"/>
      <c r="L344" t="inlineStr"/>
      <c r="M344" t="inlineStr"/>
      <c r="N344" t="inlineStr">
        <is>
          <t>no</t>
        </is>
      </c>
      <c r="O344" t="inlineStr">
        <is>
          <t>none</t>
        </is>
      </c>
      <c r="P344">
        <f>HYPERLINK("https://knru.ru/catalog/vitebskiy-pr-kt-d-99-k-1/","ссылка")</f>
        <v/>
      </c>
      <c r="Q344" t="inlineStr"/>
      <c r="R344" t="inlineStr">
        <is>
          <t>Нет у нас</t>
        </is>
      </c>
      <c r="S344" t="n">
        <v>0</v>
      </c>
      <c r="T344" t="inlineStr">
        <is>
          <t>Совпадений по улице+дому не найдено</t>
        </is>
      </c>
      <c r="U344" t="n">
        <v>458</v>
      </c>
      <c r="V344" t="n">
        <v>20</v>
      </c>
      <c r="W344" t="n">
        <v>2</v>
      </c>
      <c r="X344" t="n">
        <v>142420000</v>
      </c>
      <c r="Y344" t="inlineStr"/>
      <c r="Z344" t="inlineStr"/>
      <c r="AA344" t="inlineStr">
        <is>
          <t>https://knru.ru/catalog/vitebskiy-pr-kt-d-99-k-1/</t>
        </is>
      </c>
      <c r="AB344" t="inlineStr">
        <is>
          <t>C</t>
        </is>
      </c>
    </row>
    <row r="345">
      <c r="A345" t="n">
        <v>459</v>
      </c>
      <c r="B345" t="n">
        <v>20</v>
      </c>
      <c r="C345" t="n">
        <v>3</v>
      </c>
      <c r="D345" t="n">
        <v>342672676</v>
      </c>
      <c r="E345" t="inlineStr">
        <is>
          <t>Невский</t>
        </is>
      </c>
      <c r="F345" t="inlineStr">
        <is>
          <t>Русановская ул, 28</t>
        </is>
      </c>
      <c r="G345" t="n">
        <v>79.3</v>
      </c>
      <c r="H345" t="inlineStr">
        <is>
          <t>13 202 176</t>
        </is>
      </c>
      <c r="I345" t="inlineStr"/>
      <c r="J345" t="inlineStr"/>
      <c r="K345" t="inlineStr"/>
      <c r="L345" t="inlineStr"/>
      <c r="M345" t="inlineStr"/>
      <c r="N345" t="inlineStr">
        <is>
          <t>no</t>
        </is>
      </c>
      <c r="O345" t="inlineStr">
        <is>
          <t>none</t>
        </is>
      </c>
      <c r="P345">
        <f>HYPERLINK("https://knru.ru/catalog/ul-rusanovskaya-d-28-342672676/","ссылка")</f>
        <v/>
      </c>
      <c r="Q345" t="inlineStr"/>
      <c r="R345" t="inlineStr">
        <is>
          <t>Нет у нас</t>
        </is>
      </c>
      <c r="S345" t="n">
        <v>0</v>
      </c>
      <c r="T345" t="inlineStr">
        <is>
          <t>Совпадений по улице+дому не найдено</t>
        </is>
      </c>
      <c r="U345" t="n">
        <v>459</v>
      </c>
      <c r="V345" t="n">
        <v>20</v>
      </c>
      <c r="W345" t="n">
        <v>3</v>
      </c>
      <c r="X345" t="n">
        <v>13202176</v>
      </c>
      <c r="Y345" t="inlineStr"/>
      <c r="Z345" t="inlineStr"/>
      <c r="AA345" t="inlineStr">
        <is>
          <t>https://knru.ru/catalog/ul-rusanovskaya-d-28-342672676/</t>
        </is>
      </c>
      <c r="AB345" t="inlineStr">
        <is>
          <t>C</t>
        </is>
      </c>
    </row>
    <row r="346">
      <c r="A346" t="n">
        <v>460</v>
      </c>
      <c r="B346" t="n">
        <v>20</v>
      </c>
      <c r="C346" t="n">
        <v>4</v>
      </c>
      <c r="D346" t="n">
        <v>829848355</v>
      </c>
      <c r="E346" t="inlineStr">
        <is>
          <t>Невский</t>
        </is>
      </c>
      <c r="F346" t="inlineStr">
        <is>
          <t>Русановская ул, 28</t>
        </is>
      </c>
      <c r="G346" t="n">
        <v>73</v>
      </c>
      <c r="H346" t="inlineStr">
        <is>
          <t>12 839 200</t>
        </is>
      </c>
      <c r="I346" t="inlineStr"/>
      <c r="J346" t="inlineStr"/>
      <c r="K346" t="inlineStr"/>
      <c r="L346" t="inlineStr"/>
      <c r="M346" t="inlineStr"/>
      <c r="N346" t="inlineStr">
        <is>
          <t>no</t>
        </is>
      </c>
      <c r="O346" t="inlineStr">
        <is>
          <t>none</t>
        </is>
      </c>
      <c r="P346">
        <f>HYPERLINK("https://knru.ru/catalog/ul-rusanovskaya-d-28-829848355/","ссылка")</f>
        <v/>
      </c>
      <c r="Q346" t="inlineStr"/>
      <c r="R346" t="inlineStr">
        <is>
          <t>Нет у нас</t>
        </is>
      </c>
      <c r="S346" t="n">
        <v>0</v>
      </c>
      <c r="T346" t="inlineStr">
        <is>
          <t>Совпадений по улице+дому не найдено</t>
        </is>
      </c>
      <c r="U346" t="n">
        <v>460</v>
      </c>
      <c r="V346" t="n">
        <v>20</v>
      </c>
      <c r="W346" t="n">
        <v>4</v>
      </c>
      <c r="X346" t="n">
        <v>12839200</v>
      </c>
      <c r="Y346" t="inlineStr"/>
      <c r="Z346" t="inlineStr"/>
      <c r="AA346" t="inlineStr">
        <is>
          <t>https://knru.ru/catalog/ul-rusanovskaya-d-28-829848355/</t>
        </is>
      </c>
      <c r="AB346" t="inlineStr">
        <is>
          <t>C</t>
        </is>
      </c>
    </row>
    <row r="347">
      <c r="A347" t="n">
        <v>461</v>
      </c>
      <c r="B347" t="n">
        <v>20</v>
      </c>
      <c r="C347" t="n">
        <v>5</v>
      </c>
      <c r="D347" t="n">
        <v>1939484606</v>
      </c>
      <c r="E347" t="inlineStr">
        <is>
          <t>Невский</t>
        </is>
      </c>
      <c r="F347" t="inlineStr">
        <is>
          <t>Русановская ул, 28</t>
        </is>
      </c>
      <c r="G347" t="n">
        <v>72.7</v>
      </c>
      <c r="H347" t="inlineStr">
        <is>
          <t>12 500 960</t>
        </is>
      </c>
      <c r="I347" t="inlineStr"/>
      <c r="J347" t="inlineStr"/>
      <c r="K347" t="inlineStr"/>
      <c r="L347" t="inlineStr"/>
      <c r="M347" t="inlineStr"/>
      <c r="N347" t="inlineStr">
        <is>
          <t>no</t>
        </is>
      </c>
      <c r="O347" t="inlineStr">
        <is>
          <t>none</t>
        </is>
      </c>
      <c r="P347">
        <f>HYPERLINK("https://knru.ru/catalog/ul-rusanovskaya-d-28-1939484606/","ссылка")</f>
        <v/>
      </c>
      <c r="Q347" t="inlineStr"/>
      <c r="R347" t="inlineStr">
        <is>
          <t>Нет у нас</t>
        </is>
      </c>
      <c r="S347" t="n">
        <v>0</v>
      </c>
      <c r="T347" t="inlineStr">
        <is>
          <t>Совпадений по улице+дому не найдено</t>
        </is>
      </c>
      <c r="U347" t="n">
        <v>461</v>
      </c>
      <c r="V347" t="n">
        <v>20</v>
      </c>
      <c r="W347" t="n">
        <v>5</v>
      </c>
      <c r="X347" t="n">
        <v>12500960</v>
      </c>
      <c r="Y347" t="inlineStr"/>
      <c r="Z347" t="inlineStr"/>
      <c r="AA347" t="inlineStr">
        <is>
          <t>https://knru.ru/catalog/ul-rusanovskaya-d-28-1939484606/</t>
        </is>
      </c>
      <c r="AB347" t="inlineStr">
        <is>
          <t>C</t>
        </is>
      </c>
    </row>
    <row r="348">
      <c r="A348" t="n">
        <v>462</v>
      </c>
      <c r="B348" t="n">
        <v>20</v>
      </c>
      <c r="C348" t="n">
        <v>6</v>
      </c>
      <c r="D348" t="n">
        <v>12</v>
      </c>
      <c r="E348" t="inlineStr">
        <is>
          <t>Колпинский</t>
        </is>
      </c>
      <c r="F348" t="inlineStr">
        <is>
          <t>Рубежное ш, 12</t>
        </is>
      </c>
      <c r="G348" t="n">
        <v>68.5</v>
      </c>
      <c r="H348" t="inlineStr">
        <is>
          <t>11 727 200</t>
        </is>
      </c>
      <c r="I348" t="inlineStr"/>
      <c r="J348" t="inlineStr"/>
      <c r="K348" t="inlineStr"/>
      <c r="L348" t="inlineStr"/>
      <c r="M348" t="inlineStr"/>
      <c r="N348" t="inlineStr">
        <is>
          <t>no</t>
        </is>
      </c>
      <c r="O348" t="inlineStr">
        <is>
          <t>none</t>
        </is>
      </c>
      <c r="P348">
        <f>HYPERLINK("https://knru.ru/catalog/kolpino-rubezhnoe-sh-d-12/","ссылка")</f>
        <v/>
      </c>
      <c r="Q348" t="inlineStr"/>
      <c r="R348" t="inlineStr">
        <is>
          <t>Нет у нас</t>
        </is>
      </c>
      <c r="S348" t="n">
        <v>0</v>
      </c>
      <c r="T348" t="inlineStr">
        <is>
          <t>Совпадений по улице+дому не найдено</t>
        </is>
      </c>
      <c r="U348" t="n">
        <v>462</v>
      </c>
      <c r="V348" t="n">
        <v>20</v>
      </c>
      <c r="W348" t="n">
        <v>6</v>
      </c>
      <c r="X348" t="n">
        <v>11727200</v>
      </c>
      <c r="Y348" t="inlineStr"/>
      <c r="Z348" t="inlineStr"/>
      <c r="AA348" t="inlineStr">
        <is>
          <t>https://knru.ru/catalog/kolpino-rubezhnoe-sh-d-12/</t>
        </is>
      </c>
      <c r="AB348" t="inlineStr">
        <is>
          <t>C</t>
        </is>
      </c>
    </row>
    <row r="349">
      <c r="A349" t="n">
        <v>463</v>
      </c>
      <c r="B349" t="n">
        <v>20</v>
      </c>
      <c r="C349" t="n">
        <v>7</v>
      </c>
      <c r="D349" t="n">
        <v>60</v>
      </c>
      <c r="E349" t="inlineStr">
        <is>
          <t>Колпинский</t>
        </is>
      </c>
      <c r="F349" t="inlineStr">
        <is>
          <t>Ленина пр-кт, 60</t>
        </is>
      </c>
      <c r="G349" t="n">
        <v>64.2</v>
      </c>
      <c r="H349" t="inlineStr">
        <is>
          <t>13 323 105</t>
        </is>
      </c>
      <c r="I349" t="inlineStr"/>
      <c r="J349" t="inlineStr"/>
      <c r="K349" t="inlineStr"/>
      <c r="L349" t="inlineStr"/>
      <c r="M349" t="inlineStr"/>
      <c r="N349" t="inlineStr">
        <is>
          <t>no</t>
        </is>
      </c>
      <c r="O349" t="inlineStr">
        <is>
          <t>none</t>
        </is>
      </c>
      <c r="P349">
        <f>HYPERLINK("https://knru.ru/catalog/kolpino-pr-lenina-d-60/","ссылка")</f>
        <v/>
      </c>
      <c r="Q349" t="inlineStr"/>
      <c r="R349" t="inlineStr">
        <is>
          <t>Нет у нас</t>
        </is>
      </c>
      <c r="S349" t="n">
        <v>0</v>
      </c>
      <c r="T349" t="inlineStr">
        <is>
          <t>Совпадений по улице+дому не найдено</t>
        </is>
      </c>
      <c r="U349" t="n">
        <v>463</v>
      </c>
      <c r="V349" t="n">
        <v>20</v>
      </c>
      <c r="W349" t="n">
        <v>7</v>
      </c>
      <c r="X349" t="n">
        <v>13323105</v>
      </c>
      <c r="Y349" t="inlineStr"/>
      <c r="Z349" t="inlineStr"/>
      <c r="AA349" t="inlineStr">
        <is>
          <t>https://knru.ru/catalog/kolpino-pr-lenina-d-60/</t>
        </is>
      </c>
      <c r="AB349" t="inlineStr">
        <is>
          <t>C</t>
        </is>
      </c>
    </row>
    <row r="350">
      <c r="A350" t="n">
        <v>464</v>
      </c>
      <c r="B350" t="n">
        <v>20</v>
      </c>
      <c r="C350" t="n">
        <v>8</v>
      </c>
      <c r="D350" t="n">
        <v>1</v>
      </c>
      <c r="E350" t="inlineStr">
        <is>
          <t>ЖК "Уютный" Новоселье</t>
        </is>
      </c>
      <c r="F350" t="inlineStr">
        <is>
          <t>Невская ул, 11/1</t>
        </is>
      </c>
      <c r="G350" t="n">
        <v>113.5</v>
      </c>
      <c r="H350" t="inlineStr">
        <is>
          <t>18 160 000</t>
        </is>
      </c>
      <c r="I350" t="inlineStr"/>
      <c r="J350" t="inlineStr"/>
      <c r="K350" t="inlineStr"/>
      <c r="L350" t="inlineStr"/>
      <c r="M350" t="inlineStr"/>
      <c r="N350" t="inlineStr">
        <is>
          <t>no</t>
        </is>
      </c>
      <c r="O350" t="inlineStr">
        <is>
          <t>none</t>
        </is>
      </c>
      <c r="P350">
        <f>HYPERLINK("https://knru.ru/catalog/p-novosele-ul-nevskaya-d-11-1/","ссылка")</f>
        <v/>
      </c>
      <c r="Q350" t="inlineStr"/>
      <c r="R350" t="inlineStr">
        <is>
          <t>Нет у нас</t>
        </is>
      </c>
      <c r="S350" t="n">
        <v>0</v>
      </c>
      <c r="T350" t="inlineStr">
        <is>
          <t>Совпадений по улице+дому не найдено</t>
        </is>
      </c>
      <c r="U350" t="n">
        <v>464</v>
      </c>
      <c r="V350" t="n">
        <v>20</v>
      </c>
      <c r="W350" t="n">
        <v>8</v>
      </c>
      <c r="X350" t="n">
        <v>18160000</v>
      </c>
      <c r="Y350" t="inlineStr"/>
      <c r="Z350" t="inlineStr"/>
      <c r="AA350" t="inlineStr">
        <is>
          <t>https://knru.ru/catalog/p-novosele-ul-nevskaya-d-11-1/</t>
        </is>
      </c>
      <c r="AB350" t="inlineStr">
        <is>
          <t>C</t>
        </is>
      </c>
    </row>
    <row r="351">
      <c r="A351" t="n">
        <v>465</v>
      </c>
      <c r="B351" t="n">
        <v>20</v>
      </c>
      <c r="C351" t="n">
        <v>9</v>
      </c>
      <c r="D351" t="n">
        <v>9</v>
      </c>
      <c r="E351" t="inlineStr">
        <is>
          <t>ЖК "Уютный" Новоселье</t>
        </is>
      </c>
      <c r="F351" t="inlineStr">
        <is>
          <t>Невская ул, 9</t>
        </is>
      </c>
      <c r="G351" t="n">
        <v>102.7</v>
      </c>
      <c r="H351" t="inlineStr">
        <is>
          <t>16 432 000</t>
        </is>
      </c>
      <c r="I351" t="inlineStr"/>
      <c r="J351" t="inlineStr"/>
      <c r="K351" t="inlineStr"/>
      <c r="L351" t="inlineStr"/>
      <c r="M351" t="inlineStr"/>
      <c r="N351" t="inlineStr">
        <is>
          <t>no</t>
        </is>
      </c>
      <c r="O351" t="inlineStr">
        <is>
          <t>none</t>
        </is>
      </c>
      <c r="P351">
        <f>HYPERLINK("https://knru.ru/catalog/p-novosele-ul-nevskaya-d-9/","ссылка")</f>
        <v/>
      </c>
      <c r="Q351" t="inlineStr"/>
      <c r="R351" t="inlineStr">
        <is>
          <t>Нет у нас</t>
        </is>
      </c>
      <c r="S351" t="n">
        <v>0</v>
      </c>
      <c r="T351" t="inlineStr">
        <is>
          <t>Совпадений по улице+дому не найдено</t>
        </is>
      </c>
      <c r="U351" t="n">
        <v>465</v>
      </c>
      <c r="V351" t="n">
        <v>20</v>
      </c>
      <c r="W351" t="n">
        <v>9</v>
      </c>
      <c r="X351" t="n">
        <v>16432000</v>
      </c>
      <c r="Y351" t="inlineStr"/>
      <c r="Z351" t="inlineStr"/>
      <c r="AA351" t="inlineStr">
        <is>
          <t>https://knru.ru/catalog/p-novosele-ul-nevskaya-d-9/</t>
        </is>
      </c>
      <c r="AB351" t="inlineStr">
        <is>
          <t>C</t>
        </is>
      </c>
    </row>
    <row r="352">
      <c r="A352" t="n">
        <v>466</v>
      </c>
      <c r="B352" t="n">
        <v>20</v>
      </c>
      <c r="C352" t="n">
        <v>10</v>
      </c>
      <c r="D352" t="n">
        <v>6</v>
      </c>
      <c r="E352" t="inlineStr">
        <is>
          <t>Центральный</t>
        </is>
      </c>
      <c r="F352" t="inlineStr">
        <is>
          <t>Стремянная ул, 1/6</t>
        </is>
      </c>
      <c r="G352" t="n">
        <v>457.6</v>
      </c>
      <c r="H352" t="inlineStr">
        <is>
          <t>95 000 000</t>
        </is>
      </c>
      <c r="I352" t="inlineStr"/>
      <c r="J352" t="inlineStr"/>
      <c r="K352" t="inlineStr"/>
      <c r="L352" t="inlineStr"/>
      <c r="M352" t="inlineStr"/>
      <c r="N352" t="inlineStr">
        <is>
          <t>no</t>
        </is>
      </c>
      <c r="O352" t="inlineStr">
        <is>
          <t>none</t>
        </is>
      </c>
      <c r="P352">
        <f>HYPERLINK("https://knru.ru/catalog/stremyannaya-ul-1-6/","ссылка")</f>
        <v/>
      </c>
      <c r="Q352" t="inlineStr"/>
      <c r="R352" t="inlineStr">
        <is>
          <t>Нет у нас</t>
        </is>
      </c>
      <c r="S352" t="n">
        <v>0</v>
      </c>
      <c r="T352" t="inlineStr">
        <is>
          <t>Совпадений по улице+дому не найдено</t>
        </is>
      </c>
      <c r="U352" t="n">
        <v>466</v>
      </c>
      <c r="V352" t="n">
        <v>20</v>
      </c>
      <c r="W352" t="n">
        <v>10</v>
      </c>
      <c r="X352" t="n">
        <v>95000000</v>
      </c>
      <c r="Y352" t="inlineStr"/>
      <c r="Z352" t="inlineStr"/>
      <c r="AA352" t="inlineStr">
        <is>
          <t>https://knru.ru/catalog/stremyannaya-ul-1-6/</t>
        </is>
      </c>
      <c r="AB352" t="inlineStr">
        <is>
          <t>C</t>
        </is>
      </c>
    </row>
    <row r="353">
      <c r="A353" t="n">
        <v>467</v>
      </c>
      <c r="B353" t="n">
        <v>20</v>
      </c>
      <c r="C353" t="n">
        <v>11</v>
      </c>
      <c r="D353" t="n">
        <v>28</v>
      </c>
      <c r="E353" t="inlineStr">
        <is>
          <t>Всеволожский</t>
        </is>
      </c>
      <c r="F353" t="inlineStr">
        <is>
          <t>Шувалова ул, 28</t>
        </is>
      </c>
      <c r="G353" t="n">
        <v>120.3</v>
      </c>
      <c r="H353" t="inlineStr">
        <is>
          <t>37 500 000</t>
        </is>
      </c>
      <c r="I353" t="inlineStr"/>
      <c r="J353" t="inlineStr"/>
      <c r="K353" t="inlineStr"/>
      <c r="L353" t="inlineStr"/>
      <c r="M353" t="inlineStr"/>
      <c r="N353" t="inlineStr">
        <is>
          <t>no</t>
        </is>
      </c>
      <c r="O353" t="inlineStr">
        <is>
          <t>none</t>
        </is>
      </c>
      <c r="P353">
        <f>HYPERLINK("https://knru.ru/catalog/ul-shuvalova-d-28/","ссылка")</f>
        <v/>
      </c>
      <c r="Q353" t="inlineStr"/>
      <c r="R353" t="inlineStr">
        <is>
          <t>Нет у нас</t>
        </is>
      </c>
      <c r="S353" t="n">
        <v>0</v>
      </c>
      <c r="T353" t="inlineStr">
        <is>
          <t>Совпадений по улице+дому не найдено</t>
        </is>
      </c>
      <c r="U353" t="n">
        <v>467</v>
      </c>
      <c r="V353" t="n">
        <v>20</v>
      </c>
      <c r="W353" t="n">
        <v>11</v>
      </c>
      <c r="X353" t="n">
        <v>37500000</v>
      </c>
      <c r="Y353" t="inlineStr"/>
      <c r="Z353" t="inlineStr"/>
      <c r="AA353" t="inlineStr">
        <is>
          <t>https://knru.ru/catalog/ul-shuvalova-d-28/</t>
        </is>
      </c>
      <c r="AB353" t="inlineStr">
        <is>
          <t>C</t>
        </is>
      </c>
    </row>
    <row r="354">
      <c r="A354" t="n">
        <v>469</v>
      </c>
      <c r="B354" t="n">
        <v>20</v>
      </c>
      <c r="C354" t="n">
        <v>13</v>
      </c>
      <c r="D354" t="n">
        <v>8</v>
      </c>
      <c r="E354" t="inlineStr">
        <is>
          <t>Невский</t>
        </is>
      </c>
      <c r="F354" t="inlineStr">
        <is>
          <t>Усть-Славянка тер., Славянская ул, 8стр1</t>
        </is>
      </c>
      <c r="G354" t="n">
        <v>64</v>
      </c>
      <c r="H354" t="inlineStr">
        <is>
          <t>11 405 328</t>
        </is>
      </c>
      <c r="I354" t="inlineStr"/>
      <c r="J354" t="inlineStr"/>
      <c r="K354" t="inlineStr"/>
      <c r="L354" t="inlineStr"/>
      <c r="M354" t="inlineStr"/>
      <c r="N354" t="inlineStr">
        <is>
          <t>no</t>
        </is>
      </c>
      <c r="O354" t="inlineStr">
        <is>
          <t>none</t>
        </is>
      </c>
      <c r="P354">
        <f>HYPERLINK("https://knru.ru/catalog/ul-slavyanskaya-d-8/","ссылка")</f>
        <v/>
      </c>
      <c r="Q354" t="inlineStr"/>
      <c r="R354" t="inlineStr">
        <is>
          <t>Нет у нас</t>
        </is>
      </c>
      <c r="S354" t="n">
        <v>0</v>
      </c>
      <c r="T354" t="inlineStr">
        <is>
          <t>Совпадений по улице+дому не найдено</t>
        </is>
      </c>
      <c r="U354" t="n">
        <v>469</v>
      </c>
      <c r="V354" t="n">
        <v>20</v>
      </c>
      <c r="W354" t="n">
        <v>13</v>
      </c>
      <c r="X354" t="n">
        <v>11405328</v>
      </c>
      <c r="Y354" t="inlineStr"/>
      <c r="Z354" t="inlineStr"/>
      <c r="AA354" t="inlineStr">
        <is>
          <t>https://knru.ru/catalog/ul-slavyanskaya-d-8/</t>
        </is>
      </c>
      <c r="AB354" t="inlineStr">
        <is>
          <t>C</t>
        </is>
      </c>
    </row>
    <row r="355">
      <c r="A355" t="n">
        <v>470</v>
      </c>
      <c r="B355" t="n">
        <v>20</v>
      </c>
      <c r="C355" t="n">
        <v>14</v>
      </c>
      <c r="D355" t="n">
        <v>4</v>
      </c>
      <c r="E355" t="inlineStr">
        <is>
          <t>Приморский</t>
        </is>
      </c>
      <c r="F355" t="inlineStr">
        <is>
          <t>Суздальское ш, 18к4стр1</t>
        </is>
      </c>
      <c r="G355" t="n">
        <v>71.90000000000001</v>
      </c>
      <c r="H355" t="inlineStr">
        <is>
          <t>18 543 010</t>
        </is>
      </c>
      <c r="I355" t="inlineStr"/>
      <c r="J355" t="inlineStr"/>
      <c r="K355" t="inlineStr"/>
      <c r="L355" t="inlineStr"/>
      <c r="M355" t="inlineStr"/>
      <c r="N355" t="inlineStr">
        <is>
          <t>no</t>
        </is>
      </c>
      <c r="O355" t="inlineStr">
        <is>
          <t>none</t>
        </is>
      </c>
      <c r="P355">
        <f>HYPERLINK("https://knru.ru/catalog/suzdalskoe-sh-d-18-k-4/","ссылка")</f>
        <v/>
      </c>
      <c r="Q355" t="inlineStr"/>
      <c r="R355" t="inlineStr">
        <is>
          <t>Нет у нас</t>
        </is>
      </c>
      <c r="S355" t="n">
        <v>0</v>
      </c>
      <c r="T355" t="inlineStr">
        <is>
          <t>Совпадений по улице+дому не найдено</t>
        </is>
      </c>
      <c r="U355" t="n">
        <v>470</v>
      </c>
      <c r="V355" t="n">
        <v>20</v>
      </c>
      <c r="W355" t="n">
        <v>14</v>
      </c>
      <c r="X355" t="n">
        <v>18543010</v>
      </c>
      <c r="Y355" t="inlineStr"/>
      <c r="Z355" t="inlineStr"/>
      <c r="AA355" t="inlineStr">
        <is>
          <t>https://knru.ru/catalog/suzdalskoe-sh-d-18-k-4/</t>
        </is>
      </c>
      <c r="AB355" t="inlineStr">
        <is>
          <t>C</t>
        </is>
      </c>
    </row>
    <row r="356">
      <c r="A356" t="n">
        <v>471</v>
      </c>
      <c r="B356" t="n">
        <v>20</v>
      </c>
      <c r="C356" t="n">
        <v>15</v>
      </c>
      <c r="D356" t="n">
        <v>786816589</v>
      </c>
      <c r="E356" t="inlineStr">
        <is>
          <t>Невский</t>
        </is>
      </c>
      <c r="F356" t="inlineStr">
        <is>
          <t>Шелгунова ул, 12</t>
        </is>
      </c>
      <c r="G356" t="n">
        <v>628.9</v>
      </c>
      <c r="H356" t="inlineStr">
        <is>
          <t>200 000 000</t>
        </is>
      </c>
      <c r="I356" t="inlineStr"/>
      <c r="J356" t="inlineStr"/>
      <c r="K356" t="inlineStr"/>
      <c r="L356" t="inlineStr"/>
      <c r="M356" t="inlineStr"/>
      <c r="N356" t="inlineStr">
        <is>
          <t>no</t>
        </is>
      </c>
      <c r="O356" t="inlineStr">
        <is>
          <t>none</t>
        </is>
      </c>
      <c r="P356">
        <f>HYPERLINK("https://knru.ru/catalog/shelgunova-ul-12-786816589/","ссылка")</f>
        <v/>
      </c>
      <c r="Q356" t="inlineStr"/>
      <c r="R356" t="inlineStr">
        <is>
          <t>Нет у нас</t>
        </is>
      </c>
      <c r="S356" t="n">
        <v>0</v>
      </c>
      <c r="T356" t="inlineStr">
        <is>
          <t>Совпадений по улице+дому не найдено</t>
        </is>
      </c>
      <c r="U356" t="n">
        <v>471</v>
      </c>
      <c r="V356" t="n">
        <v>20</v>
      </c>
      <c r="W356" t="n">
        <v>15</v>
      </c>
      <c r="X356" t="n">
        <v>200000000</v>
      </c>
      <c r="Y356" t="inlineStr"/>
      <c r="Z356" t="inlineStr"/>
      <c r="AA356" t="inlineStr">
        <is>
          <t>https://knru.ru/catalog/shelgunova-ul-12-786816589/</t>
        </is>
      </c>
      <c r="AB356" t="inlineStr">
        <is>
          <t>C</t>
        </is>
      </c>
    </row>
    <row r="357">
      <c r="A357" t="n">
        <v>473</v>
      </c>
      <c r="B357" t="n">
        <v>20</v>
      </c>
      <c r="C357" t="n">
        <v>17</v>
      </c>
      <c r="D357" t="n">
        <v>7</v>
      </c>
      <c r="E357" t="inlineStr">
        <is>
          <t>Центральный</t>
        </is>
      </c>
      <c r="F357" t="inlineStr">
        <is>
          <t>Полтавская ул, 7 Ж</t>
        </is>
      </c>
      <c r="G357" t="n">
        <v>1047</v>
      </c>
      <c r="H357" t="inlineStr">
        <is>
          <t>500 000 000</t>
        </is>
      </c>
      <c r="I357" t="inlineStr"/>
      <c r="J357" t="inlineStr"/>
      <c r="K357" t="inlineStr"/>
      <c r="L357" t="inlineStr"/>
      <c r="M357" t="inlineStr"/>
      <c r="N357" t="inlineStr">
        <is>
          <t>no</t>
        </is>
      </c>
      <c r="O357" t="inlineStr">
        <is>
          <t>none</t>
        </is>
      </c>
      <c r="P357">
        <f>HYPERLINK("https://knru.ru/catalog/ul-poltavskaya-d-7/","ссылка")</f>
        <v/>
      </c>
      <c r="Q357" t="inlineStr"/>
      <c r="R357" t="inlineStr">
        <is>
          <t>Нет у нас</t>
        </is>
      </c>
      <c r="S357" t="n">
        <v>0</v>
      </c>
      <c r="T357" t="inlineStr">
        <is>
          <t>Совпадений по улице+дому не найдено</t>
        </is>
      </c>
      <c r="U357" t="n">
        <v>473</v>
      </c>
      <c r="V357" t="n">
        <v>20</v>
      </c>
      <c r="W357" t="n">
        <v>17</v>
      </c>
      <c r="X357" t="n">
        <v>500000000</v>
      </c>
      <c r="Y357" t="inlineStr"/>
      <c r="Z357" t="inlineStr"/>
      <c r="AA357" t="inlineStr">
        <is>
          <t>https://knru.ru/catalog/ul-poltavskaya-d-7/</t>
        </is>
      </c>
      <c r="AB357" t="inlineStr">
        <is>
          <t>C</t>
        </is>
      </c>
    </row>
    <row r="358">
      <c r="A358" t="n">
        <v>474</v>
      </c>
      <c r="B358" t="n">
        <v>20</v>
      </c>
      <c r="C358" t="n">
        <v>18</v>
      </c>
      <c r="D358" t="n">
        <v>36</v>
      </c>
      <c r="E358" t="inlineStr">
        <is>
          <t>Калининский</t>
        </is>
      </c>
      <c r="F358" t="inlineStr">
        <is>
          <t>Кондратьевский пр-кт, 36</t>
        </is>
      </c>
      <c r="G358" t="n">
        <v>700</v>
      </c>
      <c r="H358" t="inlineStr">
        <is>
          <t>115 000 000</t>
        </is>
      </c>
      <c r="I358" t="inlineStr"/>
      <c r="J358" t="inlineStr"/>
      <c r="K358" t="inlineStr"/>
      <c r="L358" t="inlineStr"/>
      <c r="M358" t="inlineStr"/>
      <c r="N358" t="inlineStr">
        <is>
          <t>no</t>
        </is>
      </c>
      <c r="O358" t="inlineStr">
        <is>
          <t>none</t>
        </is>
      </c>
      <c r="P358">
        <f>HYPERLINK("https://knru.ru/catalog/kondratevskiy-pr-d-36/","ссылка")</f>
        <v/>
      </c>
      <c r="Q358" t="inlineStr"/>
      <c r="R358" t="inlineStr">
        <is>
          <t>Нет у нас</t>
        </is>
      </c>
      <c r="S358" t="n">
        <v>0</v>
      </c>
      <c r="T358" t="inlineStr">
        <is>
          <t>Совпадений по улице+дому не найдено</t>
        </is>
      </c>
      <c r="U358" t="n">
        <v>474</v>
      </c>
      <c r="V358" t="n">
        <v>20</v>
      </c>
      <c r="W358" t="n">
        <v>18</v>
      </c>
      <c r="X358" t="n">
        <v>115000000</v>
      </c>
      <c r="Y358" t="inlineStr"/>
      <c r="Z358" t="inlineStr"/>
      <c r="AA358" t="inlineStr">
        <is>
          <t>https://knru.ru/catalog/kondratevskiy-pr-d-36/</t>
        </is>
      </c>
      <c r="AB358" t="inlineStr">
        <is>
          <t>C</t>
        </is>
      </c>
    </row>
    <row r="359">
      <c r="A359" t="n">
        <v>475</v>
      </c>
      <c r="B359" t="n">
        <v>20</v>
      </c>
      <c r="C359" t="n">
        <v>19</v>
      </c>
      <c r="D359" t="inlineStr"/>
      <c r="E359" t="inlineStr">
        <is>
          <t>Адмиралтейский</t>
        </is>
      </c>
      <c r="F359" t="inlineStr">
        <is>
          <t>Гривцова пер, 13/11 А</t>
        </is>
      </c>
      <c r="G359" t="n">
        <v>42.9</v>
      </c>
      <c r="H359" t="inlineStr">
        <is>
          <t>39 000 000</t>
        </is>
      </c>
      <c r="I359" t="inlineStr"/>
      <c r="J359" t="inlineStr"/>
      <c r="K359" t="inlineStr"/>
      <c r="L359" t="inlineStr"/>
      <c r="M359" t="inlineStr"/>
      <c r="N359" t="inlineStr">
        <is>
          <t>no</t>
        </is>
      </c>
      <c r="O359" t="inlineStr">
        <is>
          <t>none</t>
        </is>
      </c>
      <c r="P359">
        <f>HYPERLINK("https://knru.ru/catalog/grivtsova-d-13-11-prodazha-42-kv-m/","ссылка")</f>
        <v/>
      </c>
      <c r="Q359" t="inlineStr"/>
      <c r="R359" t="inlineStr">
        <is>
          <t>Нет у нас</t>
        </is>
      </c>
      <c r="S359" t="n">
        <v>0</v>
      </c>
      <c r="T359" t="inlineStr">
        <is>
          <t>Совпадений по улице+дому не найдено</t>
        </is>
      </c>
      <c r="U359" t="n">
        <v>475</v>
      </c>
      <c r="V359" t="n">
        <v>20</v>
      </c>
      <c r="W359" t="n">
        <v>19</v>
      </c>
      <c r="X359" t="n">
        <v>39000000</v>
      </c>
      <c r="Y359" t="inlineStr"/>
      <c r="Z359" t="inlineStr"/>
      <c r="AA359" t="inlineStr">
        <is>
          <t>https://knru.ru/catalog/grivtsova-d-13-11-prodazha-42-kv-m/</t>
        </is>
      </c>
      <c r="AB359" t="inlineStr">
        <is>
          <t>C</t>
        </is>
      </c>
    </row>
    <row r="360">
      <c r="A360" t="n">
        <v>476</v>
      </c>
      <c r="B360" t="n">
        <v>20</v>
      </c>
      <c r="C360" t="n">
        <v>20</v>
      </c>
      <c r="D360" t="n">
        <v>12</v>
      </c>
      <c r="E360" t="inlineStr">
        <is>
          <t>Невский</t>
        </is>
      </c>
      <c r="F360" t="inlineStr">
        <is>
          <t>Шелгунова ул, 12</t>
        </is>
      </c>
      <c r="G360" t="n">
        <v>239.5</v>
      </c>
      <c r="H360" t="inlineStr">
        <is>
          <t>47 500 000</t>
        </is>
      </c>
      <c r="I360" t="inlineStr"/>
      <c r="J360" t="inlineStr"/>
      <c r="K360" t="inlineStr"/>
      <c r="L360" t="inlineStr"/>
      <c r="M360" t="inlineStr"/>
      <c r="N360" t="inlineStr">
        <is>
          <t>no</t>
        </is>
      </c>
      <c r="O360" t="inlineStr">
        <is>
          <t>none</t>
        </is>
      </c>
      <c r="P360">
        <f>HYPERLINK("https://knru.ru/catalog/shelgunova-ul-12/","ссылка")</f>
        <v/>
      </c>
      <c r="Q360" t="inlineStr"/>
      <c r="R360" t="inlineStr">
        <is>
          <t>Нет у нас</t>
        </is>
      </c>
      <c r="S360" t="n">
        <v>0</v>
      </c>
      <c r="T360" t="inlineStr">
        <is>
          <t>Совпадений по улице+дому не найдено</t>
        </is>
      </c>
      <c r="U360" t="n">
        <v>476</v>
      </c>
      <c r="V360" t="n">
        <v>20</v>
      </c>
      <c r="W360" t="n">
        <v>20</v>
      </c>
      <c r="X360" t="n">
        <v>47500000</v>
      </c>
      <c r="Y360" t="inlineStr"/>
      <c r="Z360" t="inlineStr"/>
      <c r="AA360" t="inlineStr">
        <is>
          <t>https://knru.ru/catalog/shelgunova-ul-12/</t>
        </is>
      </c>
      <c r="AB360" t="inlineStr">
        <is>
          <t>C</t>
        </is>
      </c>
    </row>
    <row r="361">
      <c r="A361" t="n">
        <v>480</v>
      </c>
      <c r="B361" t="n">
        <v>20</v>
      </c>
      <c r="C361" t="n">
        <v>24</v>
      </c>
      <c r="D361" t="n">
        <v>7</v>
      </c>
      <c r="E361" t="inlineStr">
        <is>
          <t>Приморский</t>
        </is>
      </c>
      <c r="F361" t="inlineStr">
        <is>
          <t>Вилькицкий б-р, 7</t>
        </is>
      </c>
      <c r="G361" t="n">
        <v>172.2</v>
      </c>
      <c r="H361" t="inlineStr">
        <is>
          <t>35 000 000</t>
        </is>
      </c>
      <c r="I361" t="inlineStr"/>
      <c r="J361" t="inlineStr"/>
      <c r="K361" t="inlineStr"/>
      <c r="L361" t="inlineStr"/>
      <c r="M361" t="inlineStr"/>
      <c r="N361" t="inlineStr">
        <is>
          <t>no</t>
        </is>
      </c>
      <c r="O361" t="inlineStr">
        <is>
          <t>none</t>
        </is>
      </c>
      <c r="P361">
        <f>HYPERLINK("https://knru.ru/catalog/vilkitskiy-bulvar-d-7/","ссылка")</f>
        <v/>
      </c>
      <c r="Q361" t="inlineStr"/>
      <c r="R361" t="inlineStr">
        <is>
          <t>Нет у нас</t>
        </is>
      </c>
      <c r="S361" t="n">
        <v>0</v>
      </c>
      <c r="T361" t="inlineStr">
        <is>
          <t>Совпадений по улице+дому не найдено</t>
        </is>
      </c>
      <c r="U361" t="n">
        <v>480</v>
      </c>
      <c r="V361" t="n">
        <v>20</v>
      </c>
      <c r="W361" t="n">
        <v>24</v>
      </c>
      <c r="X361" t="n">
        <v>35000000</v>
      </c>
      <c r="Y361" t="inlineStr"/>
      <c r="Z361" t="inlineStr"/>
      <c r="AA361" t="inlineStr">
        <is>
          <t>https://knru.ru/catalog/vilkitskiy-bulvar-d-7/</t>
        </is>
      </c>
      <c r="AB361" t="inlineStr">
        <is>
          <t>C</t>
        </is>
      </c>
    </row>
    <row r="362">
      <c r="A362" t="n">
        <v>484</v>
      </c>
      <c r="B362" t="n">
        <v>21</v>
      </c>
      <c r="C362" t="n">
        <v>4</v>
      </c>
      <c r="D362" t="inlineStr"/>
      <c r="E362" t="inlineStr">
        <is>
          <t>Всеволожский</t>
        </is>
      </c>
      <c r="F362" t="inlineStr">
        <is>
          <t>Главная ул, 54</t>
        </is>
      </c>
      <c r="G362" t="n">
        <v>867</v>
      </c>
      <c r="H362" t="inlineStr">
        <is>
          <t>125 000 000</t>
        </is>
      </c>
      <c r="I362" t="inlineStr"/>
      <c r="J362" t="inlineStr"/>
      <c r="K362" t="inlineStr"/>
      <c r="L362" t="inlineStr"/>
      <c r="M362" t="inlineStr"/>
      <c r="N362" t="inlineStr">
        <is>
          <t>no</t>
        </is>
      </c>
      <c r="O362" t="inlineStr">
        <is>
          <t>none</t>
        </is>
      </c>
      <c r="P362">
        <f>HYPERLINK("https://knru.ru/catalog/d-novoe-devyatkino-ul-glavnaya-d-54a/","ссылка")</f>
        <v/>
      </c>
      <c r="Q362" t="inlineStr"/>
      <c r="R362" t="inlineStr">
        <is>
          <t>Нет у нас</t>
        </is>
      </c>
      <c r="S362" t="n">
        <v>0</v>
      </c>
      <c r="T362" t="inlineStr">
        <is>
          <t>Совпадений по улице+дому не найдено</t>
        </is>
      </c>
      <c r="U362" t="n">
        <v>484</v>
      </c>
      <c r="V362" t="n">
        <v>21</v>
      </c>
      <c r="W362" t="n">
        <v>4</v>
      </c>
      <c r="X362" t="n">
        <v>125000000</v>
      </c>
      <c r="Y362" t="inlineStr"/>
      <c r="Z362" t="inlineStr"/>
      <c r="AA362" t="inlineStr">
        <is>
          <t>https://knru.ru/catalog/d-novoe-devyatkino-ul-glavnaya-d-54a/</t>
        </is>
      </c>
      <c r="AB362" t="inlineStr">
        <is>
          <t>C</t>
        </is>
      </c>
    </row>
    <row r="363">
      <c r="A363" t="n">
        <v>486</v>
      </c>
      <c r="B363" t="n">
        <v>21</v>
      </c>
      <c r="C363" t="n">
        <v>6</v>
      </c>
      <c r="D363" t="n">
        <v>6</v>
      </c>
      <c r="E363" t="inlineStr">
        <is>
          <t>Центральный</t>
        </is>
      </c>
      <c r="F363" t="inlineStr">
        <is>
          <t>Марата ул, 6 А</t>
        </is>
      </c>
      <c r="G363" t="n">
        <v>6803</v>
      </c>
      <c r="H363" t="inlineStr">
        <is>
          <t>2 190 000 000</t>
        </is>
      </c>
      <c r="I363" t="inlineStr"/>
      <c r="J363" t="inlineStr"/>
      <c r="K363" t="inlineStr"/>
      <c r="L363" t="inlineStr"/>
      <c r="M363" t="inlineStr"/>
      <c r="N363" t="inlineStr">
        <is>
          <t>no</t>
        </is>
      </c>
      <c r="O363" t="inlineStr">
        <is>
          <t>none</t>
        </is>
      </c>
      <c r="P363">
        <f>HYPERLINK("https://knru.ru/catalog/marata-ul-d-6/","ссылка")</f>
        <v/>
      </c>
      <c r="Q363" t="inlineStr"/>
      <c r="R363" t="inlineStr">
        <is>
          <t>Нет у нас</t>
        </is>
      </c>
      <c r="S363" t="n">
        <v>0</v>
      </c>
      <c r="T363" t="inlineStr">
        <is>
          <t>Совпадений по улице+дому не найдено</t>
        </is>
      </c>
      <c r="U363" t="n">
        <v>486</v>
      </c>
      <c r="V363" t="n">
        <v>21</v>
      </c>
      <c r="W363" t="n">
        <v>6</v>
      </c>
      <c r="X363" t="n">
        <v>2190000000</v>
      </c>
      <c r="Y363" t="inlineStr"/>
      <c r="Z363" t="inlineStr"/>
      <c r="AA363" t="inlineStr">
        <is>
          <t>https://knru.ru/catalog/marata-ul-d-6/</t>
        </is>
      </c>
      <c r="AB363" t="inlineStr">
        <is>
          <t>C</t>
        </is>
      </c>
    </row>
    <row r="364">
      <c r="A364" t="n">
        <v>487</v>
      </c>
      <c r="B364" t="n">
        <v>21</v>
      </c>
      <c r="C364" t="n">
        <v>7</v>
      </c>
      <c r="D364" t="n">
        <v>58</v>
      </c>
      <c r="E364" t="inlineStr">
        <is>
          <t>Московский</t>
        </is>
      </c>
      <c r="F364" t="inlineStr">
        <is>
          <t>Кузнецовская ул, 58к3стр1</t>
        </is>
      </c>
      <c r="G364" t="n">
        <v>121</v>
      </c>
      <c r="H364" t="inlineStr">
        <is>
          <t>30 500 000</t>
        </is>
      </c>
      <c r="I364" t="inlineStr"/>
      <c r="J364" t="inlineStr"/>
      <c r="K364" t="inlineStr"/>
      <c r="L364" t="inlineStr"/>
      <c r="M364" t="inlineStr"/>
      <c r="N364" t="inlineStr">
        <is>
          <t>no</t>
        </is>
      </c>
      <c r="O364" t="inlineStr">
        <is>
          <t>none</t>
        </is>
      </c>
      <c r="P364">
        <f>HYPERLINK("https://knru.ru/catalog/kuznetsovskaya-ul-d-58/","ссылка")</f>
        <v/>
      </c>
      <c r="Q364" t="inlineStr"/>
      <c r="R364" t="inlineStr">
        <is>
          <t>Нет у нас</t>
        </is>
      </c>
      <c r="S364" t="n">
        <v>0</v>
      </c>
      <c r="T364" t="inlineStr">
        <is>
          <t>Совпадений по улице+дому не найдено</t>
        </is>
      </c>
      <c r="U364" t="n">
        <v>487</v>
      </c>
      <c r="V364" t="n">
        <v>21</v>
      </c>
      <c r="W364" t="n">
        <v>7</v>
      </c>
      <c r="X364" t="n">
        <v>30500000</v>
      </c>
      <c r="Y364" t="inlineStr"/>
      <c r="Z364" t="inlineStr"/>
      <c r="AA364" t="inlineStr">
        <is>
          <t>https://knru.ru/catalog/kuznetsovskaya-ul-d-58/</t>
        </is>
      </c>
      <c r="AB364" t="inlineStr">
        <is>
          <t>C</t>
        </is>
      </c>
    </row>
    <row r="365">
      <c r="A365" t="n">
        <v>490</v>
      </c>
      <c r="B365" t="n">
        <v>21</v>
      </c>
      <c r="C365" t="n">
        <v>10</v>
      </c>
      <c r="D365" t="n">
        <v>82</v>
      </c>
      <c r="E365" t="inlineStr">
        <is>
          <t>Центральный</t>
        </is>
      </c>
      <c r="F365" t="inlineStr">
        <is>
          <t>Реки Фонтанки наб, 82/1</t>
        </is>
      </c>
      <c r="G365" t="n">
        <v>207</v>
      </c>
      <c r="H365" t="inlineStr">
        <is>
          <t>130 000 000</t>
        </is>
      </c>
      <c r="I365" t="inlineStr"/>
      <c r="J365" t="inlineStr"/>
      <c r="K365" t="inlineStr"/>
      <c r="L365" t="inlineStr"/>
      <c r="M365" t="inlineStr"/>
      <c r="N365" t="inlineStr">
        <is>
          <t>no</t>
        </is>
      </c>
      <c r="O365" t="inlineStr">
        <is>
          <t>none</t>
        </is>
      </c>
      <c r="P365">
        <f>HYPERLINK("https://knru.ru/catalog/reki-fontanki-nab-d-82/","ссылка")</f>
        <v/>
      </c>
      <c r="Q365" t="inlineStr"/>
      <c r="R365" t="inlineStr">
        <is>
          <t>Нет у нас</t>
        </is>
      </c>
      <c r="S365" t="n">
        <v>0</v>
      </c>
      <c r="T365" t="inlineStr">
        <is>
          <t>Совпадений по улице+дому не найдено</t>
        </is>
      </c>
      <c r="U365" t="n">
        <v>490</v>
      </c>
      <c r="V365" t="n">
        <v>21</v>
      </c>
      <c r="W365" t="n">
        <v>10</v>
      </c>
      <c r="X365" t="n">
        <v>130000000</v>
      </c>
      <c r="Y365" t="inlineStr"/>
      <c r="Z365" t="inlineStr"/>
      <c r="AA365" t="inlineStr">
        <is>
          <t>https://knru.ru/catalog/reki-fontanki-nab-d-82/</t>
        </is>
      </c>
      <c r="AB365" t="inlineStr">
        <is>
          <t>C</t>
        </is>
      </c>
    </row>
    <row r="366">
      <c r="A366" t="n">
        <v>491</v>
      </c>
      <c r="B366" t="n">
        <v>21</v>
      </c>
      <c r="C366" t="n">
        <v>11</v>
      </c>
      <c r="D366" t="n">
        <v>31</v>
      </c>
      <c r="E366" t="inlineStr">
        <is>
          <t>Петроградский</t>
        </is>
      </c>
      <c r="F366" t="inlineStr">
        <is>
          <t>Большая Зеленина ул, 31/1 А</t>
        </is>
      </c>
      <c r="G366" t="n">
        <v>200</v>
      </c>
      <c r="H366" t="inlineStr">
        <is>
          <t>130 000 000</t>
        </is>
      </c>
      <c r="I366" t="inlineStr"/>
      <c r="J366" t="inlineStr"/>
      <c r="K366" t="inlineStr"/>
      <c r="L366" t="inlineStr"/>
      <c r="M366" t="inlineStr"/>
      <c r="N366" t="inlineStr">
        <is>
          <t>no</t>
        </is>
      </c>
      <c r="O366" t="inlineStr">
        <is>
          <t>none</t>
        </is>
      </c>
      <c r="P366">
        <f>HYPERLINK("https://knru.ru/catalog/bolshaya-zelenina-ul-d-31/","ссылка")</f>
        <v/>
      </c>
      <c r="Q366" t="inlineStr"/>
      <c r="R366" t="inlineStr">
        <is>
          <t>Нет у нас</t>
        </is>
      </c>
      <c r="S366" t="n">
        <v>0</v>
      </c>
      <c r="T366" t="inlineStr">
        <is>
          <t>Совпадений по улице+дому не найдено</t>
        </is>
      </c>
      <c r="U366" t="n">
        <v>491</v>
      </c>
      <c r="V366" t="n">
        <v>21</v>
      </c>
      <c r="W366" t="n">
        <v>11</v>
      </c>
      <c r="X366" t="n">
        <v>130000000</v>
      </c>
      <c r="Y366" t="inlineStr"/>
      <c r="Z366" t="inlineStr"/>
      <c r="AA366" t="inlineStr">
        <is>
          <t>https://knru.ru/catalog/bolshaya-zelenina-ul-d-31/</t>
        </is>
      </c>
      <c r="AB366" t="inlineStr">
        <is>
          <t>C</t>
        </is>
      </c>
    </row>
    <row r="367">
      <c r="A367" t="n">
        <v>492</v>
      </c>
      <c r="B367" t="n">
        <v>21</v>
      </c>
      <c r="C367" t="n">
        <v>12</v>
      </c>
      <c r="D367" t="n">
        <v>1</v>
      </c>
      <c r="E367" t="inlineStr">
        <is>
          <t>Центральный</t>
        </is>
      </c>
      <c r="F367" t="inlineStr">
        <is>
          <t>Таврическая, 1</t>
        </is>
      </c>
      <c r="G367" t="n">
        <v>117</v>
      </c>
      <c r="H367" t="inlineStr">
        <is>
          <t>45 000 000</t>
        </is>
      </c>
      <c r="I367" t="inlineStr"/>
      <c r="J367" t="inlineStr"/>
      <c r="K367" t="inlineStr"/>
      <c r="L367" t="inlineStr"/>
      <c r="M367" t="inlineStr"/>
      <c r="N367" t="inlineStr">
        <is>
          <t>no</t>
        </is>
      </c>
      <c r="O367" t="inlineStr">
        <is>
          <t>none</t>
        </is>
      </c>
      <c r="P367">
        <f>HYPERLINK("https://knru.ru/catalog/tavricheskaya-ul-d-1/","ссылка")</f>
        <v/>
      </c>
      <c r="Q367" t="inlineStr"/>
      <c r="R367" t="inlineStr">
        <is>
          <t>Нет у нас</t>
        </is>
      </c>
      <c r="S367" t="n">
        <v>0</v>
      </c>
      <c r="T367" t="inlineStr">
        <is>
          <t>Совпадений по улице+дому не найдено</t>
        </is>
      </c>
      <c r="U367" t="n">
        <v>492</v>
      </c>
      <c r="V367" t="n">
        <v>21</v>
      </c>
      <c r="W367" t="n">
        <v>12</v>
      </c>
      <c r="X367" t="n">
        <v>45000000</v>
      </c>
      <c r="Y367" t="inlineStr"/>
      <c r="Z367" t="inlineStr"/>
      <c r="AA367" t="inlineStr">
        <is>
          <t>https://knru.ru/catalog/tavricheskaya-ul-d-1/</t>
        </is>
      </c>
      <c r="AB367" t="inlineStr">
        <is>
          <t>C</t>
        </is>
      </c>
    </row>
    <row r="368">
      <c r="A368" t="n">
        <v>495</v>
      </c>
      <c r="B368" t="n">
        <v>21</v>
      </c>
      <c r="C368" t="n">
        <v>15</v>
      </c>
      <c r="D368" t="inlineStr"/>
      <c r="E368" t="inlineStr">
        <is>
          <t>Выборгский</t>
        </is>
      </c>
      <c r="F368" t="inlineStr">
        <is>
          <t>Грибалёвой ул, 7к1</t>
        </is>
      </c>
      <c r="G368" t="n">
        <v>96</v>
      </c>
      <c r="H368" t="inlineStr">
        <is>
          <t>3 300 000</t>
        </is>
      </c>
      <c r="I368" t="inlineStr"/>
      <c r="J368" t="inlineStr"/>
      <c r="K368" t="inlineStr"/>
      <c r="L368" t="inlineStr"/>
      <c r="M368" t="inlineStr"/>
      <c r="N368" t="inlineStr">
        <is>
          <t>no</t>
        </is>
      </c>
      <c r="O368" t="inlineStr">
        <is>
          <t>none</t>
        </is>
      </c>
      <c r="P368">
        <f>HYPERLINK("https://knru.ru/catalog/gribalyevoy-ul-7k1/","ссылка")</f>
        <v/>
      </c>
      <c r="Q368" t="inlineStr"/>
      <c r="R368" t="inlineStr">
        <is>
          <t>Нет у нас</t>
        </is>
      </c>
      <c r="S368" t="n">
        <v>0</v>
      </c>
      <c r="T368" t="inlineStr">
        <is>
          <t>Совпадений по улице+дому не найдено</t>
        </is>
      </c>
      <c r="U368" t="n">
        <v>495</v>
      </c>
      <c r="V368" t="n">
        <v>21</v>
      </c>
      <c r="W368" t="n">
        <v>15</v>
      </c>
      <c r="X368" t="n">
        <v>3300000</v>
      </c>
      <c r="Y368" t="inlineStr"/>
      <c r="Z368" t="inlineStr"/>
      <c r="AA368" t="inlineStr">
        <is>
          <t>https://knru.ru/catalog/gribalyevoy-ul-7k1/</t>
        </is>
      </c>
      <c r="AB368" t="inlineStr">
        <is>
          <t>C</t>
        </is>
      </c>
    </row>
    <row r="369">
      <c r="A369" t="n">
        <v>497</v>
      </c>
      <c r="B369" t="n">
        <v>21</v>
      </c>
      <c r="C369" t="n">
        <v>17</v>
      </c>
      <c r="D369" t="inlineStr"/>
      <c r="E369" t="inlineStr">
        <is>
          <t>Красносельский</t>
        </is>
      </c>
      <c r="F369" t="inlineStr">
        <is>
          <t>Ленинский пр-кт, 64к1</t>
        </is>
      </c>
      <c r="G369" t="n">
        <v>112.1</v>
      </c>
      <c r="H369" t="inlineStr">
        <is>
          <t>42 000 000</t>
        </is>
      </c>
      <c r="I369" t="inlineStr"/>
      <c r="J369" t="inlineStr"/>
      <c r="K369" t="inlineStr"/>
      <c r="L369" t="inlineStr"/>
      <c r="M369" t="inlineStr"/>
      <c r="N369" t="inlineStr">
        <is>
          <t>no</t>
        </is>
      </c>
      <c r="O369" t="inlineStr">
        <is>
          <t>none</t>
        </is>
      </c>
      <c r="P369">
        <f>HYPERLINK("https://knru.ru/catalog/leninskiy-pr-kt-64k1/","ссылка")</f>
        <v/>
      </c>
      <c r="Q369" t="inlineStr"/>
      <c r="R369" t="inlineStr">
        <is>
          <t>Нет у нас</t>
        </is>
      </c>
      <c r="S369" t="n">
        <v>0</v>
      </c>
      <c r="T369" t="inlineStr">
        <is>
          <t>Совпадений по улице+дому не найдено</t>
        </is>
      </c>
      <c r="U369" t="n">
        <v>497</v>
      </c>
      <c r="V369" t="n">
        <v>21</v>
      </c>
      <c r="W369" t="n">
        <v>17</v>
      </c>
      <c r="X369" t="n">
        <v>42000000</v>
      </c>
      <c r="Y369" t="inlineStr"/>
      <c r="Z369" t="inlineStr"/>
      <c r="AA369" t="inlineStr">
        <is>
          <t>https://knru.ru/catalog/leninskiy-pr-kt-64k1/</t>
        </is>
      </c>
      <c r="AB369" t="inlineStr">
        <is>
          <t>C</t>
        </is>
      </c>
    </row>
    <row r="370">
      <c r="A370" t="n">
        <v>500</v>
      </c>
      <c r="B370" t="n">
        <v>21</v>
      </c>
      <c r="C370" t="n">
        <v>20</v>
      </c>
      <c r="D370" t="n">
        <v>36</v>
      </c>
      <c r="E370" t="inlineStr">
        <is>
          <t>Адмиралтейский</t>
        </is>
      </c>
      <c r="F370" t="inlineStr">
        <is>
          <t>Троицкий пр-кт, 20/36 А</t>
        </is>
      </c>
      <c r="G370" t="n">
        <v>336</v>
      </c>
      <c r="H370" t="inlineStr">
        <is>
          <t>105 000 000</t>
        </is>
      </c>
      <c r="I370" t="inlineStr"/>
      <c r="J370" t="inlineStr"/>
      <c r="K370" t="inlineStr"/>
      <c r="L370" t="inlineStr"/>
      <c r="M370" t="inlineStr"/>
      <c r="N370" t="inlineStr">
        <is>
          <t>no</t>
        </is>
      </c>
      <c r="O370" t="inlineStr">
        <is>
          <t>none</t>
        </is>
      </c>
      <c r="P370">
        <f>HYPERLINK("https://knru.ru/catalog/troitskiy-pr-d-20-36/","ссылка")</f>
        <v/>
      </c>
      <c r="Q370" t="inlineStr"/>
      <c r="R370" t="inlineStr">
        <is>
          <t>Нет у нас</t>
        </is>
      </c>
      <c r="S370" t="n">
        <v>0</v>
      </c>
      <c r="T370" t="inlineStr">
        <is>
          <t>Совпадений по улице+дому не найдено</t>
        </is>
      </c>
      <c r="U370" t="n">
        <v>500</v>
      </c>
      <c r="V370" t="n">
        <v>21</v>
      </c>
      <c r="W370" t="n">
        <v>20</v>
      </c>
      <c r="X370" t="n">
        <v>105000000</v>
      </c>
      <c r="Y370" t="inlineStr"/>
      <c r="Z370" t="inlineStr"/>
      <c r="AA370" t="inlineStr">
        <is>
          <t>https://knru.ru/catalog/troitskiy-pr-d-20-36/</t>
        </is>
      </c>
      <c r="AB370" t="inlineStr">
        <is>
          <t>C</t>
        </is>
      </c>
    </row>
    <row r="371">
      <c r="A371" t="n">
        <v>501</v>
      </c>
      <c r="B371" t="n">
        <v>21</v>
      </c>
      <c r="C371" t="n">
        <v>21</v>
      </c>
      <c r="D371" t="n">
        <v>2124756647</v>
      </c>
      <c r="E371" t="inlineStr">
        <is>
          <t>Центральный</t>
        </is>
      </c>
      <c r="F371" t="inlineStr">
        <is>
          <t>Шпалерная ул, 40 В</t>
        </is>
      </c>
      <c r="G371" t="n">
        <v>260</v>
      </c>
      <c r="H371" t="inlineStr">
        <is>
          <t>57 000 000</t>
        </is>
      </c>
      <c r="I371" t="inlineStr"/>
      <c r="J371" t="inlineStr"/>
      <c r="K371" t="inlineStr"/>
      <c r="L371" t="inlineStr"/>
      <c r="M371" t="inlineStr"/>
      <c r="N371" t="inlineStr">
        <is>
          <t>no</t>
        </is>
      </c>
      <c r="O371" t="inlineStr">
        <is>
          <t>none</t>
        </is>
      </c>
      <c r="P371">
        <f>HYPERLINK("https://knru.ru/catalog/shpalernaya-ul-40-v-2124756647/","ссылка")</f>
        <v/>
      </c>
      <c r="Q371" t="inlineStr"/>
      <c r="R371" t="inlineStr">
        <is>
          <t>Нет у нас</t>
        </is>
      </c>
      <c r="S371" t="n">
        <v>0</v>
      </c>
      <c r="T371" t="inlineStr">
        <is>
          <t>Совпадений по улице+дому не найдено</t>
        </is>
      </c>
      <c r="U371" t="n">
        <v>501</v>
      </c>
      <c r="V371" t="n">
        <v>21</v>
      </c>
      <c r="W371" t="n">
        <v>21</v>
      </c>
      <c r="X371" t="n">
        <v>57000000</v>
      </c>
      <c r="Y371" t="inlineStr"/>
      <c r="Z371" t="inlineStr"/>
      <c r="AA371" t="inlineStr">
        <is>
          <t>https://knru.ru/catalog/shpalernaya-ul-40-v-2124756647/</t>
        </is>
      </c>
      <c r="AB371" t="inlineStr">
        <is>
          <t>C</t>
        </is>
      </c>
    </row>
    <row r="372">
      <c r="A372" t="n">
        <v>502</v>
      </c>
      <c r="B372" t="n">
        <v>21</v>
      </c>
      <c r="C372" t="n">
        <v>22</v>
      </c>
      <c r="D372" t="inlineStr"/>
      <c r="E372" t="inlineStr">
        <is>
          <t>Центральный</t>
        </is>
      </c>
      <c r="F372" t="inlineStr">
        <is>
          <t>Шпалерная ул, 40 В</t>
        </is>
      </c>
      <c r="G372" t="n">
        <v>850</v>
      </c>
      <c r="H372" t="inlineStr">
        <is>
          <t>149 000 000</t>
        </is>
      </c>
      <c r="I372" t="inlineStr"/>
      <c r="J372" t="inlineStr"/>
      <c r="K372" t="inlineStr"/>
      <c r="L372" t="inlineStr"/>
      <c r="M372" t="inlineStr"/>
      <c r="N372" t="inlineStr">
        <is>
          <t>no</t>
        </is>
      </c>
      <c r="O372" t="inlineStr">
        <is>
          <t>none</t>
        </is>
      </c>
      <c r="P372">
        <f>HYPERLINK("https://knru.ru/catalog/shpalernaya-ul-40-v/","ссылка")</f>
        <v/>
      </c>
      <c r="Q372" t="inlineStr"/>
      <c r="R372" t="inlineStr">
        <is>
          <t>Нет у нас</t>
        </is>
      </c>
      <c r="S372" t="n">
        <v>0</v>
      </c>
      <c r="T372" t="inlineStr">
        <is>
          <t>Совпадений по улице+дому не найдено</t>
        </is>
      </c>
      <c r="U372" t="n">
        <v>502</v>
      </c>
      <c r="V372" t="n">
        <v>21</v>
      </c>
      <c r="W372" t="n">
        <v>22</v>
      </c>
      <c r="X372" t="n">
        <v>149000000</v>
      </c>
      <c r="Y372" t="inlineStr"/>
      <c r="Z372" t="inlineStr"/>
      <c r="AA372" t="inlineStr">
        <is>
          <t>https://knru.ru/catalog/shpalernaya-ul-40-v/</t>
        </is>
      </c>
      <c r="AB372" t="inlineStr">
        <is>
          <t>C</t>
        </is>
      </c>
    </row>
    <row r="373">
      <c r="A373" t="n">
        <v>505</v>
      </c>
      <c r="B373" t="n">
        <v>22</v>
      </c>
      <c r="C373" t="n">
        <v>1</v>
      </c>
      <c r="D373" t="n">
        <v>1</v>
      </c>
      <c r="E373" t="inlineStr">
        <is>
          <t>Центральный</t>
        </is>
      </c>
      <c r="F373" t="inlineStr">
        <is>
          <t>Гагаринская ул, 6/1</t>
        </is>
      </c>
      <c r="G373" t="n">
        <v>384</v>
      </c>
      <c r="H373" t="inlineStr">
        <is>
          <t>51 000 000</t>
        </is>
      </c>
      <c r="I373" t="inlineStr"/>
      <c r="J373" t="inlineStr"/>
      <c r="K373" t="inlineStr"/>
      <c r="L373" t="inlineStr"/>
      <c r="M373" t="inlineStr"/>
      <c r="N373" t="inlineStr">
        <is>
          <t>no</t>
        </is>
      </c>
      <c r="O373" t="inlineStr">
        <is>
          <t>none</t>
        </is>
      </c>
      <c r="P373">
        <f>HYPERLINK("https://knru.ru/catalog/gagarinskaya-ul-6-1/","ссылка")</f>
        <v/>
      </c>
      <c r="Q373" t="inlineStr"/>
      <c r="R373" t="inlineStr">
        <is>
          <t>Нет у нас</t>
        </is>
      </c>
      <c r="S373" t="n">
        <v>0</v>
      </c>
      <c r="T373" t="inlineStr">
        <is>
          <t>Совпадений по улице+дому не найдено</t>
        </is>
      </c>
      <c r="U373" t="n">
        <v>505</v>
      </c>
      <c r="V373" t="n">
        <v>22</v>
      </c>
      <c r="W373" t="n">
        <v>1</v>
      </c>
      <c r="X373" t="n">
        <v>51000000</v>
      </c>
      <c r="Y373" t="inlineStr"/>
      <c r="Z373" t="inlineStr"/>
      <c r="AA373" t="inlineStr">
        <is>
          <t>https://knru.ru/catalog/gagarinskaya-ul-6-1/</t>
        </is>
      </c>
      <c r="AB373" t="inlineStr">
        <is>
          <t>C</t>
        </is>
      </c>
    </row>
    <row r="374">
      <c r="A374" t="n">
        <v>507</v>
      </c>
      <c r="B374" t="n">
        <v>22</v>
      </c>
      <c r="C374" t="n">
        <v>3</v>
      </c>
      <c r="D374" t="inlineStr"/>
      <c r="E374" t="inlineStr">
        <is>
          <t>Приморский</t>
        </is>
      </c>
      <c r="F374" t="inlineStr">
        <is>
          <t>Камышовая ул, 17к1</t>
        </is>
      </c>
      <c r="G374" t="n">
        <v>1200</v>
      </c>
      <c r="H374" t="inlineStr">
        <is>
          <t>25 000 000</t>
        </is>
      </c>
      <c r="I374" t="inlineStr"/>
      <c r="J374" t="inlineStr"/>
      <c r="K374" t="inlineStr"/>
      <c r="L374" t="inlineStr"/>
      <c r="M374" t="inlineStr"/>
      <c r="N374" t="inlineStr">
        <is>
          <t>no</t>
        </is>
      </c>
      <c r="O374" t="inlineStr">
        <is>
          <t>none</t>
        </is>
      </c>
      <c r="P374">
        <f>HYPERLINK("https://knru.ru/catalog/kamyshovaya-ul-17k1/","ссылка")</f>
        <v/>
      </c>
      <c r="Q374" t="inlineStr"/>
      <c r="R374" t="inlineStr">
        <is>
          <t>Нет у нас</t>
        </is>
      </c>
      <c r="S374" t="n">
        <v>0</v>
      </c>
      <c r="T374" t="inlineStr">
        <is>
          <t>Совпадений по улице+дому не найдено</t>
        </is>
      </c>
      <c r="U374" t="n">
        <v>507</v>
      </c>
      <c r="V374" t="n">
        <v>22</v>
      </c>
      <c r="W374" t="n">
        <v>3</v>
      </c>
      <c r="X374" t="n">
        <v>25000000</v>
      </c>
      <c r="Y374" t="inlineStr"/>
      <c r="Z374" t="inlineStr"/>
      <c r="AA374" t="inlineStr">
        <is>
          <t>https://knru.ru/catalog/kamyshovaya-ul-17k1/</t>
        </is>
      </c>
      <c r="AB374" t="inlineStr">
        <is>
          <t>C</t>
        </is>
      </c>
    </row>
    <row r="375">
      <c r="A375" t="n">
        <v>509</v>
      </c>
      <c r="B375" t="n">
        <v>22</v>
      </c>
      <c r="C375" t="n">
        <v>5</v>
      </c>
      <c r="D375" t="n">
        <v>6</v>
      </c>
      <c r="E375" t="inlineStr">
        <is>
          <t>Красногвардейский</t>
        </is>
      </c>
      <c r="F375" t="inlineStr">
        <is>
          <t>Пискарёвский пр-кт, 145к6стр1</t>
        </is>
      </c>
      <c r="G375" t="n">
        <v>116.6</v>
      </c>
      <c r="H375" t="inlineStr">
        <is>
          <t>33 500 000</t>
        </is>
      </c>
      <c r="I375" t="inlineStr"/>
      <c r="J375" t="inlineStr"/>
      <c r="K375" t="inlineStr"/>
      <c r="L375" t="inlineStr"/>
      <c r="M375" t="inlineStr"/>
      <c r="N375" t="inlineStr">
        <is>
          <t>no</t>
        </is>
      </c>
      <c r="O375" t="inlineStr">
        <is>
          <t>none</t>
        </is>
      </c>
      <c r="P375">
        <f>HYPERLINK("https://knru.ru/catalog/piskarevskiy-pr-kt-d-145-k-6/","ссылка")</f>
        <v/>
      </c>
      <c r="Q375" t="inlineStr"/>
      <c r="R375" t="inlineStr">
        <is>
          <t>Нет у нас</t>
        </is>
      </c>
      <c r="S375" t="n">
        <v>0</v>
      </c>
      <c r="T375" t="inlineStr">
        <is>
          <t>Совпадений по улице+дому не найдено</t>
        </is>
      </c>
      <c r="U375" t="n">
        <v>509</v>
      </c>
      <c r="V375" t="n">
        <v>22</v>
      </c>
      <c r="W375" t="n">
        <v>5</v>
      </c>
      <c r="X375" t="n">
        <v>33500000</v>
      </c>
      <c r="Y375" t="inlineStr"/>
      <c r="Z375" t="inlineStr"/>
      <c r="AA375" t="inlineStr">
        <is>
          <t>https://knru.ru/catalog/piskarevskiy-pr-kt-d-145-k-6/</t>
        </is>
      </c>
      <c r="AB375" t="inlineStr">
        <is>
          <t>C</t>
        </is>
      </c>
    </row>
    <row r="376">
      <c r="A376" t="n">
        <v>511</v>
      </c>
      <c r="B376" t="n">
        <v>22</v>
      </c>
      <c r="C376" t="n">
        <v>7</v>
      </c>
      <c r="D376" t="n">
        <v>62</v>
      </c>
      <c r="E376" t="inlineStr">
        <is>
          <t>Приморский</t>
        </is>
      </c>
      <c r="F376" t="inlineStr">
        <is>
          <t>Приморский пр-кт, 62к1 стр 1</t>
        </is>
      </c>
      <c r="G376" t="n">
        <v>1363</v>
      </c>
      <c r="H376" t="inlineStr">
        <is>
          <t>175 000 000</t>
        </is>
      </c>
      <c r="I376" t="inlineStr"/>
      <c r="J376" t="inlineStr"/>
      <c r="K376" t="inlineStr"/>
      <c r="L376" t="inlineStr"/>
      <c r="M376" t="inlineStr"/>
      <c r="N376" t="inlineStr">
        <is>
          <t>no</t>
        </is>
      </c>
      <c r="O376" t="inlineStr">
        <is>
          <t>none</t>
        </is>
      </c>
      <c r="P376">
        <f>HYPERLINK("https://knru.ru/catalog/primorskiy-pr-d-62/","ссылка")</f>
        <v/>
      </c>
      <c r="Q376" t="inlineStr"/>
      <c r="R376" t="inlineStr">
        <is>
          <t>Нет у нас</t>
        </is>
      </c>
      <c r="S376" t="n">
        <v>0</v>
      </c>
      <c r="T376" t="inlineStr">
        <is>
          <t>Совпадений по улице+дому не найдено</t>
        </is>
      </c>
      <c r="U376" t="n">
        <v>511</v>
      </c>
      <c r="V376" t="n">
        <v>22</v>
      </c>
      <c r="W376" t="n">
        <v>7</v>
      </c>
      <c r="X376" t="n">
        <v>175000000</v>
      </c>
      <c r="Y376" t="inlineStr"/>
      <c r="Z376" t="inlineStr"/>
      <c r="AA376" t="inlineStr">
        <is>
          <t>https://knru.ru/catalog/primorskiy-pr-d-62/</t>
        </is>
      </c>
      <c r="AB376" t="inlineStr">
        <is>
          <t>C</t>
        </is>
      </c>
    </row>
    <row r="377">
      <c r="A377" t="n">
        <v>512</v>
      </c>
      <c r="B377" t="n">
        <v>22</v>
      </c>
      <c r="C377" t="n">
        <v>8</v>
      </c>
      <c r="D377" t="n">
        <v>32</v>
      </c>
      <c r="E377" t="inlineStr">
        <is>
          <t>Приморский</t>
        </is>
      </c>
      <c r="F377" t="inlineStr">
        <is>
          <t>Приморский пр-кт, 32</t>
        </is>
      </c>
      <c r="G377" t="n">
        <v>1555</v>
      </c>
      <c r="H377" t="inlineStr">
        <is>
          <t>315 000 000</t>
        </is>
      </c>
      <c r="I377" t="inlineStr"/>
      <c r="J377" t="inlineStr"/>
      <c r="K377" t="inlineStr"/>
      <c r="L377" t="inlineStr"/>
      <c r="M377" t="inlineStr"/>
      <c r="N377" t="inlineStr">
        <is>
          <t>no</t>
        </is>
      </c>
      <c r="O377" t="inlineStr">
        <is>
          <t>none</t>
        </is>
      </c>
      <c r="P377">
        <f>HYPERLINK("https://knru.ru/catalog/primorskiy-pr-d-32/","ссылка")</f>
        <v/>
      </c>
      <c r="Q377" t="inlineStr"/>
      <c r="R377" t="inlineStr">
        <is>
          <t>Нет у нас</t>
        </is>
      </c>
      <c r="S377" t="n">
        <v>0</v>
      </c>
      <c r="T377" t="inlineStr">
        <is>
          <t>Совпадений по улице+дому не найдено</t>
        </is>
      </c>
      <c r="U377" t="n">
        <v>512</v>
      </c>
      <c r="V377" t="n">
        <v>22</v>
      </c>
      <c r="W377" t="n">
        <v>8</v>
      </c>
      <c r="X377" t="n">
        <v>315000000</v>
      </c>
      <c r="Y377" t="inlineStr"/>
      <c r="Z377" t="inlineStr"/>
      <c r="AA377" t="inlineStr">
        <is>
          <t>https://knru.ru/catalog/primorskiy-pr-d-32/</t>
        </is>
      </c>
      <c r="AB377" t="inlineStr">
        <is>
          <t>C</t>
        </is>
      </c>
    </row>
    <row r="378">
      <c r="A378" t="n">
        <v>513</v>
      </c>
      <c r="B378" t="n">
        <v>22</v>
      </c>
      <c r="C378" t="n">
        <v>9</v>
      </c>
      <c r="D378" t="n">
        <v>34</v>
      </c>
      <c r="E378" t="inlineStr">
        <is>
          <t>Василеостровский</t>
        </is>
      </c>
      <c r="F378" t="inlineStr">
        <is>
          <t>1-я В.О. линия, 32литераБ</t>
        </is>
      </c>
      <c r="G378" t="n">
        <v>720</v>
      </c>
      <c r="H378" t="inlineStr">
        <is>
          <t>145 000 000</t>
        </is>
      </c>
      <c r="I378" t="inlineStr"/>
      <c r="J378" t="inlineStr"/>
      <c r="K378" t="inlineStr"/>
      <c r="L378" t="inlineStr"/>
      <c r="M378" t="inlineStr"/>
      <c r="N378" t="inlineStr">
        <is>
          <t>no</t>
        </is>
      </c>
      <c r="O378" t="inlineStr">
        <is>
          <t>none</t>
        </is>
      </c>
      <c r="P378">
        <f>HYPERLINK("https://knru.ru/catalog/1-ya-liniya-v-o-d-34/","ссылка")</f>
        <v/>
      </c>
      <c r="Q378" t="inlineStr"/>
      <c r="R378" t="inlineStr">
        <is>
          <t>Нет у нас</t>
        </is>
      </c>
      <c r="S378" t="n">
        <v>0</v>
      </c>
      <c r="T378" t="inlineStr">
        <is>
          <t>Совпадений по улице+дому не найдено</t>
        </is>
      </c>
      <c r="U378" t="n">
        <v>513</v>
      </c>
      <c r="V378" t="n">
        <v>22</v>
      </c>
      <c r="W378" t="n">
        <v>9</v>
      </c>
      <c r="X378" t="n">
        <v>145000000</v>
      </c>
      <c r="Y378" t="inlineStr"/>
      <c r="Z378" t="inlineStr"/>
      <c r="AA378" t="inlineStr">
        <is>
          <t>https://knru.ru/catalog/1-ya-liniya-v-o-d-34/</t>
        </is>
      </c>
      <c r="AB378" t="inlineStr">
        <is>
          <t>C</t>
        </is>
      </c>
    </row>
    <row r="379">
      <c r="A379" t="n">
        <v>514</v>
      </c>
      <c r="B379" t="n">
        <v>22</v>
      </c>
      <c r="C379" t="n">
        <v>10</v>
      </c>
      <c r="D379" t="n">
        <v>500136607</v>
      </c>
      <c r="E379" t="inlineStr">
        <is>
          <t>Василеостровский</t>
        </is>
      </c>
      <c r="F379" t="inlineStr">
        <is>
          <t>Морская наб, 9литераЕ</t>
        </is>
      </c>
      <c r="G379" t="n">
        <v>3868</v>
      </c>
      <c r="H379" t="inlineStr">
        <is>
          <t>450 000 000</t>
        </is>
      </c>
      <c r="I379" t="inlineStr"/>
      <c r="J379" t="inlineStr"/>
      <c r="K379" t="inlineStr"/>
      <c r="L379" t="inlineStr"/>
      <c r="M379" t="inlineStr"/>
      <c r="N379" t="inlineStr">
        <is>
          <t>no</t>
        </is>
      </c>
      <c r="O379" t="inlineStr">
        <is>
          <t>none</t>
        </is>
      </c>
      <c r="P379">
        <f>HYPERLINK("https://knru.ru/catalog/morskaya-naberezhnaya-d-9-500136607/","ссылка")</f>
        <v/>
      </c>
      <c r="Q379" t="inlineStr"/>
      <c r="R379" t="inlineStr">
        <is>
          <t>Нет у нас</t>
        </is>
      </c>
      <c r="S379" t="n">
        <v>0</v>
      </c>
      <c r="T379" t="inlineStr">
        <is>
          <t>Совпадений по улице+дому не найдено</t>
        </is>
      </c>
      <c r="U379" t="n">
        <v>514</v>
      </c>
      <c r="V379" t="n">
        <v>22</v>
      </c>
      <c r="W379" t="n">
        <v>10</v>
      </c>
      <c r="X379" t="n">
        <v>450000000</v>
      </c>
      <c r="Y379" t="inlineStr"/>
      <c r="Z379" t="inlineStr"/>
      <c r="AA379" t="inlineStr">
        <is>
          <t>https://knru.ru/catalog/morskaya-naberezhnaya-d-9-500136607/</t>
        </is>
      </c>
      <c r="AB379" t="inlineStr">
        <is>
          <t>C</t>
        </is>
      </c>
    </row>
    <row r="380">
      <c r="A380" t="n">
        <v>516</v>
      </c>
      <c r="B380" t="n">
        <v>22</v>
      </c>
      <c r="C380" t="n">
        <v>12</v>
      </c>
      <c r="D380" t="inlineStr"/>
      <c r="E380" t="inlineStr">
        <is>
          <t>Сестрорецк</t>
        </is>
      </c>
      <c r="F380" t="inlineStr">
        <is>
          <t>Дубковское ш, 9 А</t>
        </is>
      </c>
      <c r="G380" t="n">
        <v>700</v>
      </c>
      <c r="H380" t="inlineStr">
        <is>
          <t>90 000 000</t>
        </is>
      </c>
      <c r="I380" t="inlineStr"/>
      <c r="J380" t="inlineStr"/>
      <c r="K380" t="inlineStr"/>
      <c r="L380" t="inlineStr"/>
      <c r="M380" t="inlineStr"/>
      <c r="N380" t="inlineStr">
        <is>
          <t>no</t>
        </is>
      </c>
      <c r="O380" t="inlineStr">
        <is>
          <t>none</t>
        </is>
      </c>
      <c r="P380">
        <f>HYPERLINK("https://knru.ru/catalog/dubkovskoe-sh-9-a/","ссылка")</f>
        <v/>
      </c>
      <c r="Q380" t="inlineStr"/>
      <c r="R380" t="inlineStr">
        <is>
          <t>Нет у нас</t>
        </is>
      </c>
      <c r="S380" t="n">
        <v>0</v>
      </c>
      <c r="T380" t="inlineStr">
        <is>
          <t>Совпадений по улице+дому не найдено</t>
        </is>
      </c>
      <c r="U380" t="n">
        <v>516</v>
      </c>
      <c r="V380" t="n">
        <v>22</v>
      </c>
      <c r="W380" t="n">
        <v>12</v>
      </c>
      <c r="X380" t="n">
        <v>90000000</v>
      </c>
      <c r="Y380" t="inlineStr"/>
      <c r="Z380" t="inlineStr"/>
      <c r="AA380" t="inlineStr">
        <is>
          <t>https://knru.ru/catalog/dubkovskoe-sh-9-a/</t>
        </is>
      </c>
      <c r="AB380" t="inlineStr">
        <is>
          <t>C</t>
        </is>
      </c>
    </row>
    <row r="381">
      <c r="A381" t="n">
        <v>517</v>
      </c>
      <c r="B381" t="n">
        <v>22</v>
      </c>
      <c r="C381" t="n">
        <v>13</v>
      </c>
      <c r="D381" t="inlineStr"/>
      <c r="E381" t="inlineStr">
        <is>
          <t>Киевское ш.</t>
        </is>
      </c>
      <c r="F381" t="inlineStr">
        <is>
          <t>Киевское ш</t>
        </is>
      </c>
      <c r="G381" t="n">
        <v>1481</v>
      </c>
      <c r="H381" t="inlineStr">
        <is>
          <t>170 000 000</t>
        </is>
      </c>
      <c r="I381" t="inlineStr"/>
      <c r="J381" t="inlineStr"/>
      <c r="K381" t="inlineStr"/>
      <c r="L381" t="inlineStr"/>
      <c r="M381" t="inlineStr"/>
      <c r="N381" t="inlineStr">
        <is>
          <t>no</t>
        </is>
      </c>
      <c r="O381" t="inlineStr">
        <is>
          <t>none</t>
        </is>
      </c>
      <c r="P381">
        <f>HYPERLINK("https://knru.ru/catalog/kievskoe-shosse/","ссылка")</f>
        <v/>
      </c>
      <c r="Q381" t="inlineStr"/>
      <c r="R381" t="inlineStr">
        <is>
          <t>Нет у нас</t>
        </is>
      </c>
      <c r="S381" t="n">
        <v>0</v>
      </c>
      <c r="T381" t="inlineStr">
        <is>
          <t>Совпадений по улице+дому не найдено</t>
        </is>
      </c>
      <c r="U381" t="n">
        <v>517</v>
      </c>
      <c r="V381" t="n">
        <v>22</v>
      </c>
      <c r="W381" t="n">
        <v>13</v>
      </c>
      <c r="X381" t="n">
        <v>170000000</v>
      </c>
      <c r="Y381" t="inlineStr"/>
      <c r="Z381" t="inlineStr"/>
      <c r="AA381" t="inlineStr">
        <is>
          <t>https://knru.ru/catalog/kievskoe-shosse/</t>
        </is>
      </c>
      <c r="AB381" t="inlineStr">
        <is>
          <t>C</t>
        </is>
      </c>
    </row>
    <row r="382">
      <c r="A382" t="n">
        <v>523</v>
      </c>
      <c r="B382" t="n">
        <v>22</v>
      </c>
      <c r="C382" t="n">
        <v>19</v>
      </c>
      <c r="D382" t="n">
        <v>1</v>
      </c>
      <c r="E382" t="inlineStr">
        <is>
          <t>Красногвардейский</t>
        </is>
      </c>
      <c r="F382" t="inlineStr">
        <is>
          <t>Среднеохтинский пр-кт, 1к1</t>
        </is>
      </c>
      <c r="G382" t="n">
        <v>395</v>
      </c>
      <c r="H382" t="inlineStr">
        <is>
          <t>88 400 000</t>
        </is>
      </c>
      <c r="I382" t="inlineStr"/>
      <c r="J382" t="inlineStr"/>
      <c r="K382" t="inlineStr"/>
      <c r="L382" t="inlineStr"/>
      <c r="M382" t="inlineStr"/>
      <c r="N382" t="inlineStr">
        <is>
          <t>no</t>
        </is>
      </c>
      <c r="O382" t="inlineStr">
        <is>
          <t>none</t>
        </is>
      </c>
      <c r="P382">
        <f>HYPERLINK("https://knru.ru/catalog/sredneokhtinskiy-pr-d-1/","ссылка")</f>
        <v/>
      </c>
      <c r="Q382" t="inlineStr"/>
      <c r="R382" t="inlineStr">
        <is>
          <t>Нет у нас</t>
        </is>
      </c>
      <c r="S382" t="n">
        <v>0</v>
      </c>
      <c r="T382" t="inlineStr">
        <is>
          <t>Совпадений по улице+дому не найдено</t>
        </is>
      </c>
      <c r="U382" t="n">
        <v>523</v>
      </c>
      <c r="V382" t="n">
        <v>22</v>
      </c>
      <c r="W382" t="n">
        <v>19</v>
      </c>
      <c r="X382" t="n">
        <v>88400000</v>
      </c>
      <c r="Y382" t="inlineStr"/>
      <c r="Z382" t="inlineStr"/>
      <c r="AA382" t="inlineStr">
        <is>
          <t>https://knru.ru/catalog/sredneokhtinskiy-pr-d-1/</t>
        </is>
      </c>
      <c r="AB382" t="inlineStr">
        <is>
          <t>C</t>
        </is>
      </c>
    </row>
    <row r="383">
      <c r="A383" t="n">
        <v>524</v>
      </c>
      <c r="B383" t="n">
        <v>22</v>
      </c>
      <c r="C383" t="n">
        <v>20</v>
      </c>
      <c r="D383" t="n">
        <v>7</v>
      </c>
      <c r="E383" t="inlineStr">
        <is>
          <t>Центральный</t>
        </is>
      </c>
      <c r="F383" t="inlineStr">
        <is>
          <t>Полтавская ул, 7</t>
        </is>
      </c>
      <c r="G383" t="n">
        <v>1047</v>
      </c>
      <c r="H383" t="inlineStr">
        <is>
          <t>450 000 000</t>
        </is>
      </c>
      <c r="I383" t="inlineStr"/>
      <c r="J383" t="inlineStr"/>
      <c r="K383" t="inlineStr"/>
      <c r="L383" t="inlineStr"/>
      <c r="M383" t="inlineStr"/>
      <c r="N383" t="inlineStr">
        <is>
          <t>no</t>
        </is>
      </c>
      <c r="O383" t="inlineStr">
        <is>
          <t>none</t>
        </is>
      </c>
      <c r="P383">
        <f>HYPERLINK("https://knru.ru/catalog/ul-poltavskvaya-d-7/","ссылка")</f>
        <v/>
      </c>
      <c r="Q383" t="inlineStr"/>
      <c r="R383" t="inlineStr">
        <is>
          <t>Нет у нас</t>
        </is>
      </c>
      <c r="S383" t="n">
        <v>0</v>
      </c>
      <c r="T383" t="inlineStr">
        <is>
          <t>Совпадений по улице+дому не найдено</t>
        </is>
      </c>
      <c r="U383" t="n">
        <v>524</v>
      </c>
      <c r="V383" t="n">
        <v>22</v>
      </c>
      <c r="W383" t="n">
        <v>20</v>
      </c>
      <c r="X383" t="n">
        <v>450000000</v>
      </c>
      <c r="Y383" t="inlineStr"/>
      <c r="Z383" t="inlineStr"/>
      <c r="AA383" t="inlineStr">
        <is>
          <t>https://knru.ru/catalog/ul-poltavskvaya-d-7/</t>
        </is>
      </c>
      <c r="AB383" t="inlineStr">
        <is>
          <t>C</t>
        </is>
      </c>
    </row>
    <row r="384">
      <c r="A384" t="n">
        <v>525</v>
      </c>
      <c r="B384" t="n">
        <v>22</v>
      </c>
      <c r="C384" t="n">
        <v>21</v>
      </c>
      <c r="D384" t="n">
        <v>36</v>
      </c>
      <c r="E384" t="inlineStr">
        <is>
          <t>Адмиралтейский</t>
        </is>
      </c>
      <c r="F384" t="inlineStr">
        <is>
          <t>Розенштейна ул, 36 А</t>
        </is>
      </c>
      <c r="G384" t="n">
        <v>3262</v>
      </c>
      <c r="H384" t="inlineStr">
        <is>
          <t>375 000 000</t>
        </is>
      </c>
      <c r="I384" t="inlineStr"/>
      <c r="J384" t="inlineStr"/>
      <c r="K384" t="inlineStr"/>
      <c r="L384" t="inlineStr"/>
      <c r="M384" t="inlineStr"/>
      <c r="N384" t="inlineStr">
        <is>
          <t>no</t>
        </is>
      </c>
      <c r="O384" t="inlineStr">
        <is>
          <t>none</t>
        </is>
      </c>
      <c r="P384">
        <f>HYPERLINK("https://knru.ru/catalog/ul-rozenshteyna-d-36/","ссылка")</f>
        <v/>
      </c>
      <c r="Q384" t="inlineStr"/>
      <c r="R384" t="inlineStr">
        <is>
          <t>Нет у нас</t>
        </is>
      </c>
      <c r="S384" t="n">
        <v>0</v>
      </c>
      <c r="T384" t="inlineStr">
        <is>
          <t>Совпадений по улице+дому не найдено</t>
        </is>
      </c>
      <c r="U384" t="n">
        <v>525</v>
      </c>
      <c r="V384" t="n">
        <v>22</v>
      </c>
      <c r="W384" t="n">
        <v>21</v>
      </c>
      <c r="X384" t="n">
        <v>375000000</v>
      </c>
      <c r="Y384" t="inlineStr"/>
      <c r="Z384" t="inlineStr"/>
      <c r="AA384" t="inlineStr">
        <is>
          <t>https://knru.ru/catalog/ul-rozenshteyna-d-36/</t>
        </is>
      </c>
      <c r="AB384" t="inlineStr">
        <is>
          <t>C</t>
        </is>
      </c>
    </row>
    <row r="385">
      <c r="A385" t="n">
        <v>526</v>
      </c>
      <c r="B385" t="n">
        <v>22</v>
      </c>
      <c r="C385" t="n">
        <v>22</v>
      </c>
      <c r="D385" t="n">
        <v>39</v>
      </c>
      <c r="E385" t="inlineStr"/>
      <c r="F385" t="inlineStr">
        <is>
          <t>Сергиево тер, Ленина пр-кт, 39</t>
        </is>
      </c>
      <c r="G385" t="n">
        <v>605</v>
      </c>
      <c r="H385" t="inlineStr">
        <is>
          <t>159 000 000</t>
        </is>
      </c>
      <c r="I385" t="inlineStr"/>
      <c r="J385" t="inlineStr"/>
      <c r="K385" t="inlineStr"/>
      <c r="L385" t="inlineStr"/>
      <c r="M385" t="inlineStr"/>
      <c r="N385" t="inlineStr">
        <is>
          <t>no</t>
        </is>
      </c>
      <c r="O385" t="inlineStr">
        <is>
          <t>none</t>
        </is>
      </c>
      <c r="P385">
        <f>HYPERLINK("https://knru.ru/catalog/sergievo-pr-lenina-d-39/","ссылка")</f>
        <v/>
      </c>
      <c r="Q385" t="inlineStr"/>
      <c r="R385" t="inlineStr">
        <is>
          <t>Нет у нас</t>
        </is>
      </c>
      <c r="S385" t="n">
        <v>0</v>
      </c>
      <c r="T385" t="inlineStr">
        <is>
          <t>Совпадений по улице+дому не найдено</t>
        </is>
      </c>
      <c r="U385" t="n">
        <v>526</v>
      </c>
      <c r="V385" t="n">
        <v>22</v>
      </c>
      <c r="W385" t="n">
        <v>22</v>
      </c>
      <c r="X385" t="n">
        <v>159000000</v>
      </c>
      <c r="Y385" t="inlineStr"/>
      <c r="Z385" t="inlineStr"/>
      <c r="AA385" t="inlineStr">
        <is>
          <t>https://knru.ru/catalog/sergievo-pr-lenina-d-39/</t>
        </is>
      </c>
      <c r="AB385" t="inlineStr">
        <is>
          <t>C</t>
        </is>
      </c>
    </row>
    <row r="386">
      <c r="A386" t="n">
        <v>527</v>
      </c>
      <c r="B386" t="n">
        <v>22</v>
      </c>
      <c r="C386" t="n">
        <v>23</v>
      </c>
      <c r="D386" t="n">
        <v>9</v>
      </c>
      <c r="E386" t="inlineStr">
        <is>
          <t>Калининский</t>
        </is>
      </c>
      <c r="F386" t="inlineStr">
        <is>
          <t>Гражданский пр-кт, 9к11 А</t>
        </is>
      </c>
      <c r="G386" t="n">
        <v>234</v>
      </c>
      <c r="H386" t="inlineStr">
        <is>
          <t>50 000 000</t>
        </is>
      </c>
      <c r="I386" t="inlineStr"/>
      <c r="J386" t="inlineStr"/>
      <c r="K386" t="inlineStr"/>
      <c r="L386" t="inlineStr"/>
      <c r="M386" t="inlineStr"/>
      <c r="N386" t="inlineStr">
        <is>
          <t>no</t>
        </is>
      </c>
      <c r="O386" t="inlineStr">
        <is>
          <t>none</t>
        </is>
      </c>
      <c r="P386">
        <f>HYPERLINK("https://knru.ru/catalog/grazhdanskiy-pr-t-d-9/","ссылка")</f>
        <v/>
      </c>
      <c r="Q386" t="inlineStr"/>
      <c r="R386" t="inlineStr">
        <is>
          <t>Нет у нас</t>
        </is>
      </c>
      <c r="S386" t="n">
        <v>0</v>
      </c>
      <c r="T386" t="inlineStr">
        <is>
          <t>Совпадений по улице+дому не найдено</t>
        </is>
      </c>
      <c r="U386" t="n">
        <v>527</v>
      </c>
      <c r="V386" t="n">
        <v>22</v>
      </c>
      <c r="W386" t="n">
        <v>23</v>
      </c>
      <c r="X386" t="n">
        <v>50000000</v>
      </c>
      <c r="Y386" t="inlineStr"/>
      <c r="Z386" t="inlineStr"/>
      <c r="AA386" t="inlineStr">
        <is>
          <t>https://knru.ru/catalog/grazhdanskiy-pr-t-d-9/</t>
        </is>
      </c>
      <c r="AB386" t="inlineStr">
        <is>
          <t>C</t>
        </is>
      </c>
    </row>
    <row r="387">
      <c r="A387" t="n">
        <v>529</v>
      </c>
      <c r="B387" t="n">
        <v>23</v>
      </c>
      <c r="C387" t="n">
        <v>1</v>
      </c>
      <c r="D387" t="n">
        <v>31</v>
      </c>
      <c r="E387" t="inlineStr">
        <is>
          <t>Кировский</t>
        </is>
      </c>
      <c r="F387" t="inlineStr">
        <is>
          <t>Краснопутиловская ул, 31</t>
        </is>
      </c>
      <c r="G387" t="n">
        <v>976</v>
      </c>
      <c r="H387" t="inlineStr">
        <is>
          <t>135 000 000</t>
        </is>
      </c>
      <c r="I387" t="inlineStr"/>
      <c r="J387" t="inlineStr"/>
      <c r="K387" t="inlineStr"/>
      <c r="L387" t="inlineStr"/>
      <c r="M387" t="inlineStr"/>
      <c r="N387" t="inlineStr">
        <is>
          <t>no</t>
        </is>
      </c>
      <c r="O387" t="inlineStr">
        <is>
          <t>none</t>
        </is>
      </c>
      <c r="P387">
        <f>HYPERLINK("https://knru.ru/catalog/krasnoputilovskaya-ul-31/","ссылка")</f>
        <v/>
      </c>
      <c r="Q387" t="inlineStr"/>
      <c r="R387" t="inlineStr">
        <is>
          <t>Нет у нас</t>
        </is>
      </c>
      <c r="S387" t="n">
        <v>0</v>
      </c>
      <c r="T387" t="inlineStr">
        <is>
          <t>Совпадений по улице+дому не найдено</t>
        </is>
      </c>
      <c r="U387" t="n">
        <v>529</v>
      </c>
      <c r="V387" t="n">
        <v>23</v>
      </c>
      <c r="W387" t="n">
        <v>1</v>
      </c>
      <c r="X387" t="n">
        <v>135000000</v>
      </c>
      <c r="Y387" t="inlineStr"/>
      <c r="Z387" t="inlineStr"/>
      <c r="AA387" t="inlineStr">
        <is>
          <t>https://knru.ru/catalog/krasnoputilovskaya-ul-31/</t>
        </is>
      </c>
      <c r="AB387" t="inlineStr">
        <is>
          <t>C</t>
        </is>
      </c>
    </row>
    <row r="388">
      <c r="A388" t="n">
        <v>530</v>
      </c>
      <c r="B388" t="n">
        <v>23</v>
      </c>
      <c r="C388" t="n">
        <v>2</v>
      </c>
      <c r="D388" t="n">
        <v>3</v>
      </c>
      <c r="E388" t="inlineStr">
        <is>
          <t>Кировский</t>
        </is>
      </c>
      <c r="F388" t="inlineStr">
        <is>
          <t>Урхов пер, 3 А</t>
        </is>
      </c>
      <c r="G388" t="n">
        <v>3797</v>
      </c>
      <c r="H388" t="inlineStr">
        <is>
          <t>250 000 000</t>
        </is>
      </c>
      <c r="I388" t="inlineStr"/>
      <c r="J388" t="inlineStr"/>
      <c r="K388" t="inlineStr"/>
      <c r="L388" t="inlineStr"/>
      <c r="M388" t="inlineStr"/>
      <c r="N388" t="inlineStr">
        <is>
          <t>no</t>
        </is>
      </c>
      <c r="O388" t="inlineStr">
        <is>
          <t>none</t>
        </is>
      </c>
      <c r="P388">
        <f>HYPERLINK("https://knru.ru/catalog/urkhov-per-d-3/","ссылка")</f>
        <v/>
      </c>
      <c r="Q388" t="inlineStr"/>
      <c r="R388" t="inlineStr">
        <is>
          <t>Нет у нас</t>
        </is>
      </c>
      <c r="S388" t="n">
        <v>0</v>
      </c>
      <c r="T388" t="inlineStr">
        <is>
          <t>Совпадений по улице+дому не найдено</t>
        </is>
      </c>
      <c r="U388" t="n">
        <v>530</v>
      </c>
      <c r="V388" t="n">
        <v>23</v>
      </c>
      <c r="W388" t="n">
        <v>2</v>
      </c>
      <c r="X388" t="n">
        <v>250000000</v>
      </c>
      <c r="Y388" t="inlineStr"/>
      <c r="Z388" t="inlineStr"/>
      <c r="AA388" t="inlineStr">
        <is>
          <t>https://knru.ru/catalog/urkhov-per-d-3/</t>
        </is>
      </c>
      <c r="AB388" t="inlineStr">
        <is>
          <t>C</t>
        </is>
      </c>
    </row>
    <row r="389">
      <c r="A389" t="n">
        <v>531</v>
      </c>
      <c r="B389" t="n">
        <v>23</v>
      </c>
      <c r="C389" t="n">
        <v>3</v>
      </c>
      <c r="D389" t="n">
        <v>1535211659</v>
      </c>
      <c r="E389" t="inlineStr">
        <is>
          <t>Фрунзенский</t>
        </is>
      </c>
      <c r="F389" t="inlineStr">
        <is>
          <t>Будапештская, 92</t>
        </is>
      </c>
      <c r="G389" t="n">
        <v>1370</v>
      </c>
      <c r="H389" t="inlineStr">
        <is>
          <t>300 000 000</t>
        </is>
      </c>
      <c r="I389" t="inlineStr"/>
      <c r="J389" t="inlineStr"/>
      <c r="K389" t="inlineStr"/>
      <c r="L389" t="inlineStr"/>
      <c r="M389" t="inlineStr"/>
      <c r="N389" t="inlineStr">
        <is>
          <t>yes</t>
        </is>
      </c>
      <c r="O389" t="inlineStr">
        <is>
          <t>pixel_heuristic</t>
        </is>
      </c>
      <c r="P389">
        <f>HYPERLINK("https://knru.ru/catalog/budapeshtskaya-ul-d-92-1535211659/","ссылка")</f>
        <v/>
      </c>
      <c r="Q389" t="inlineStr"/>
      <c r="R389" t="inlineStr">
        <is>
          <t>Нет у нас</t>
        </is>
      </c>
      <c r="S389" t="n">
        <v>0</v>
      </c>
      <c r="T389" t="inlineStr">
        <is>
          <t>Совпадений по улице+дому не найдено</t>
        </is>
      </c>
      <c r="U389" t="n">
        <v>531</v>
      </c>
      <c r="V389" t="n">
        <v>23</v>
      </c>
      <c r="W389" t="n">
        <v>3</v>
      </c>
      <c r="X389" t="n">
        <v>300000000</v>
      </c>
      <c r="Y389" t="inlineStr"/>
      <c r="Z389" t="inlineStr"/>
      <c r="AA389" t="inlineStr">
        <is>
          <t>https://knru.ru/catalog/budapeshtskaya-ul-d-92-1535211659/</t>
        </is>
      </c>
      <c r="AB389" t="inlineStr">
        <is>
          <t>C</t>
        </is>
      </c>
    </row>
    <row r="390">
      <c r="A390" t="n">
        <v>532</v>
      </c>
      <c r="B390" t="n">
        <v>23</v>
      </c>
      <c r="C390" t="n">
        <v>4</v>
      </c>
      <c r="D390" t="n">
        <v>956244200</v>
      </c>
      <c r="E390" t="inlineStr">
        <is>
          <t>Петроградский</t>
        </is>
      </c>
      <c r="F390" t="inlineStr">
        <is>
          <t>Ремесленная ул, 15</t>
        </is>
      </c>
      <c r="G390" t="n">
        <v>1322</v>
      </c>
      <c r="H390" t="inlineStr">
        <is>
          <t>132 210 000</t>
        </is>
      </c>
      <c r="I390" t="inlineStr"/>
      <c r="J390" t="inlineStr"/>
      <c r="K390" t="inlineStr"/>
      <c r="L390" t="inlineStr"/>
      <c r="M390" t="inlineStr"/>
      <c r="N390" t="inlineStr">
        <is>
          <t>no</t>
        </is>
      </c>
      <c r="O390" t="inlineStr">
        <is>
          <t>none</t>
        </is>
      </c>
      <c r="P390">
        <f>HYPERLINK("https://knru.ru/catalog/ul-remeslennaya-d-15str1-956244200/","ссылка")</f>
        <v/>
      </c>
      <c r="Q390" t="inlineStr"/>
      <c r="R390" t="inlineStr">
        <is>
          <t>Нет у нас</t>
        </is>
      </c>
      <c r="S390" t="n">
        <v>0</v>
      </c>
      <c r="T390" t="inlineStr">
        <is>
          <t>Совпадений по улице+дому не найдено</t>
        </is>
      </c>
      <c r="U390" t="n">
        <v>532</v>
      </c>
      <c r="V390" t="n">
        <v>23</v>
      </c>
      <c r="W390" t="n">
        <v>4</v>
      </c>
      <c r="X390" t="n">
        <v>132210000</v>
      </c>
      <c r="Y390" t="inlineStr"/>
      <c r="Z390" t="inlineStr"/>
      <c r="AA390" t="inlineStr">
        <is>
          <t>https://knru.ru/catalog/ul-remeslennaya-d-15str1-956244200/</t>
        </is>
      </c>
      <c r="AB390" t="inlineStr">
        <is>
          <t>C</t>
        </is>
      </c>
    </row>
    <row r="391">
      <c r="A391" t="n">
        <v>534</v>
      </c>
      <c r="B391" t="n">
        <v>23</v>
      </c>
      <c r="C391" t="n">
        <v>6</v>
      </c>
      <c r="D391" t="n">
        <v>2</v>
      </c>
      <c r="E391" t="inlineStr">
        <is>
          <t>Агалатовское поселение</t>
        </is>
      </c>
      <c r="F391" t="inlineStr">
        <is>
          <t>Токсовское ш, 2</t>
        </is>
      </c>
      <c r="G391" t="n">
        <v>9600</v>
      </c>
      <c r="H391" t="inlineStr">
        <is>
          <t>33 000 000</t>
        </is>
      </c>
      <c r="I391" t="inlineStr"/>
      <c r="J391" t="inlineStr"/>
      <c r="K391" t="inlineStr"/>
      <c r="L391" t="inlineStr"/>
      <c r="M391" t="inlineStr"/>
      <c r="N391" t="inlineStr">
        <is>
          <t>no</t>
        </is>
      </c>
      <c r="O391" t="inlineStr">
        <is>
          <t>none</t>
        </is>
      </c>
      <c r="P391">
        <f>HYPERLINK("https://knru.ru/catalog/toksovskoe-sh-2/","ссылка")</f>
        <v/>
      </c>
      <c r="Q391" t="inlineStr"/>
      <c r="R391" t="inlineStr">
        <is>
          <t>Нет у нас</t>
        </is>
      </c>
      <c r="S391" t="n">
        <v>0</v>
      </c>
      <c r="T391" t="inlineStr">
        <is>
          <t>Совпадений по улице+дому не найдено</t>
        </is>
      </c>
      <c r="U391" t="n">
        <v>534</v>
      </c>
      <c r="V391" t="n">
        <v>23</v>
      </c>
      <c r="W391" t="n">
        <v>6</v>
      </c>
      <c r="X391" t="n">
        <v>33000000</v>
      </c>
      <c r="Y391" t="inlineStr"/>
      <c r="Z391" t="inlineStr"/>
      <c r="AA391" t="inlineStr">
        <is>
          <t>https://knru.ru/catalog/toksovskoe-sh-2/</t>
        </is>
      </c>
      <c r="AB391" t="inlineStr">
        <is>
          <t>C</t>
        </is>
      </c>
    </row>
    <row r="392">
      <c r="A392" t="n">
        <v>535</v>
      </c>
      <c r="B392" t="n">
        <v>23</v>
      </c>
      <c r="C392" t="n">
        <v>7</v>
      </c>
      <c r="D392" t="n">
        <v>49</v>
      </c>
      <c r="E392" t="inlineStr">
        <is>
          <t>Василеостровский</t>
        </is>
      </c>
      <c r="F392" t="inlineStr">
        <is>
          <t>Наличная ул, 49</t>
        </is>
      </c>
      <c r="G392" t="n">
        <v>80</v>
      </c>
      <c r="H392" t="inlineStr">
        <is>
          <t>33 500 000</t>
        </is>
      </c>
      <c r="I392" t="inlineStr"/>
      <c r="J392" t="inlineStr"/>
      <c r="K392" t="inlineStr"/>
      <c r="L392" t="inlineStr"/>
      <c r="M392" t="inlineStr"/>
      <c r="N392" t="inlineStr">
        <is>
          <t>yes</t>
        </is>
      </c>
      <c r="O392" t="inlineStr">
        <is>
          <t>pixel_heuristic</t>
        </is>
      </c>
      <c r="P392">
        <f>HYPERLINK("https://knru.ru/catalog/nalichnaya-ul-49/","ссылка")</f>
        <v/>
      </c>
      <c r="Q392" t="inlineStr"/>
      <c r="R392" t="inlineStr">
        <is>
          <t>Нет у нас</t>
        </is>
      </c>
      <c r="S392" t="n">
        <v>0</v>
      </c>
      <c r="T392" t="inlineStr">
        <is>
          <t>Совпадений по улице+дому не найдено</t>
        </is>
      </c>
      <c r="U392" t="n">
        <v>535</v>
      </c>
      <c r="V392" t="n">
        <v>23</v>
      </c>
      <c r="W392" t="n">
        <v>7</v>
      </c>
      <c r="X392" t="n">
        <v>33500000</v>
      </c>
      <c r="Y392" t="inlineStr"/>
      <c r="Z392" t="inlineStr"/>
      <c r="AA392" t="inlineStr">
        <is>
          <t>https://knru.ru/catalog/nalichnaya-ul-49/</t>
        </is>
      </c>
      <c r="AB392" t="inlineStr">
        <is>
          <t>C</t>
        </is>
      </c>
    </row>
    <row r="393">
      <c r="A393" t="n">
        <v>536</v>
      </c>
      <c r="B393" t="n">
        <v>23</v>
      </c>
      <c r="C393" t="n">
        <v>8</v>
      </c>
      <c r="D393" t="inlineStr"/>
      <c r="E393" t="inlineStr">
        <is>
          <t>Петроградский</t>
        </is>
      </c>
      <c r="F393" t="inlineStr">
        <is>
          <t>Большой П.С. пр-кт, 71 А</t>
        </is>
      </c>
      <c r="G393" t="n">
        <v>192</v>
      </c>
      <c r="H393" t="inlineStr">
        <is>
          <t>65 000 000</t>
        </is>
      </c>
      <c r="I393" t="inlineStr"/>
      <c r="J393" t="inlineStr"/>
      <c r="K393" t="inlineStr"/>
      <c r="L393" t="inlineStr"/>
      <c r="M393" t="inlineStr"/>
      <c r="N393" t="inlineStr">
        <is>
          <t>no</t>
        </is>
      </c>
      <c r="O393" t="inlineStr">
        <is>
          <t>none</t>
        </is>
      </c>
      <c r="P393">
        <f>HYPERLINK("https://knru.ru/catalog/bolshoy-pr-p-s-d-71a/","ссылка")</f>
        <v/>
      </c>
      <c r="Q393" t="inlineStr"/>
      <c r="R393" t="inlineStr">
        <is>
          <t>Нет у нас</t>
        </is>
      </c>
      <c r="S393" t="n">
        <v>0</v>
      </c>
      <c r="T393" t="inlineStr">
        <is>
          <t>Совпадений по улице+дому не найдено</t>
        </is>
      </c>
      <c r="U393" t="n">
        <v>536</v>
      </c>
      <c r="V393" t="n">
        <v>23</v>
      </c>
      <c r="W393" t="n">
        <v>8</v>
      </c>
      <c r="X393" t="n">
        <v>65000000</v>
      </c>
      <c r="Y393" t="inlineStr"/>
      <c r="Z393" t="inlineStr"/>
      <c r="AA393" t="inlineStr">
        <is>
          <t>https://knru.ru/catalog/bolshoy-pr-p-s-d-71a/</t>
        </is>
      </c>
      <c r="AB393" t="inlineStr">
        <is>
          <t>C</t>
        </is>
      </c>
    </row>
    <row r="394">
      <c r="A394" t="n">
        <v>538</v>
      </c>
      <c r="B394" t="n">
        <v>23</v>
      </c>
      <c r="C394" t="n">
        <v>10</v>
      </c>
      <c r="D394" t="n">
        <v>78</v>
      </c>
      <c r="E394" t="inlineStr">
        <is>
          <t>Василеостровский</t>
        </is>
      </c>
      <c r="F394" t="inlineStr">
        <is>
          <t>Большой В.О. пр-кт, 78</t>
        </is>
      </c>
      <c r="G394" t="n">
        <v>1563</v>
      </c>
      <c r="H394" t="inlineStr">
        <is>
          <t>249 000 000</t>
        </is>
      </c>
      <c r="I394" t="inlineStr"/>
      <c r="J394" t="inlineStr"/>
      <c r="K394" t="inlineStr"/>
      <c r="L394" t="inlineStr"/>
      <c r="M394" t="inlineStr"/>
      <c r="N394" t="inlineStr">
        <is>
          <t>no</t>
        </is>
      </c>
      <c r="O394" t="inlineStr">
        <is>
          <t>none</t>
        </is>
      </c>
      <c r="P394">
        <f>HYPERLINK("https://knru.ru/catalog/sankt-peterburg-bolshoy-pr-t-vasilevskogo-ostrova-78/","ссылка")</f>
        <v/>
      </c>
      <c r="Q394" t="inlineStr"/>
      <c r="R394" t="inlineStr">
        <is>
          <t>Нет у нас</t>
        </is>
      </c>
      <c r="S394" t="n">
        <v>0</v>
      </c>
      <c r="T394" t="inlineStr">
        <is>
          <t>Совпадений по улице+дому не найдено</t>
        </is>
      </c>
      <c r="U394" t="n">
        <v>538</v>
      </c>
      <c r="V394" t="n">
        <v>23</v>
      </c>
      <c r="W394" t="n">
        <v>10</v>
      </c>
      <c r="X394" t="n">
        <v>249000000</v>
      </c>
      <c r="Y394" t="inlineStr"/>
      <c r="Z394" t="inlineStr"/>
      <c r="AA394" t="inlineStr">
        <is>
          <t>https://knru.ru/catalog/sankt-peterburg-bolshoy-pr-t-vasilevskogo-ostrova-78/</t>
        </is>
      </c>
      <c r="AB394" t="inlineStr">
        <is>
          <t>C</t>
        </is>
      </c>
    </row>
    <row r="395">
      <c r="A395" t="n">
        <v>540</v>
      </c>
      <c r="B395" t="n">
        <v>23</v>
      </c>
      <c r="C395" t="n">
        <v>12</v>
      </c>
      <c r="D395" t="n">
        <v>15</v>
      </c>
      <c r="E395" t="inlineStr">
        <is>
          <t>Петроградский</t>
        </is>
      </c>
      <c r="F395" t="inlineStr">
        <is>
          <t>Крестовский пр-кт, 15</t>
        </is>
      </c>
      <c r="G395" t="n">
        <v>220</v>
      </c>
      <c r="H395" t="inlineStr">
        <is>
          <t>130 000 000</t>
        </is>
      </c>
      <c r="I395" t="inlineStr"/>
      <c r="J395" t="inlineStr"/>
      <c r="K395" t="inlineStr"/>
      <c r="L395" t="inlineStr"/>
      <c r="M395" t="inlineStr"/>
      <c r="N395" t="inlineStr">
        <is>
          <t>no</t>
        </is>
      </c>
      <c r="O395" t="inlineStr">
        <is>
          <t>none</t>
        </is>
      </c>
      <c r="P395">
        <f>HYPERLINK("https://knru.ru/catalog/krestovskiy-pr-d-15/","ссылка")</f>
        <v/>
      </c>
      <c r="Q395" t="inlineStr"/>
      <c r="R395" t="inlineStr">
        <is>
          <t>Нет у нас</t>
        </is>
      </c>
      <c r="S395" t="n">
        <v>0</v>
      </c>
      <c r="T395" t="inlineStr">
        <is>
          <t>Совпадений по улице+дому не найдено</t>
        </is>
      </c>
      <c r="U395" t="n">
        <v>540</v>
      </c>
      <c r="V395" t="n">
        <v>23</v>
      </c>
      <c r="W395" t="n">
        <v>12</v>
      </c>
      <c r="X395" t="n">
        <v>130000000</v>
      </c>
      <c r="Y395" t="inlineStr"/>
      <c r="Z395" t="inlineStr"/>
      <c r="AA395" t="inlineStr">
        <is>
          <t>https://knru.ru/catalog/krestovskiy-pr-d-15/</t>
        </is>
      </c>
      <c r="AB395" t="inlineStr">
        <is>
          <t>C</t>
        </is>
      </c>
    </row>
    <row r="396">
      <c r="A396" t="n">
        <v>543</v>
      </c>
      <c r="B396" t="n">
        <v>23</v>
      </c>
      <c r="C396" t="n">
        <v>15</v>
      </c>
      <c r="D396" t="n">
        <v>1144211576</v>
      </c>
      <c r="E396" t="inlineStr">
        <is>
          <t>Петроградский</t>
        </is>
      </c>
      <c r="F396" t="inlineStr">
        <is>
          <t>Рентгена ул, 25стр1</t>
        </is>
      </c>
      <c r="G396" t="n">
        <v>327</v>
      </c>
      <c r="H396" t="inlineStr">
        <is>
          <t>115 000 000</t>
        </is>
      </c>
      <c r="I396" t="inlineStr"/>
      <c r="J396" t="inlineStr"/>
      <c r="K396" t="inlineStr"/>
      <c r="L396" t="inlineStr"/>
      <c r="M396" t="inlineStr"/>
      <c r="N396" t="inlineStr">
        <is>
          <t>no</t>
        </is>
      </c>
      <c r="O396" t="inlineStr">
        <is>
          <t>none</t>
        </is>
      </c>
      <c r="P396">
        <f>HYPERLINK("https://knru.ru/catalog/rentgena-ul-d-25-1144211576/","ссылка")</f>
        <v/>
      </c>
      <c r="Q396" t="inlineStr"/>
      <c r="R396" t="inlineStr">
        <is>
          <t>Нет у нас</t>
        </is>
      </c>
      <c r="S396" t="n">
        <v>0</v>
      </c>
      <c r="T396" t="inlineStr">
        <is>
          <t>Совпадений по улице+дому не найдено</t>
        </is>
      </c>
      <c r="U396" t="n">
        <v>543</v>
      </c>
      <c r="V396" t="n">
        <v>23</v>
      </c>
      <c r="W396" t="n">
        <v>15</v>
      </c>
      <c r="X396" t="n">
        <v>115000000</v>
      </c>
      <c r="Y396" t="inlineStr"/>
      <c r="Z396" t="inlineStr"/>
      <c r="AA396" t="inlineStr">
        <is>
          <t>https://knru.ru/catalog/rentgena-ul-d-25-1144211576/</t>
        </is>
      </c>
      <c r="AB396" t="inlineStr">
        <is>
          <t>C</t>
        </is>
      </c>
    </row>
    <row r="397">
      <c r="A397" t="n">
        <v>544</v>
      </c>
      <c r="B397" t="n">
        <v>23</v>
      </c>
      <c r="C397" t="n">
        <v>16</v>
      </c>
      <c r="D397" t="n">
        <v>79</v>
      </c>
      <c r="E397" t="inlineStr">
        <is>
          <t>Московский</t>
        </is>
      </c>
      <c r="F397" t="inlineStr">
        <is>
          <t>Московский пр-кт, 79</t>
        </is>
      </c>
      <c r="G397" t="n">
        <v>100</v>
      </c>
      <c r="H397" t="inlineStr">
        <is>
          <t>65 000 000</t>
        </is>
      </c>
      <c r="I397" t="inlineStr"/>
      <c r="J397" t="inlineStr"/>
      <c r="K397" t="inlineStr"/>
      <c r="L397" t="inlineStr"/>
      <c r="M397" t="inlineStr"/>
      <c r="N397" t="inlineStr">
        <is>
          <t>no</t>
        </is>
      </c>
      <c r="O397" t="inlineStr">
        <is>
          <t>none</t>
        </is>
      </c>
      <c r="P397">
        <f>HYPERLINK("https://knru.ru/catalog/moskovskiy-pr-d-79/","ссылка")</f>
        <v/>
      </c>
      <c r="Q397" t="inlineStr"/>
      <c r="R397" t="inlineStr">
        <is>
          <t>Нет у нас</t>
        </is>
      </c>
      <c r="S397" t="n">
        <v>0</v>
      </c>
      <c r="T397" t="inlineStr">
        <is>
          <t>Совпадений по улице+дому не найдено</t>
        </is>
      </c>
      <c r="U397" t="n">
        <v>544</v>
      </c>
      <c r="V397" t="n">
        <v>23</v>
      </c>
      <c r="W397" t="n">
        <v>16</v>
      </c>
      <c r="X397" t="n">
        <v>65000000</v>
      </c>
      <c r="Y397" t="inlineStr"/>
      <c r="Z397" t="inlineStr"/>
      <c r="AA397" t="inlineStr">
        <is>
          <t>https://knru.ru/catalog/moskovskiy-pr-d-79/</t>
        </is>
      </c>
      <c r="AB397" t="inlineStr">
        <is>
          <t>C</t>
        </is>
      </c>
    </row>
    <row r="398">
      <c r="A398" t="n">
        <v>545</v>
      </c>
      <c r="B398" t="n">
        <v>23</v>
      </c>
      <c r="C398" t="n">
        <v>17</v>
      </c>
      <c r="D398" t="n">
        <v>712802815</v>
      </c>
      <c r="E398" t="inlineStr">
        <is>
          <t>Василеостровский</t>
        </is>
      </c>
      <c r="F398" t="inlineStr">
        <is>
          <t>Наличная ул, 9</t>
        </is>
      </c>
      <c r="G398" t="n">
        <v>108.9</v>
      </c>
      <c r="H398" t="inlineStr">
        <is>
          <t>27 500 000</t>
        </is>
      </c>
      <c r="I398" t="inlineStr"/>
      <c r="J398" t="inlineStr"/>
      <c r="K398" t="inlineStr"/>
      <c r="L398" t="inlineStr"/>
      <c r="M398" t="inlineStr"/>
      <c r="N398" t="inlineStr">
        <is>
          <t>no</t>
        </is>
      </c>
      <c r="O398" t="inlineStr">
        <is>
          <t>none</t>
        </is>
      </c>
      <c r="P398">
        <f>HYPERLINK("https://knru.ru/catalog/nalichnaya-ul-d-9-712802815/","ссылка")</f>
        <v/>
      </c>
      <c r="Q398" t="inlineStr"/>
      <c r="R398" t="inlineStr">
        <is>
          <t>Нет у нас</t>
        </is>
      </c>
      <c r="S398" t="n">
        <v>0</v>
      </c>
      <c r="T398" t="inlineStr">
        <is>
          <t>Совпадений по улице+дому не найдено</t>
        </is>
      </c>
      <c r="U398" t="n">
        <v>545</v>
      </c>
      <c r="V398" t="n">
        <v>23</v>
      </c>
      <c r="W398" t="n">
        <v>17</v>
      </c>
      <c r="X398" t="n">
        <v>27500000</v>
      </c>
      <c r="Y398" t="inlineStr"/>
      <c r="Z398" t="inlineStr"/>
      <c r="AA398" t="inlineStr">
        <is>
          <t>https://knru.ru/catalog/nalichnaya-ul-d-9-712802815/</t>
        </is>
      </c>
      <c r="AB398" t="inlineStr">
        <is>
          <t>C</t>
        </is>
      </c>
    </row>
    <row r="399">
      <c r="A399" t="n">
        <v>549</v>
      </c>
      <c r="B399" t="n">
        <v>23</v>
      </c>
      <c r="C399" t="n">
        <v>21</v>
      </c>
      <c r="D399" t="inlineStr"/>
      <c r="E399" t="inlineStr">
        <is>
          <t>Невский</t>
        </is>
      </c>
      <c r="F399" t="inlineStr">
        <is>
          <t>Дальневосточный пр-кт, 42ке</t>
        </is>
      </c>
      <c r="G399" t="n">
        <v>166.3</v>
      </c>
      <c r="H399" t="inlineStr">
        <is>
          <t>43 000 000</t>
        </is>
      </c>
      <c r="I399" t="inlineStr"/>
      <c r="J399" t="inlineStr"/>
      <c r="K399" t="inlineStr"/>
      <c r="L399" t="inlineStr"/>
      <c r="M399" t="inlineStr"/>
      <c r="N399" t="inlineStr">
        <is>
          <t>no</t>
        </is>
      </c>
      <c r="O399" t="inlineStr">
        <is>
          <t>none</t>
        </is>
      </c>
      <c r="P399">
        <f>HYPERLINK("https://knru.ru/catalog/dalnevostochnyy-pr-kt-42ke/","ссылка")</f>
        <v/>
      </c>
      <c r="Q399" t="inlineStr"/>
      <c r="R399" t="inlineStr">
        <is>
          <t>Нет у нас</t>
        </is>
      </c>
      <c r="S399" t="n">
        <v>0</v>
      </c>
      <c r="T399" t="inlineStr">
        <is>
          <t>Совпадений по улице+дому не найдено</t>
        </is>
      </c>
      <c r="U399" t="n">
        <v>549</v>
      </c>
      <c r="V399" t="n">
        <v>23</v>
      </c>
      <c r="W399" t="n">
        <v>21</v>
      </c>
      <c r="X399" t="n">
        <v>43000000</v>
      </c>
      <c r="Y399" t="inlineStr"/>
      <c r="Z399" t="inlineStr"/>
      <c r="AA399" t="inlineStr">
        <is>
          <t>https://knru.ru/catalog/dalnevostochnyy-pr-kt-42ke/</t>
        </is>
      </c>
      <c r="AB399" t="inlineStr">
        <is>
          <t>C</t>
        </is>
      </c>
    </row>
    <row r="400">
      <c r="A400" t="n">
        <v>550</v>
      </c>
      <c r="B400" t="n">
        <v>23</v>
      </c>
      <c r="C400" t="n">
        <v>22</v>
      </c>
      <c r="D400" t="inlineStr"/>
      <c r="E400" t="inlineStr">
        <is>
          <t>Центральный</t>
        </is>
      </c>
      <c r="F400" t="inlineStr">
        <is>
          <t>Разъезжая ул, 44И</t>
        </is>
      </c>
      <c r="G400" t="n">
        <v>748</v>
      </c>
      <c r="H400" t="inlineStr">
        <is>
          <t>230 000 000</t>
        </is>
      </c>
      <c r="I400" t="inlineStr"/>
      <c r="J400" t="inlineStr"/>
      <c r="K400" t="inlineStr"/>
      <c r="L400" t="inlineStr"/>
      <c r="M400" t="inlineStr"/>
      <c r="N400" t="inlineStr">
        <is>
          <t>no</t>
        </is>
      </c>
      <c r="O400" t="inlineStr">
        <is>
          <t>none</t>
        </is>
      </c>
      <c r="P400">
        <f>HYPERLINK("https://knru.ru/catalog/ul-razezzhaya-d-44i/","ссылка")</f>
        <v/>
      </c>
      <c r="Q400" t="inlineStr"/>
      <c r="R400" t="inlineStr">
        <is>
          <t>Нет у нас</t>
        </is>
      </c>
      <c r="S400" t="n">
        <v>0</v>
      </c>
      <c r="T400" t="inlineStr">
        <is>
          <t>Совпадений по улице+дому не найдено</t>
        </is>
      </c>
      <c r="U400" t="n">
        <v>550</v>
      </c>
      <c r="V400" t="n">
        <v>23</v>
      </c>
      <c r="W400" t="n">
        <v>22</v>
      </c>
      <c r="X400" t="n">
        <v>230000000</v>
      </c>
      <c r="Y400" t="inlineStr"/>
      <c r="Z400" t="inlineStr"/>
      <c r="AA400" t="inlineStr">
        <is>
          <t>https://knru.ru/catalog/ul-razezzhaya-d-44i/</t>
        </is>
      </c>
      <c r="AB400" t="inlineStr">
        <is>
          <t>C</t>
        </is>
      </c>
    </row>
    <row r="401">
      <c r="A401" t="n">
        <v>551</v>
      </c>
      <c r="B401" t="n">
        <v>23</v>
      </c>
      <c r="C401" t="n">
        <v>23</v>
      </c>
      <c r="D401" t="n">
        <v>27</v>
      </c>
      <c r="E401" t="inlineStr">
        <is>
          <t>Красногвардейский</t>
        </is>
      </c>
      <c r="F401" t="inlineStr">
        <is>
          <t>Индустриальный пр-кт, 27 А</t>
        </is>
      </c>
      <c r="G401" t="n">
        <v>480</v>
      </c>
      <c r="H401" t="inlineStr">
        <is>
          <t>48 000 000</t>
        </is>
      </c>
      <c r="I401" t="inlineStr"/>
      <c r="J401" t="inlineStr"/>
      <c r="K401" t="inlineStr"/>
      <c r="L401" t="inlineStr"/>
      <c r="M401" t="inlineStr"/>
      <c r="N401" t="inlineStr">
        <is>
          <t>no</t>
        </is>
      </c>
      <c r="O401" t="inlineStr">
        <is>
          <t>none</t>
        </is>
      </c>
      <c r="P401">
        <f>HYPERLINK("https://knru.ru/catalog/industrialnyy-pr-t-d-27/","ссылка")</f>
        <v/>
      </c>
      <c r="Q401" t="inlineStr"/>
      <c r="R401" t="inlineStr">
        <is>
          <t>Нет у нас</t>
        </is>
      </c>
      <c r="S401" t="n">
        <v>0</v>
      </c>
      <c r="T401" t="inlineStr">
        <is>
          <t>Совпадений по улице+дому не найдено</t>
        </is>
      </c>
      <c r="U401" t="n">
        <v>551</v>
      </c>
      <c r="V401" t="n">
        <v>23</v>
      </c>
      <c r="W401" t="n">
        <v>23</v>
      </c>
      <c r="X401" t="n">
        <v>48000000</v>
      </c>
      <c r="Y401" t="inlineStr"/>
      <c r="Z401" t="inlineStr"/>
      <c r="AA401" t="inlineStr">
        <is>
          <t>https://knru.ru/catalog/industrialnyy-pr-t-d-27/</t>
        </is>
      </c>
      <c r="AB401" t="inlineStr">
        <is>
          <t>C</t>
        </is>
      </c>
    </row>
    <row r="402">
      <c r="A402" t="n">
        <v>553</v>
      </c>
      <c r="B402" t="n">
        <v>24</v>
      </c>
      <c r="C402" t="n">
        <v>1</v>
      </c>
      <c r="D402" t="n">
        <v>1102973252</v>
      </c>
      <c r="E402" t="inlineStr">
        <is>
          <t>Красносельский</t>
        </is>
      </c>
      <c r="F402" t="inlineStr">
        <is>
          <t>Морской Пехоты ул, 28</t>
        </is>
      </c>
      <c r="G402" t="n">
        <v>607</v>
      </c>
      <c r="H402" t="inlineStr">
        <is>
          <t>112 397 880</t>
        </is>
      </c>
      <c r="I402" t="inlineStr"/>
      <c r="J402" t="inlineStr"/>
      <c r="K402" t="inlineStr"/>
      <c r="L402" t="inlineStr"/>
      <c r="M402" t="inlineStr"/>
      <c r="N402" t="inlineStr">
        <is>
          <t>no</t>
        </is>
      </c>
      <c r="O402" t="inlineStr">
        <is>
          <t>none</t>
        </is>
      </c>
      <c r="P402">
        <f>HYPERLINK("https://knru.ru/catalog/ul-morskoy-pekhoty-d-28-1102973252/","ссылка")</f>
        <v/>
      </c>
      <c r="Q402" t="inlineStr"/>
      <c r="R402" t="inlineStr">
        <is>
          <t>Нет у нас</t>
        </is>
      </c>
      <c r="S402" t="n">
        <v>0</v>
      </c>
      <c r="T402" t="inlineStr">
        <is>
          <t>Совпадений по улице+дому не найдено</t>
        </is>
      </c>
      <c r="U402" t="n">
        <v>553</v>
      </c>
      <c r="V402" t="n">
        <v>24</v>
      </c>
      <c r="W402" t="n">
        <v>1</v>
      </c>
      <c r="X402" t="n">
        <v>112397880</v>
      </c>
      <c r="Y402" t="inlineStr"/>
      <c r="Z402" t="inlineStr"/>
      <c r="AA402" t="inlineStr">
        <is>
          <t>https://knru.ru/catalog/ul-morskoy-pekhoty-d-28-1102973252/</t>
        </is>
      </c>
      <c r="AB402" t="inlineStr">
        <is>
          <t>C</t>
        </is>
      </c>
    </row>
    <row r="403">
      <c r="A403" t="n">
        <v>556</v>
      </c>
      <c r="B403" t="n">
        <v>24</v>
      </c>
      <c r="C403" t="n">
        <v>4</v>
      </c>
      <c r="D403" t="n">
        <v>26</v>
      </c>
      <c r="E403" t="inlineStr">
        <is>
          <t>Калининский</t>
        </is>
      </c>
      <c r="F403" t="inlineStr">
        <is>
          <t>Кондратьевский пр-кт, 26</t>
        </is>
      </c>
      <c r="G403" t="n">
        <v>167</v>
      </c>
      <c r="H403" t="inlineStr">
        <is>
          <t>41 560 000</t>
        </is>
      </c>
      <c r="I403" t="inlineStr"/>
      <c r="J403" t="inlineStr"/>
      <c r="K403" t="inlineStr"/>
      <c r="L403" t="inlineStr"/>
      <c r="M403" t="inlineStr"/>
      <c r="N403" t="inlineStr">
        <is>
          <t>no</t>
        </is>
      </c>
      <c r="O403" t="inlineStr">
        <is>
          <t>none</t>
        </is>
      </c>
      <c r="P403">
        <f>HYPERLINK("https://knru.ru/catalog/kondratevskiy-pr-d-26/","ссылка")</f>
        <v/>
      </c>
      <c r="Q403" t="inlineStr"/>
      <c r="R403" t="inlineStr">
        <is>
          <t>Нет у нас</t>
        </is>
      </c>
      <c r="S403" t="n">
        <v>0</v>
      </c>
      <c r="T403" t="inlineStr">
        <is>
          <t>Совпадений по улице+дому не найдено</t>
        </is>
      </c>
      <c r="U403" t="n">
        <v>556</v>
      </c>
      <c r="V403" t="n">
        <v>24</v>
      </c>
      <c r="W403" t="n">
        <v>4</v>
      </c>
      <c r="X403" t="n">
        <v>41560000</v>
      </c>
      <c r="Y403" t="inlineStr"/>
      <c r="Z403" t="inlineStr"/>
      <c r="AA403" t="inlineStr">
        <is>
          <t>https://knru.ru/catalog/kondratevskiy-pr-d-26/</t>
        </is>
      </c>
      <c r="AB403" t="inlineStr">
        <is>
          <t>C</t>
        </is>
      </c>
    </row>
    <row r="404">
      <c r="A404" t="n">
        <v>560</v>
      </c>
      <c r="B404" t="n">
        <v>24</v>
      </c>
      <c r="C404" t="n">
        <v>8</v>
      </c>
      <c r="D404" t="n">
        <v>805524045</v>
      </c>
      <c r="E404" t="inlineStr">
        <is>
          <t>Приморский</t>
        </is>
      </c>
      <c r="F404" t="inlineStr">
        <is>
          <t>Коломяжский пр-кт, 13 АС</t>
        </is>
      </c>
      <c r="G404" t="n">
        <v>96.90000000000001</v>
      </c>
      <c r="H404" t="inlineStr">
        <is>
          <t>28 119 700</t>
        </is>
      </c>
      <c r="I404" t="inlineStr"/>
      <c r="J404" t="inlineStr"/>
      <c r="K404" t="inlineStr"/>
      <c r="L404" t="inlineStr"/>
      <c r="M404" t="inlineStr"/>
      <c r="N404" t="inlineStr">
        <is>
          <t>no</t>
        </is>
      </c>
      <c r="O404" t="inlineStr">
        <is>
          <t>none</t>
        </is>
      </c>
      <c r="P404">
        <f>HYPERLINK("https://knru.ru/catalog/pr-kolomyazhskiy-d-13-805524045/","ссылка")</f>
        <v/>
      </c>
      <c r="Q404" t="inlineStr"/>
      <c r="R404" t="inlineStr">
        <is>
          <t>Нет у нас</t>
        </is>
      </c>
      <c r="S404" t="n">
        <v>0</v>
      </c>
      <c r="T404" t="inlineStr">
        <is>
          <t>Совпадений по улице+дому не найдено</t>
        </is>
      </c>
      <c r="U404" t="n">
        <v>560</v>
      </c>
      <c r="V404" t="n">
        <v>24</v>
      </c>
      <c r="W404" t="n">
        <v>8</v>
      </c>
      <c r="X404" t="n">
        <v>28119700</v>
      </c>
      <c r="Y404" t="inlineStr"/>
      <c r="Z404" t="inlineStr"/>
      <c r="AA404" t="inlineStr">
        <is>
          <t>https://knru.ru/catalog/pr-kolomyazhskiy-d-13-805524045/</t>
        </is>
      </c>
      <c r="AB404" t="inlineStr">
        <is>
          <t>C</t>
        </is>
      </c>
    </row>
    <row r="405">
      <c r="A405" t="n">
        <v>561</v>
      </c>
      <c r="B405" t="n">
        <v>24</v>
      </c>
      <c r="C405" t="n">
        <v>9</v>
      </c>
      <c r="D405" t="n">
        <v>13</v>
      </c>
      <c r="E405" t="inlineStr">
        <is>
          <t>Приморский</t>
        </is>
      </c>
      <c r="F405" t="inlineStr">
        <is>
          <t>Коломяжский пр-кт, 13 АС</t>
        </is>
      </c>
      <c r="G405" t="n">
        <v>69.3</v>
      </c>
      <c r="H405" t="inlineStr">
        <is>
          <t>22 192 400</t>
        </is>
      </c>
      <c r="I405" t="inlineStr"/>
      <c r="J405" t="inlineStr"/>
      <c r="K405" t="inlineStr"/>
      <c r="L405" t="inlineStr"/>
      <c r="M405" t="inlineStr"/>
      <c r="N405" t="inlineStr">
        <is>
          <t>no</t>
        </is>
      </c>
      <c r="O405" t="inlineStr">
        <is>
          <t>none</t>
        </is>
      </c>
      <c r="P405">
        <f>HYPERLINK("https://knru.ru/catalog/pr-kolomyazhskiy-d-13/","ссылка")</f>
        <v/>
      </c>
      <c r="Q405" t="inlineStr"/>
      <c r="R405" t="inlineStr">
        <is>
          <t>Нет у нас</t>
        </is>
      </c>
      <c r="S405" t="n">
        <v>0</v>
      </c>
      <c r="T405" t="inlineStr">
        <is>
          <t>Совпадений по улице+дому не найдено</t>
        </is>
      </c>
      <c r="U405" t="n">
        <v>561</v>
      </c>
      <c r="V405" t="n">
        <v>24</v>
      </c>
      <c r="W405" t="n">
        <v>9</v>
      </c>
      <c r="X405" t="n">
        <v>22192400</v>
      </c>
      <c r="Y405" t="inlineStr"/>
      <c r="Z405" t="inlineStr"/>
      <c r="AA405" t="inlineStr">
        <is>
          <t>https://knru.ru/catalog/pr-kolomyazhskiy-d-13/</t>
        </is>
      </c>
      <c r="AB405" t="inlineStr">
        <is>
          <t>C</t>
        </is>
      </c>
    </row>
    <row r="406">
      <c r="A406" t="n">
        <v>562</v>
      </c>
      <c r="B406" t="n">
        <v>24</v>
      </c>
      <c r="C406" t="n">
        <v>10</v>
      </c>
      <c r="D406" t="n">
        <v>11</v>
      </c>
      <c r="E406" t="inlineStr">
        <is>
          <t>Петроградский</t>
        </is>
      </c>
      <c r="F406" t="inlineStr">
        <is>
          <t>Большая Монетная ул, 11</t>
        </is>
      </c>
      <c r="G406" t="n">
        <v>167</v>
      </c>
      <c r="H406" t="inlineStr">
        <is>
          <t>35 000 000</t>
        </is>
      </c>
      <c r="I406" t="inlineStr"/>
      <c r="J406" t="inlineStr"/>
      <c r="K406" t="inlineStr"/>
      <c r="L406" t="inlineStr"/>
      <c r="M406" t="inlineStr"/>
      <c r="N406" t="inlineStr">
        <is>
          <t>yes</t>
        </is>
      </c>
      <c r="O406" t="inlineStr">
        <is>
          <t>pixel_heuristic</t>
        </is>
      </c>
      <c r="P406">
        <f>HYPERLINK("https://knru.ru/catalog/bolshaya-monetnaya-ul-d-11/","ссылка")</f>
        <v/>
      </c>
      <c r="Q406" t="inlineStr"/>
      <c r="R406" t="inlineStr">
        <is>
          <t>Нет у нас</t>
        </is>
      </c>
      <c r="S406" t="n">
        <v>0</v>
      </c>
      <c r="T406" t="inlineStr">
        <is>
          <t>Совпадений по улице+дому не найдено</t>
        </is>
      </c>
      <c r="U406" t="n">
        <v>562</v>
      </c>
      <c r="V406" t="n">
        <v>24</v>
      </c>
      <c r="W406" t="n">
        <v>10</v>
      </c>
      <c r="X406" t="n">
        <v>35000000</v>
      </c>
      <c r="Y406" t="inlineStr"/>
      <c r="Z406" t="inlineStr"/>
      <c r="AA406" t="inlineStr">
        <is>
          <t>https://knru.ru/catalog/bolshaya-monetnaya-ul-d-11/</t>
        </is>
      </c>
      <c r="AB406" t="inlineStr">
        <is>
          <t>C</t>
        </is>
      </c>
    </row>
    <row r="407">
      <c r="A407" t="n">
        <v>565</v>
      </c>
      <c r="B407" t="n">
        <v>24</v>
      </c>
      <c r="C407" t="n">
        <v>13</v>
      </c>
      <c r="D407" t="n">
        <v>1738581108</v>
      </c>
      <c r="E407" t="inlineStr">
        <is>
          <t>Пушкинский</t>
        </is>
      </c>
      <c r="F407" t="inlineStr">
        <is>
          <t>Окуловская ул, 18</t>
        </is>
      </c>
      <c r="G407" t="n">
        <v>79.59999999999999</v>
      </c>
      <c r="H407" t="inlineStr">
        <is>
          <t>14 900 000</t>
        </is>
      </c>
      <c r="I407" t="inlineStr"/>
      <c r="J407" t="inlineStr"/>
      <c r="K407" t="inlineStr"/>
      <c r="L407" t="inlineStr"/>
      <c r="M407" t="inlineStr"/>
      <c r="N407" t="inlineStr">
        <is>
          <t>no</t>
        </is>
      </c>
      <c r="O407" t="inlineStr">
        <is>
          <t>none</t>
        </is>
      </c>
      <c r="P407">
        <f>HYPERLINK("https://knru.ru/catalog/sankt-peterburg-okulovskaya-ul-18-1738581108/","ссылка")</f>
        <v/>
      </c>
      <c r="Q407" t="inlineStr"/>
      <c r="R407" t="inlineStr">
        <is>
          <t>Нет у нас</t>
        </is>
      </c>
      <c r="S407" t="n">
        <v>0</v>
      </c>
      <c r="T407" t="inlineStr">
        <is>
          <t>Совпадений по улице+дому не найдено</t>
        </is>
      </c>
      <c r="U407" t="n">
        <v>565</v>
      </c>
      <c r="V407" t="n">
        <v>24</v>
      </c>
      <c r="W407" t="n">
        <v>13</v>
      </c>
      <c r="X407" t="n">
        <v>14900000</v>
      </c>
      <c r="Y407" t="inlineStr"/>
      <c r="Z407" t="inlineStr"/>
      <c r="AA407" t="inlineStr">
        <is>
          <t>https://knru.ru/catalog/sankt-peterburg-okulovskaya-ul-18-1738581108/</t>
        </is>
      </c>
      <c r="AB407" t="inlineStr">
        <is>
          <t>C</t>
        </is>
      </c>
    </row>
    <row r="408">
      <c r="A408" t="n">
        <v>566</v>
      </c>
      <c r="B408" t="n">
        <v>24</v>
      </c>
      <c r="C408" t="n">
        <v>14</v>
      </c>
      <c r="D408" t="n">
        <v>8</v>
      </c>
      <c r="E408" t="inlineStr">
        <is>
          <t>Новый Оккервиль</t>
        </is>
      </c>
      <c r="F408" t="inlineStr">
        <is>
          <t>Ленинградская ул, 9/8</t>
        </is>
      </c>
      <c r="G408" t="n">
        <v>263</v>
      </c>
      <c r="H408" t="inlineStr">
        <is>
          <t>150 000 000</t>
        </is>
      </c>
      <c r="I408" t="inlineStr"/>
      <c r="J408" t="inlineStr"/>
      <c r="K408" t="inlineStr"/>
      <c r="L408" t="inlineStr"/>
      <c r="M408" t="inlineStr"/>
      <c r="N408" t="inlineStr">
        <is>
          <t>no</t>
        </is>
      </c>
      <c r="O408" t="inlineStr">
        <is>
          <t>none</t>
        </is>
      </c>
      <c r="P408">
        <f>HYPERLINK("https://knru.ru/catalog/leningradskaya-ul-9-8/","ссылка")</f>
        <v/>
      </c>
      <c r="Q408" t="inlineStr"/>
      <c r="R408" t="inlineStr">
        <is>
          <t>Нет у нас</t>
        </is>
      </c>
      <c r="S408" t="n">
        <v>0</v>
      </c>
      <c r="T408" t="inlineStr">
        <is>
          <t>Совпадений по улице+дому не найдено</t>
        </is>
      </c>
      <c r="U408" t="n">
        <v>566</v>
      </c>
      <c r="V408" t="n">
        <v>24</v>
      </c>
      <c r="W408" t="n">
        <v>14</v>
      </c>
      <c r="X408" t="n">
        <v>150000000</v>
      </c>
      <c r="Y408" t="inlineStr"/>
      <c r="Z408" t="inlineStr"/>
      <c r="AA408" t="inlineStr">
        <is>
          <t>https://knru.ru/catalog/leningradskaya-ul-9-8/</t>
        </is>
      </c>
      <c r="AB408" t="inlineStr">
        <is>
          <t>C</t>
        </is>
      </c>
    </row>
    <row r="409">
      <c r="A409" t="n">
        <v>567</v>
      </c>
      <c r="B409" t="n">
        <v>24</v>
      </c>
      <c r="C409" t="n">
        <v>15</v>
      </c>
      <c r="D409" t="n">
        <v>40</v>
      </c>
      <c r="E409" t="inlineStr">
        <is>
          <t>Фрунзенский</t>
        </is>
      </c>
      <c r="F409" t="inlineStr">
        <is>
          <t>Курская ул, 40</t>
        </is>
      </c>
      <c r="G409" t="n">
        <v>4821</v>
      </c>
      <c r="H409" t="inlineStr">
        <is>
          <t>460 000 000</t>
        </is>
      </c>
      <c r="I409" t="inlineStr"/>
      <c r="J409" t="inlineStr"/>
      <c r="K409" t="inlineStr"/>
      <c r="L409" t="inlineStr"/>
      <c r="M409" t="inlineStr"/>
      <c r="N409" t="inlineStr">
        <is>
          <t>no</t>
        </is>
      </c>
      <c r="O409" t="inlineStr">
        <is>
          <t>none</t>
        </is>
      </c>
      <c r="P409">
        <f>HYPERLINK("https://knru.ru/catalog/kurskaya-ul-40/","ссылка")</f>
        <v/>
      </c>
      <c r="Q409" t="inlineStr"/>
      <c r="R409" t="inlineStr">
        <is>
          <t>Нет у нас</t>
        </is>
      </c>
      <c r="S409" t="n">
        <v>0</v>
      </c>
      <c r="T409" t="inlineStr">
        <is>
          <t>Совпадений по улице+дому не найдено</t>
        </is>
      </c>
      <c r="U409" t="n">
        <v>567</v>
      </c>
      <c r="V409" t="n">
        <v>24</v>
      </c>
      <c r="W409" t="n">
        <v>15</v>
      </c>
      <c r="X409" t="n">
        <v>460000000</v>
      </c>
      <c r="Y409" t="inlineStr"/>
      <c r="Z409" t="inlineStr"/>
      <c r="AA409" t="inlineStr">
        <is>
          <t>https://knru.ru/catalog/kurskaya-ul-40/</t>
        </is>
      </c>
      <c r="AB409" t="inlineStr">
        <is>
          <t>C</t>
        </is>
      </c>
    </row>
    <row r="410">
      <c r="A410" t="n">
        <v>568</v>
      </c>
      <c r="B410" t="n">
        <v>24</v>
      </c>
      <c r="C410" t="n">
        <v>16</v>
      </c>
      <c r="D410" t="n">
        <v>49</v>
      </c>
      <c r="E410" t="inlineStr">
        <is>
          <t>Фрунзенский</t>
        </is>
      </c>
      <c r="F410" t="inlineStr">
        <is>
          <t>Днепропетровская ул, 49</t>
        </is>
      </c>
      <c r="G410" t="n">
        <v>4786</v>
      </c>
      <c r="H410" t="inlineStr">
        <is>
          <t>460 000 000</t>
        </is>
      </c>
      <c r="I410" t="inlineStr"/>
      <c r="J410" t="inlineStr"/>
      <c r="K410" t="inlineStr"/>
      <c r="L410" t="inlineStr"/>
      <c r="M410" t="inlineStr"/>
      <c r="N410" t="inlineStr">
        <is>
          <t>no</t>
        </is>
      </c>
      <c r="O410" t="inlineStr">
        <is>
          <t>none</t>
        </is>
      </c>
      <c r="P410">
        <f>HYPERLINK("https://knru.ru/catalog/dnepropetrovskaya-ul-49/","ссылка")</f>
        <v/>
      </c>
      <c r="Q410" t="inlineStr"/>
      <c r="R410" t="inlineStr">
        <is>
          <t>Нет у нас</t>
        </is>
      </c>
      <c r="S410" t="n">
        <v>0</v>
      </c>
      <c r="T410" t="inlineStr">
        <is>
          <t>Совпадений по улице+дому не найдено</t>
        </is>
      </c>
      <c r="U410" t="n">
        <v>568</v>
      </c>
      <c r="V410" t="n">
        <v>24</v>
      </c>
      <c r="W410" t="n">
        <v>16</v>
      </c>
      <c r="X410" t="n">
        <v>460000000</v>
      </c>
      <c r="Y410" t="inlineStr"/>
      <c r="Z410" t="inlineStr"/>
      <c r="AA410" t="inlineStr">
        <is>
          <t>https://knru.ru/catalog/dnepropetrovskaya-ul-49/</t>
        </is>
      </c>
      <c r="AB410" t="inlineStr">
        <is>
          <t>C</t>
        </is>
      </c>
    </row>
    <row r="411">
      <c r="A411" t="n">
        <v>569</v>
      </c>
      <c r="B411" t="n">
        <v>24</v>
      </c>
      <c r="C411" t="n">
        <v>17</v>
      </c>
      <c r="D411" t="inlineStr"/>
      <c r="E411" t="inlineStr">
        <is>
          <t>Уютный</t>
        </is>
      </c>
      <c r="F411" t="inlineStr">
        <is>
          <t>Строителей ул, 38к2</t>
        </is>
      </c>
      <c r="G411" t="n">
        <v>57</v>
      </c>
      <c r="H411" t="inlineStr">
        <is>
          <t>2 000 000</t>
        </is>
      </c>
      <c r="I411" t="inlineStr"/>
      <c r="J411" t="inlineStr"/>
      <c r="K411" t="inlineStr"/>
      <c r="L411" t="inlineStr"/>
      <c r="M411" t="inlineStr"/>
      <c r="N411" t="inlineStr">
        <is>
          <t>no</t>
        </is>
      </c>
      <c r="O411" t="inlineStr">
        <is>
          <t>none</t>
        </is>
      </c>
      <c r="P411">
        <f>HYPERLINK("https://knru.ru/catalog/stroiteley-ul-38k2/","ссылка")</f>
        <v/>
      </c>
      <c r="Q411" t="inlineStr"/>
      <c r="R411" t="inlineStr">
        <is>
          <t>Нет у нас</t>
        </is>
      </c>
      <c r="S411" t="n">
        <v>0</v>
      </c>
      <c r="T411" t="inlineStr">
        <is>
          <t>Совпадений по улице+дому не найдено</t>
        </is>
      </c>
      <c r="U411" t="n">
        <v>569</v>
      </c>
      <c r="V411" t="n">
        <v>24</v>
      </c>
      <c r="W411" t="n">
        <v>17</v>
      </c>
      <c r="X411" t="n">
        <v>2000000</v>
      </c>
      <c r="Y411" t="inlineStr"/>
      <c r="Z411" t="inlineStr"/>
      <c r="AA411" t="inlineStr">
        <is>
          <t>https://knru.ru/catalog/stroiteley-ul-38k2/</t>
        </is>
      </c>
      <c r="AB411" t="inlineStr">
        <is>
          <t>C</t>
        </is>
      </c>
    </row>
    <row r="412">
      <c r="A412" t="n">
        <v>571</v>
      </c>
      <c r="B412" t="n">
        <v>24</v>
      </c>
      <c r="C412" t="n">
        <v>19</v>
      </c>
      <c r="D412" t="n">
        <v>9</v>
      </c>
      <c r="E412" t="inlineStr">
        <is>
          <t>Центральный</t>
        </is>
      </c>
      <c r="F412" t="inlineStr">
        <is>
          <t>Набережная, 9</t>
        </is>
      </c>
      <c r="G412" t="n">
        <v>445.5</v>
      </c>
      <c r="H412" t="inlineStr">
        <is>
          <t>46 000 000</t>
        </is>
      </c>
      <c r="I412" t="inlineStr"/>
      <c r="J412" t="inlineStr"/>
      <c r="K412" t="inlineStr"/>
      <c r="L412" t="inlineStr"/>
      <c r="M412" t="inlineStr"/>
      <c r="N412" t="inlineStr">
        <is>
          <t>no</t>
        </is>
      </c>
      <c r="O412" t="inlineStr">
        <is>
          <t>none</t>
        </is>
      </c>
      <c r="P412">
        <f>HYPERLINK("https://knru.ru/catalog/naberezhnaya-9/","ссылка")</f>
        <v/>
      </c>
      <c r="Q412" t="inlineStr"/>
      <c r="R412" t="inlineStr">
        <is>
          <t>Нет у нас</t>
        </is>
      </c>
      <c r="S412" t="n">
        <v>0</v>
      </c>
      <c r="T412" t="inlineStr">
        <is>
          <t>Адрес не разобран</t>
        </is>
      </c>
      <c r="U412" t="n">
        <v>571</v>
      </c>
      <c r="V412" t="n">
        <v>24</v>
      </c>
      <c r="W412" t="n">
        <v>19</v>
      </c>
      <c r="X412" t="n">
        <v>46000000</v>
      </c>
      <c r="Y412" t="inlineStr"/>
      <c r="Z412" t="inlineStr"/>
      <c r="AA412" t="inlineStr">
        <is>
          <t>https://knru.ru/catalog/naberezhnaya-9/</t>
        </is>
      </c>
      <c r="AB412" t="inlineStr">
        <is>
          <t>C</t>
        </is>
      </c>
    </row>
    <row r="413">
      <c r="A413" t="n">
        <v>573</v>
      </c>
      <c r="B413" t="n">
        <v>24</v>
      </c>
      <c r="C413" t="n">
        <v>21</v>
      </c>
      <c r="D413" t="n">
        <v>61</v>
      </c>
      <c r="E413" t="inlineStr">
        <is>
          <t>Московский</t>
        </is>
      </c>
      <c r="F413" t="inlineStr">
        <is>
          <t>Варшавская ул, 61</t>
        </is>
      </c>
      <c r="G413" t="n">
        <v>186</v>
      </c>
      <c r="H413" t="inlineStr">
        <is>
          <t>76 000 000</t>
        </is>
      </c>
      <c r="I413" t="inlineStr"/>
      <c r="J413" t="inlineStr"/>
      <c r="K413" t="inlineStr"/>
      <c r="L413" t="inlineStr"/>
      <c r="M413" t="inlineStr"/>
      <c r="N413" t="inlineStr">
        <is>
          <t>no</t>
        </is>
      </c>
      <c r="O413" t="inlineStr">
        <is>
          <t>none</t>
        </is>
      </c>
      <c r="P413">
        <f>HYPERLINK("https://knru.ru/catalog/varshavskaya-ul-d-61/","ссылка")</f>
        <v/>
      </c>
      <c r="Q413" t="inlineStr"/>
      <c r="R413" t="inlineStr">
        <is>
          <t>Нет у нас</t>
        </is>
      </c>
      <c r="S413" t="n">
        <v>0</v>
      </c>
      <c r="T413" t="inlineStr">
        <is>
          <t>Совпадений по улице+дому не найдено</t>
        </is>
      </c>
      <c r="U413" t="n">
        <v>573</v>
      </c>
      <c r="V413" t="n">
        <v>24</v>
      </c>
      <c r="W413" t="n">
        <v>21</v>
      </c>
      <c r="X413" t="n">
        <v>76000000</v>
      </c>
      <c r="Y413" t="inlineStr"/>
      <c r="Z413" t="inlineStr"/>
      <c r="AA413" t="inlineStr">
        <is>
          <t>https://knru.ru/catalog/varshavskaya-ul-d-61/</t>
        </is>
      </c>
      <c r="AB413" t="inlineStr">
        <is>
          <t>C</t>
        </is>
      </c>
    </row>
    <row r="414">
      <c r="A414" t="n">
        <v>574</v>
      </c>
      <c r="B414" t="n">
        <v>24</v>
      </c>
      <c r="C414" t="n">
        <v>22</v>
      </c>
      <c r="D414" t="inlineStr"/>
      <c r="E414" t="inlineStr">
        <is>
          <t>Центральный</t>
        </is>
      </c>
      <c r="F414" t="inlineStr">
        <is>
          <t>Реки Фонтанки наб, 40/68 Б</t>
        </is>
      </c>
      <c r="G414" t="n">
        <v>80</v>
      </c>
      <c r="H414" t="inlineStr">
        <is>
          <t>30 000 000</t>
        </is>
      </c>
      <c r="I414" t="inlineStr"/>
      <c r="J414" t="inlineStr"/>
      <c r="K414" t="inlineStr"/>
      <c r="L414" t="inlineStr"/>
      <c r="M414" t="inlineStr"/>
      <c r="N414" t="inlineStr">
        <is>
          <t>no</t>
        </is>
      </c>
      <c r="O414" t="inlineStr">
        <is>
          <t>none</t>
        </is>
      </c>
      <c r="P414">
        <f>HYPERLINK("https://knru.ru/catalog/reki-fontanki-nab-40-68-b/","ссылка")</f>
        <v/>
      </c>
      <c r="Q414" t="inlineStr"/>
      <c r="R414" t="inlineStr">
        <is>
          <t>Нет у нас</t>
        </is>
      </c>
      <c r="S414" t="n">
        <v>0</v>
      </c>
      <c r="T414" t="inlineStr">
        <is>
          <t>Совпадений по улице+дому не найдено</t>
        </is>
      </c>
      <c r="U414" t="n">
        <v>574</v>
      </c>
      <c r="V414" t="n">
        <v>24</v>
      </c>
      <c r="W414" t="n">
        <v>22</v>
      </c>
      <c r="X414" t="n">
        <v>30000000</v>
      </c>
      <c r="Y414" t="inlineStr"/>
      <c r="Z414" t="inlineStr"/>
      <c r="AA414" t="inlineStr">
        <is>
          <t>https://knru.ru/catalog/reki-fontanki-nab-40-68-b/</t>
        </is>
      </c>
      <c r="AB414" t="inlineStr">
        <is>
          <t>C</t>
        </is>
      </c>
    </row>
    <row r="415">
      <c r="A415" t="n">
        <v>575</v>
      </c>
      <c r="B415" t="n">
        <v>24</v>
      </c>
      <c r="C415" t="n">
        <v>23</v>
      </c>
      <c r="D415" t="inlineStr"/>
      <c r="E415" t="inlineStr">
        <is>
          <t>Центральный</t>
        </is>
      </c>
      <c r="F415" t="inlineStr">
        <is>
          <t>8-я Советская ул, 17 19 А</t>
        </is>
      </c>
      <c r="G415" t="n">
        <v>87.7</v>
      </c>
      <c r="H415" t="inlineStr">
        <is>
          <t>24 000 000</t>
        </is>
      </c>
      <c r="I415" t="inlineStr"/>
      <c r="J415" t="inlineStr"/>
      <c r="K415" t="inlineStr"/>
      <c r="L415" t="inlineStr"/>
      <c r="M415" t="inlineStr"/>
      <c r="N415" t="inlineStr">
        <is>
          <t>no</t>
        </is>
      </c>
      <c r="O415" t="inlineStr">
        <is>
          <t>none</t>
        </is>
      </c>
      <c r="P415">
        <f>HYPERLINK("https://knru.ru/catalog/8-ya-sovetskaya-ul-17-19-a/","ссылка")</f>
        <v/>
      </c>
      <c r="Q415" t="inlineStr"/>
      <c r="R415" t="inlineStr">
        <is>
          <t>Нет у нас</t>
        </is>
      </c>
      <c r="S415" t="n">
        <v>0</v>
      </c>
      <c r="T415" t="inlineStr">
        <is>
          <t>Совпадений по улице+дому не найдено</t>
        </is>
      </c>
      <c r="U415" t="n">
        <v>575</v>
      </c>
      <c r="V415" t="n">
        <v>24</v>
      </c>
      <c r="W415" t="n">
        <v>23</v>
      </c>
      <c r="X415" t="n">
        <v>24000000</v>
      </c>
      <c r="Y415" t="inlineStr"/>
      <c r="Z415" t="inlineStr"/>
      <c r="AA415" t="inlineStr">
        <is>
          <t>https://knru.ru/catalog/8-ya-sovetskaya-ul-17-19-a/</t>
        </is>
      </c>
      <c r="AB415" t="inlineStr">
        <is>
          <t>C</t>
        </is>
      </c>
    </row>
    <row r="416">
      <c r="A416" t="n">
        <v>577</v>
      </c>
      <c r="B416" t="n">
        <v>25</v>
      </c>
      <c r="C416" t="n">
        <v>1</v>
      </c>
      <c r="D416" t="inlineStr"/>
      <c r="E416" t="inlineStr"/>
      <c r="F416" t="inlineStr">
        <is>
          <t>Кременчугская ул, 8а</t>
        </is>
      </c>
      <c r="G416" t="n">
        <v>31000</v>
      </c>
      <c r="H416" t="inlineStr">
        <is>
          <t>1 500 000 000</t>
        </is>
      </c>
      <c r="I416" t="inlineStr"/>
      <c r="J416" t="inlineStr"/>
      <c r="K416" t="inlineStr"/>
      <c r="L416" t="inlineStr"/>
      <c r="M416" t="inlineStr"/>
      <c r="N416" t="inlineStr">
        <is>
          <t>no</t>
        </is>
      </c>
      <c r="O416" t="inlineStr">
        <is>
          <t>none</t>
        </is>
      </c>
      <c r="P416">
        <f>HYPERLINK("https://knru.ru/catalog/kremenchugskaya-ul-8a/","ссылка")</f>
        <v/>
      </c>
      <c r="Q416" t="inlineStr"/>
      <c r="R416" t="inlineStr">
        <is>
          <t>Нет у нас</t>
        </is>
      </c>
      <c r="S416" t="n">
        <v>0</v>
      </c>
      <c r="T416" t="inlineStr">
        <is>
          <t>Совпадений по улице+дому не найдено</t>
        </is>
      </c>
      <c r="U416" t="n">
        <v>577</v>
      </c>
      <c r="V416" t="n">
        <v>25</v>
      </c>
      <c r="W416" t="n">
        <v>1</v>
      </c>
      <c r="X416" t="n">
        <v>1500000000</v>
      </c>
      <c r="Y416" t="inlineStr"/>
      <c r="Z416" t="inlineStr"/>
      <c r="AA416" t="inlineStr">
        <is>
          <t>https://knru.ru/catalog/kremenchugskaya-ul-8a/</t>
        </is>
      </c>
      <c r="AB416" t="inlineStr">
        <is>
          <t>C</t>
        </is>
      </c>
    </row>
    <row r="417">
      <c r="A417" t="n">
        <v>581</v>
      </c>
      <c r="B417" t="n">
        <v>25</v>
      </c>
      <c r="C417" t="n">
        <v>5</v>
      </c>
      <c r="D417" t="n">
        <v>522915011</v>
      </c>
      <c r="E417" t="inlineStr">
        <is>
          <t>Калининский</t>
        </is>
      </c>
      <c r="F417" t="inlineStr">
        <is>
          <t>Демьяна Бедного ул, 28</t>
        </is>
      </c>
      <c r="G417" t="n">
        <v>156</v>
      </c>
      <c r="H417" t="inlineStr">
        <is>
          <t>45 000 000</t>
        </is>
      </c>
      <c r="I417" t="inlineStr"/>
      <c r="J417" t="inlineStr"/>
      <c r="K417" t="inlineStr"/>
      <c r="L417" t="inlineStr"/>
      <c r="M417" t="inlineStr"/>
      <c r="N417" t="inlineStr">
        <is>
          <t>no</t>
        </is>
      </c>
      <c r="O417" t="inlineStr">
        <is>
          <t>none</t>
        </is>
      </c>
      <c r="P417">
        <f>HYPERLINK("https://knru.ru/catalog/ul-demyana-bednogo-d-28-1-522915011/","ссылка")</f>
        <v/>
      </c>
      <c r="Q417" t="inlineStr"/>
      <c r="R417" t="inlineStr">
        <is>
          <t>Нет у нас</t>
        </is>
      </c>
      <c r="S417" t="n">
        <v>0</v>
      </c>
      <c r="T417" t="inlineStr">
        <is>
          <t>Совпадений по улице+дому не найдено</t>
        </is>
      </c>
      <c r="U417" t="n">
        <v>581</v>
      </c>
      <c r="V417" t="n">
        <v>25</v>
      </c>
      <c r="W417" t="n">
        <v>5</v>
      </c>
      <c r="X417" t="n">
        <v>45000000</v>
      </c>
      <c r="Y417" t="inlineStr"/>
      <c r="Z417" t="inlineStr"/>
      <c r="AA417" t="inlineStr">
        <is>
          <t>https://knru.ru/catalog/ul-demyana-bednogo-d-28-1-522915011/</t>
        </is>
      </c>
      <c r="AB417" t="inlineStr">
        <is>
          <t>C</t>
        </is>
      </c>
    </row>
    <row r="418">
      <c r="A418" t="n">
        <v>582</v>
      </c>
      <c r="B418" t="n">
        <v>25</v>
      </c>
      <c r="C418" t="n">
        <v>6</v>
      </c>
      <c r="D418" t="n">
        <v>1</v>
      </c>
      <c r="E418" t="inlineStr">
        <is>
          <t>Калининский</t>
        </is>
      </c>
      <c r="F418" t="inlineStr">
        <is>
          <t>Демьяна Бедного ул, 28</t>
        </is>
      </c>
      <c r="G418" t="n">
        <v>125</v>
      </c>
      <c r="H418" t="inlineStr">
        <is>
          <t>35 000 000</t>
        </is>
      </c>
      <c r="I418" t="inlineStr"/>
      <c r="J418" t="inlineStr"/>
      <c r="K418" t="inlineStr"/>
      <c r="L418" t="inlineStr"/>
      <c r="M418" t="inlineStr"/>
      <c r="N418" t="inlineStr">
        <is>
          <t>no</t>
        </is>
      </c>
      <c r="O418" t="inlineStr">
        <is>
          <t>none</t>
        </is>
      </c>
      <c r="P418">
        <f>HYPERLINK("https://knru.ru/catalog/ul-demyana-bednogo-d-28-1/","ссылка")</f>
        <v/>
      </c>
      <c r="Q418" t="inlineStr"/>
      <c r="R418" t="inlineStr">
        <is>
          <t>Нет у нас</t>
        </is>
      </c>
      <c r="S418" t="n">
        <v>0</v>
      </c>
      <c r="T418" t="inlineStr">
        <is>
          <t>Совпадений по улице+дому не найдено</t>
        </is>
      </c>
      <c r="U418" t="n">
        <v>582</v>
      </c>
      <c r="V418" t="n">
        <v>25</v>
      </c>
      <c r="W418" t="n">
        <v>6</v>
      </c>
      <c r="X418" t="n">
        <v>35000000</v>
      </c>
      <c r="Y418" t="inlineStr"/>
      <c r="Z418" t="inlineStr"/>
      <c r="AA418" t="inlineStr">
        <is>
          <t>https://knru.ru/catalog/ul-demyana-bednogo-d-28-1/</t>
        </is>
      </c>
      <c r="AB418" t="inlineStr">
        <is>
          <t>C</t>
        </is>
      </c>
    </row>
    <row r="419">
      <c r="A419" t="n">
        <v>584</v>
      </c>
      <c r="B419" t="n">
        <v>25</v>
      </c>
      <c r="C419" t="n">
        <v>8</v>
      </c>
      <c r="D419" t="n">
        <v>15</v>
      </c>
      <c r="E419" t="inlineStr">
        <is>
          <t>Адмиралтейский</t>
        </is>
      </c>
      <c r="F419" t="inlineStr">
        <is>
          <t>Бронницкая ул, 15</t>
        </is>
      </c>
      <c r="G419" t="n">
        <v>80</v>
      </c>
      <c r="H419" t="inlineStr">
        <is>
          <t>28 000 000</t>
        </is>
      </c>
      <c r="I419" t="inlineStr"/>
      <c r="J419" t="inlineStr"/>
      <c r="K419" t="inlineStr"/>
      <c r="L419" t="inlineStr"/>
      <c r="M419" t="inlineStr"/>
      <c r="N419" t="inlineStr">
        <is>
          <t>no</t>
        </is>
      </c>
      <c r="O419" t="inlineStr">
        <is>
          <t>none</t>
        </is>
      </c>
      <c r="P419">
        <f>HYPERLINK("https://knru.ru/catalog/bronnitskaya-ul-d-15/","ссылка")</f>
        <v/>
      </c>
      <c r="Q419" t="inlineStr"/>
      <c r="R419" t="inlineStr">
        <is>
          <t>Нет у нас</t>
        </is>
      </c>
      <c r="S419" t="n">
        <v>0</v>
      </c>
      <c r="T419" t="inlineStr">
        <is>
          <t>Совпадений по улице+дому не найдено</t>
        </is>
      </c>
      <c r="U419" t="n">
        <v>584</v>
      </c>
      <c r="V419" t="n">
        <v>25</v>
      </c>
      <c r="W419" t="n">
        <v>8</v>
      </c>
      <c r="X419" t="n">
        <v>28000000</v>
      </c>
      <c r="Y419" t="inlineStr"/>
      <c r="Z419" t="inlineStr"/>
      <c r="AA419" t="inlineStr">
        <is>
          <t>https://knru.ru/catalog/bronnitskaya-ul-d-15/</t>
        </is>
      </c>
      <c r="AB419" t="inlineStr">
        <is>
          <t>C</t>
        </is>
      </c>
    </row>
    <row r="420">
      <c r="A420" t="n">
        <v>587</v>
      </c>
      <c r="B420" t="n">
        <v>25</v>
      </c>
      <c r="C420" t="n">
        <v>11</v>
      </c>
      <c r="D420" t="n">
        <v>1012831632</v>
      </c>
      <c r="E420" t="inlineStr">
        <is>
          <t>Невский</t>
        </is>
      </c>
      <c r="F420" t="inlineStr">
        <is>
          <t>Обуховской Обороны пр-кт, 243</t>
        </is>
      </c>
      <c r="G420" t="n">
        <v>105</v>
      </c>
      <c r="H420" t="inlineStr">
        <is>
          <t>26 000 000</t>
        </is>
      </c>
      <c r="I420" t="inlineStr"/>
      <c r="J420" t="inlineStr"/>
      <c r="K420" t="inlineStr"/>
      <c r="L420" t="inlineStr"/>
      <c r="M420" t="inlineStr"/>
      <c r="N420" t="inlineStr">
        <is>
          <t>no</t>
        </is>
      </c>
      <c r="O420" t="inlineStr">
        <is>
          <t>none</t>
        </is>
      </c>
      <c r="P420">
        <f>HYPERLINK("https://knru.ru/catalog/pr-obukhovskoy-oborony-d-243-1012831632/","ссылка")</f>
        <v/>
      </c>
      <c r="Q420" t="inlineStr"/>
      <c r="R420" t="inlineStr">
        <is>
          <t>Нет у нас</t>
        </is>
      </c>
      <c r="S420" t="n">
        <v>0</v>
      </c>
      <c r="T420" t="inlineStr">
        <is>
          <t>Совпадений по улице+дому не найдено</t>
        </is>
      </c>
      <c r="U420" t="n">
        <v>587</v>
      </c>
      <c r="V420" t="n">
        <v>25</v>
      </c>
      <c r="W420" t="n">
        <v>11</v>
      </c>
      <c r="X420" t="n">
        <v>26000000</v>
      </c>
      <c r="Y420" t="inlineStr"/>
      <c r="Z420" t="inlineStr"/>
      <c r="AA420" t="inlineStr">
        <is>
          <t>https://knru.ru/catalog/pr-obukhovskoy-oborony-d-243-1012831632/</t>
        </is>
      </c>
      <c r="AB420" t="inlineStr">
        <is>
          <t>C</t>
        </is>
      </c>
    </row>
    <row r="421">
      <c r="A421" t="n">
        <v>588</v>
      </c>
      <c r="B421" t="n">
        <v>25</v>
      </c>
      <c r="C421" t="n">
        <v>12</v>
      </c>
      <c r="D421" t="n">
        <v>243</v>
      </c>
      <c r="E421" t="inlineStr">
        <is>
          <t>Невский</t>
        </is>
      </c>
      <c r="F421" t="inlineStr">
        <is>
          <t>Обуховской Обороны пр-кт, 243</t>
        </is>
      </c>
      <c r="G421" t="n">
        <v>112</v>
      </c>
      <c r="H421" t="inlineStr">
        <is>
          <t>27 000 000</t>
        </is>
      </c>
      <c r="I421" t="inlineStr"/>
      <c r="J421" t="inlineStr"/>
      <c r="K421" t="inlineStr"/>
      <c r="L421" t="inlineStr"/>
      <c r="M421" t="inlineStr"/>
      <c r="N421" t="inlineStr">
        <is>
          <t>no</t>
        </is>
      </c>
      <c r="O421" t="inlineStr">
        <is>
          <t>none</t>
        </is>
      </c>
      <c r="P421">
        <f>HYPERLINK("https://knru.ru/catalog/pr-obukhovskoy-oborony-d-243/","ссылка")</f>
        <v/>
      </c>
      <c r="Q421" t="inlineStr"/>
      <c r="R421" t="inlineStr">
        <is>
          <t>Нет у нас</t>
        </is>
      </c>
      <c r="S421" t="n">
        <v>0</v>
      </c>
      <c r="T421" t="inlineStr">
        <is>
          <t>Совпадений по улице+дому не найдено</t>
        </is>
      </c>
      <c r="U421" t="n">
        <v>588</v>
      </c>
      <c r="V421" t="n">
        <v>25</v>
      </c>
      <c r="W421" t="n">
        <v>12</v>
      </c>
      <c r="X421" t="n">
        <v>27000000</v>
      </c>
      <c r="Y421" t="inlineStr"/>
      <c r="Z421" t="inlineStr"/>
      <c r="AA421" t="inlineStr">
        <is>
          <t>https://knru.ru/catalog/pr-obukhovskoy-oborony-d-243/</t>
        </is>
      </c>
      <c r="AB421" t="inlineStr">
        <is>
          <t>C</t>
        </is>
      </c>
    </row>
    <row r="422">
      <c r="A422" t="n">
        <v>591</v>
      </c>
      <c r="B422" t="n">
        <v>25</v>
      </c>
      <c r="C422" t="n">
        <v>15</v>
      </c>
      <c r="D422" t="n">
        <v>70</v>
      </c>
      <c r="E422" t="inlineStr">
        <is>
          <t>Выборгский</t>
        </is>
      </c>
      <c r="F422" t="inlineStr">
        <is>
          <t>Энгельса пр-кт, 70/1</t>
        </is>
      </c>
      <c r="G422" t="n">
        <v>52</v>
      </c>
      <c r="H422" t="inlineStr">
        <is>
          <t>18 000 000</t>
        </is>
      </c>
      <c r="I422" t="inlineStr"/>
      <c r="J422" t="inlineStr"/>
      <c r="K422" t="inlineStr"/>
      <c r="L422" t="inlineStr"/>
      <c r="M422" t="inlineStr"/>
      <c r="N422" t="inlineStr">
        <is>
          <t>no</t>
        </is>
      </c>
      <c r="O422" t="inlineStr">
        <is>
          <t>none</t>
        </is>
      </c>
      <c r="P422">
        <f>HYPERLINK("https://knru.ru/catalog/pr-engelsa-d-70/","ссылка")</f>
        <v/>
      </c>
      <c r="Q422" t="inlineStr"/>
      <c r="R422" t="inlineStr">
        <is>
          <t>Нет у нас</t>
        </is>
      </c>
      <c r="S422" t="n">
        <v>0</v>
      </c>
      <c r="T422" t="inlineStr">
        <is>
          <t>Совпадений по улице+дому не найдено</t>
        </is>
      </c>
      <c r="U422" t="n">
        <v>591</v>
      </c>
      <c r="V422" t="n">
        <v>25</v>
      </c>
      <c r="W422" t="n">
        <v>15</v>
      </c>
      <c r="X422" t="n">
        <v>18000000</v>
      </c>
      <c r="Y422" t="inlineStr"/>
      <c r="Z422" t="inlineStr"/>
      <c r="AA422" t="inlineStr">
        <is>
          <t>https://knru.ru/catalog/pr-engelsa-d-70/</t>
        </is>
      </c>
      <c r="AB422" t="inlineStr">
        <is>
          <t>C</t>
        </is>
      </c>
    </row>
    <row r="423">
      <c r="A423" t="n">
        <v>593</v>
      </c>
      <c r="B423" t="n">
        <v>25</v>
      </c>
      <c r="C423" t="n">
        <v>17</v>
      </c>
      <c r="D423" t="n">
        <v>27</v>
      </c>
      <c r="E423" t="inlineStr">
        <is>
          <t>Приморский</t>
        </is>
      </c>
      <c r="F423" t="inlineStr">
        <is>
          <t>Коннолахтинский пр-кт, 27</t>
        </is>
      </c>
      <c r="G423" t="n">
        <v>740</v>
      </c>
      <c r="H423" t="inlineStr">
        <is>
          <t>140 000 000</t>
        </is>
      </c>
      <c r="I423" t="inlineStr"/>
      <c r="J423" t="inlineStr"/>
      <c r="K423" t="inlineStr"/>
      <c r="L423" t="inlineStr"/>
      <c r="M423" t="inlineStr"/>
      <c r="N423" t="inlineStr">
        <is>
          <t>no</t>
        </is>
      </c>
      <c r="O423" t="inlineStr">
        <is>
          <t>none</t>
        </is>
      </c>
      <c r="P423">
        <f>HYPERLINK("https://knru.ru/catalog/olgino-konnolakhtinskiy-pr-d-27/","ссылка")</f>
        <v/>
      </c>
      <c r="Q423" t="inlineStr"/>
      <c r="R423" t="inlineStr">
        <is>
          <t>Нет у нас</t>
        </is>
      </c>
      <c r="S423" t="n">
        <v>0</v>
      </c>
      <c r="T423" t="inlineStr">
        <is>
          <t>Совпадений по улице+дому не найдено</t>
        </is>
      </c>
      <c r="U423" t="n">
        <v>593</v>
      </c>
      <c r="V423" t="n">
        <v>25</v>
      </c>
      <c r="W423" t="n">
        <v>17</v>
      </c>
      <c r="X423" t="n">
        <v>140000000</v>
      </c>
      <c r="Y423" t="inlineStr"/>
      <c r="Z423" t="inlineStr"/>
      <c r="AA423" t="inlineStr">
        <is>
          <t>https://knru.ru/catalog/olgino-konnolakhtinskiy-pr-d-27/</t>
        </is>
      </c>
      <c r="AB423" t="inlineStr">
        <is>
          <t>C</t>
        </is>
      </c>
    </row>
    <row r="424">
      <c r="A424" t="n">
        <v>595</v>
      </c>
      <c r="B424" t="n">
        <v>25</v>
      </c>
      <c r="C424" t="n">
        <v>19</v>
      </c>
      <c r="D424" t="n">
        <v>1</v>
      </c>
      <c r="E424" t="inlineStr">
        <is>
          <t>Калининский</t>
        </is>
      </c>
      <c r="F424" t="inlineStr">
        <is>
          <t>Светлановский пр-кт, 109к1</t>
        </is>
      </c>
      <c r="G424" t="n">
        <v>85</v>
      </c>
      <c r="H424" t="inlineStr">
        <is>
          <t>25 000 000</t>
        </is>
      </c>
      <c r="I424" t="inlineStr"/>
      <c r="J424" t="inlineStr"/>
      <c r="K424" t="inlineStr"/>
      <c r="L424" t="inlineStr"/>
      <c r="M424" t="inlineStr"/>
      <c r="N424" t="inlineStr">
        <is>
          <t>no</t>
        </is>
      </c>
      <c r="O424" t="inlineStr">
        <is>
          <t>none</t>
        </is>
      </c>
      <c r="P424">
        <f>HYPERLINK("https://knru.ru/catalog/svetlanovskiy-pr-d-109-korp-1/","ссылка")</f>
        <v/>
      </c>
      <c r="Q424" t="inlineStr"/>
      <c r="R424" t="inlineStr">
        <is>
          <t>Нет у нас</t>
        </is>
      </c>
      <c r="S424" t="n">
        <v>0</v>
      </c>
      <c r="T424" t="inlineStr">
        <is>
          <t>Совпадений по улице+дому не найдено</t>
        </is>
      </c>
      <c r="U424" t="n">
        <v>595</v>
      </c>
      <c r="V424" t="n">
        <v>25</v>
      </c>
      <c r="W424" t="n">
        <v>19</v>
      </c>
      <c r="X424" t="n">
        <v>25000000</v>
      </c>
      <c r="Y424" t="inlineStr"/>
      <c r="Z424" t="inlineStr"/>
      <c r="AA424" t="inlineStr">
        <is>
          <t>https://knru.ru/catalog/svetlanovskiy-pr-d-109-korp-1/</t>
        </is>
      </c>
      <c r="AB424" t="inlineStr">
        <is>
          <t>C</t>
        </is>
      </c>
    </row>
    <row r="425">
      <c r="A425" t="n">
        <v>597</v>
      </c>
      <c r="B425" t="n">
        <v>25</v>
      </c>
      <c r="C425" t="n">
        <v>21</v>
      </c>
      <c r="D425" t="n">
        <v>38</v>
      </c>
      <c r="E425" t="inlineStr">
        <is>
          <t>Приморский</t>
        </is>
      </c>
      <c r="F425" t="inlineStr">
        <is>
          <t>Авиаконструкторов пр-кт, 38</t>
        </is>
      </c>
      <c r="G425" t="n">
        <v>153</v>
      </c>
      <c r="H425" t="inlineStr">
        <is>
          <t>45 000 000</t>
        </is>
      </c>
      <c r="I425" t="inlineStr"/>
      <c r="J425" t="inlineStr"/>
      <c r="K425" t="inlineStr"/>
      <c r="L425" t="inlineStr"/>
      <c r="M425" t="inlineStr"/>
      <c r="N425" t="inlineStr">
        <is>
          <t>no</t>
        </is>
      </c>
      <c r="O425" t="inlineStr">
        <is>
          <t>none</t>
        </is>
      </c>
      <c r="P425">
        <f>HYPERLINK("https://knru.ru/catalog/pr-aviakonstruktorov-d-38/","ссылка")</f>
        <v/>
      </c>
      <c r="Q425" t="inlineStr"/>
      <c r="R425" t="inlineStr">
        <is>
          <t>Нет у нас</t>
        </is>
      </c>
      <c r="S425" t="n">
        <v>0</v>
      </c>
      <c r="T425" t="inlineStr">
        <is>
          <t>Совпадений по улице+дому не найдено</t>
        </is>
      </c>
      <c r="U425" t="n">
        <v>597</v>
      </c>
      <c r="V425" t="n">
        <v>25</v>
      </c>
      <c r="W425" t="n">
        <v>21</v>
      </c>
      <c r="X425" t="n">
        <v>45000000</v>
      </c>
      <c r="Y425" t="inlineStr"/>
      <c r="Z425" t="inlineStr"/>
      <c r="AA425" t="inlineStr">
        <is>
          <t>https://knru.ru/catalog/pr-aviakonstruktorov-d-38/</t>
        </is>
      </c>
      <c r="AB425" t="inlineStr">
        <is>
          <t>C</t>
        </is>
      </c>
    </row>
    <row r="426">
      <c r="A426" t="n">
        <v>598</v>
      </c>
      <c r="B426" t="n">
        <v>25</v>
      </c>
      <c r="C426" t="n">
        <v>22</v>
      </c>
      <c r="D426" t="inlineStr"/>
      <c r="E426" t="inlineStr">
        <is>
          <t>Адмиралтейский</t>
        </is>
      </c>
      <c r="F426" t="inlineStr">
        <is>
          <t>Вознесенский пр-кт, 41 К</t>
        </is>
      </c>
      <c r="G426" t="n">
        <v>83</v>
      </c>
      <c r="H426" t="inlineStr">
        <is>
          <t>24 900 000</t>
        </is>
      </c>
      <c r="I426" t="inlineStr"/>
      <c r="J426" t="inlineStr"/>
      <c r="K426" t="inlineStr"/>
      <c r="L426" t="inlineStr"/>
      <c r="M426" t="inlineStr"/>
      <c r="N426" t="inlineStr">
        <is>
          <t>no</t>
        </is>
      </c>
      <c r="O426" t="inlineStr">
        <is>
          <t>none</t>
        </is>
      </c>
      <c r="P426">
        <f>HYPERLINK("https://knru.ru/catalog/pr-voznesenskiy-d-41k/","ссылка")</f>
        <v/>
      </c>
      <c r="Q426" t="inlineStr"/>
      <c r="R426" t="inlineStr">
        <is>
          <t>Нет у нас</t>
        </is>
      </c>
      <c r="S426" t="n">
        <v>0</v>
      </c>
      <c r="T426" t="inlineStr">
        <is>
          <t>Совпадений по улице+дому не найдено</t>
        </is>
      </c>
      <c r="U426" t="n">
        <v>598</v>
      </c>
      <c r="V426" t="n">
        <v>25</v>
      </c>
      <c r="W426" t="n">
        <v>22</v>
      </c>
      <c r="X426" t="n">
        <v>24900000</v>
      </c>
      <c r="Y426" t="inlineStr"/>
      <c r="Z426" t="inlineStr"/>
      <c r="AA426" t="inlineStr">
        <is>
          <t>https://knru.ru/catalog/pr-voznesenskiy-d-41k/</t>
        </is>
      </c>
      <c r="AB426" t="inlineStr">
        <is>
          <t>C</t>
        </is>
      </c>
    </row>
    <row r="427">
      <c r="A427" t="n">
        <v>599</v>
      </c>
      <c r="B427" t="n">
        <v>25</v>
      </c>
      <c r="C427" t="n">
        <v>23</v>
      </c>
      <c r="D427" t="n">
        <v>2119146890</v>
      </c>
      <c r="E427" t="inlineStr">
        <is>
          <t>Выборгский</t>
        </is>
      </c>
      <c r="F427" t="inlineStr">
        <is>
          <t>9-й Верхний пер, 3</t>
        </is>
      </c>
      <c r="G427" t="n">
        <v>2000</v>
      </c>
      <c r="H427" t="inlineStr">
        <is>
          <t>25 000 000</t>
        </is>
      </c>
      <c r="I427" t="inlineStr"/>
      <c r="J427" t="inlineStr"/>
      <c r="K427" t="inlineStr"/>
      <c r="L427" t="inlineStr"/>
      <c r="M427" t="inlineStr"/>
      <c r="N427" t="inlineStr">
        <is>
          <t>no</t>
        </is>
      </c>
      <c r="O427" t="inlineStr">
        <is>
          <t>none</t>
        </is>
      </c>
      <c r="P427">
        <f>HYPERLINK("https://knru.ru/catalog/9-y-verkhniy-per-d-3-2119146890/","ссылка")</f>
        <v/>
      </c>
      <c r="Q427" t="inlineStr"/>
      <c r="R427" t="inlineStr">
        <is>
          <t>Нет у нас</t>
        </is>
      </c>
      <c r="S427" t="n">
        <v>0</v>
      </c>
      <c r="T427" t="inlineStr">
        <is>
          <t>Совпадений по улице+дому не найдено</t>
        </is>
      </c>
      <c r="U427" t="n">
        <v>599</v>
      </c>
      <c r="V427" t="n">
        <v>25</v>
      </c>
      <c r="W427" t="n">
        <v>23</v>
      </c>
      <c r="X427" t="n">
        <v>25000000</v>
      </c>
      <c r="Y427" t="inlineStr"/>
      <c r="Z427" t="inlineStr"/>
      <c r="AA427" t="inlineStr">
        <is>
          <t>https://knru.ru/catalog/9-y-verkhniy-per-d-3-2119146890/</t>
        </is>
      </c>
      <c r="AB427" t="inlineStr">
        <is>
          <t>C</t>
        </is>
      </c>
    </row>
    <row r="428">
      <c r="A428" t="n">
        <v>609</v>
      </c>
      <c r="B428" t="n">
        <v>26</v>
      </c>
      <c r="C428" t="n">
        <v>9</v>
      </c>
      <c r="D428" t="n">
        <v>1515135320</v>
      </c>
      <c r="E428" t="inlineStr">
        <is>
          <t>Василеостровский</t>
        </is>
      </c>
      <c r="F428" t="inlineStr">
        <is>
          <t>Челюскина ул, 10стр1</t>
        </is>
      </c>
      <c r="G428" t="n">
        <v>82.8</v>
      </c>
      <c r="H428" t="inlineStr">
        <is>
          <t>30 629 999</t>
        </is>
      </c>
      <c r="I428" t="inlineStr"/>
      <c r="J428" t="inlineStr"/>
      <c r="K428" t="inlineStr"/>
      <c r="L428" t="inlineStr"/>
      <c r="M428" t="inlineStr"/>
      <c r="N428" t="inlineStr">
        <is>
          <t>no</t>
        </is>
      </c>
      <c r="O428" t="inlineStr">
        <is>
          <t>none</t>
        </is>
      </c>
      <c r="P428">
        <f>HYPERLINK("https://knru.ru/catalog/ul-chelyuskina-d-10-1515135320/","ссылка")</f>
        <v/>
      </c>
      <c r="Q428" t="inlineStr"/>
      <c r="R428" t="inlineStr">
        <is>
          <t>Нет у нас</t>
        </is>
      </c>
      <c r="S428" t="n">
        <v>0</v>
      </c>
      <c r="T428" t="inlineStr">
        <is>
          <t>Совпадений по улице+дому не найдено</t>
        </is>
      </c>
      <c r="U428" t="n">
        <v>609</v>
      </c>
      <c r="V428" t="n">
        <v>26</v>
      </c>
      <c r="W428" t="n">
        <v>9</v>
      </c>
      <c r="X428" t="n">
        <v>30629999</v>
      </c>
      <c r="Y428" t="inlineStr"/>
      <c r="Z428" t="inlineStr"/>
      <c r="AA428" t="inlineStr">
        <is>
          <t>https://knru.ru/catalog/ul-chelyuskina-d-10-1515135320/</t>
        </is>
      </c>
      <c r="AB428" t="inlineStr">
        <is>
          <t>C</t>
        </is>
      </c>
    </row>
    <row r="429">
      <c r="A429" t="n">
        <v>610</v>
      </c>
      <c r="B429" t="n">
        <v>26</v>
      </c>
      <c r="C429" t="n">
        <v>10</v>
      </c>
      <c r="D429" t="n">
        <v>884862994</v>
      </c>
      <c r="E429" t="inlineStr">
        <is>
          <t>Василеостровский</t>
        </is>
      </c>
      <c r="F429" t="inlineStr">
        <is>
          <t>Челюскина ул, 10стр1</t>
        </is>
      </c>
      <c r="G429" t="n">
        <v>94.09999999999999</v>
      </c>
      <c r="H429" t="inlineStr">
        <is>
          <t>34 609 999</t>
        </is>
      </c>
      <c r="I429" t="inlineStr"/>
      <c r="J429" t="inlineStr"/>
      <c r="K429" t="inlineStr"/>
      <c r="L429" t="inlineStr"/>
      <c r="M429" t="inlineStr"/>
      <c r="N429" t="inlineStr">
        <is>
          <t>no</t>
        </is>
      </c>
      <c r="O429" t="inlineStr">
        <is>
          <t>none</t>
        </is>
      </c>
      <c r="P429">
        <f>HYPERLINK("https://knru.ru/catalog/ul-chelyuskina-d-10-884862994/","ссылка")</f>
        <v/>
      </c>
      <c r="Q429" t="inlineStr"/>
      <c r="R429" t="inlineStr">
        <is>
          <t>Нет у нас</t>
        </is>
      </c>
      <c r="S429" t="n">
        <v>0</v>
      </c>
      <c r="T429" t="inlineStr">
        <is>
          <t>Совпадений по улице+дому не найдено</t>
        </is>
      </c>
      <c r="U429" t="n">
        <v>610</v>
      </c>
      <c r="V429" t="n">
        <v>26</v>
      </c>
      <c r="W429" t="n">
        <v>10</v>
      </c>
      <c r="X429" t="n">
        <v>34609999</v>
      </c>
      <c r="Y429" t="inlineStr"/>
      <c r="Z429" t="inlineStr"/>
      <c r="AA429" t="inlineStr">
        <is>
          <t>https://knru.ru/catalog/ul-chelyuskina-d-10-884862994/</t>
        </is>
      </c>
      <c r="AB429" t="inlineStr">
        <is>
          <t>C</t>
        </is>
      </c>
    </row>
    <row r="430">
      <c r="A430" t="n">
        <v>611</v>
      </c>
      <c r="B430" t="n">
        <v>26</v>
      </c>
      <c r="C430" t="n">
        <v>11</v>
      </c>
      <c r="D430" t="n">
        <v>1570631734</v>
      </c>
      <c r="E430" t="inlineStr">
        <is>
          <t>Василеостровский</t>
        </is>
      </c>
      <c r="F430" t="inlineStr">
        <is>
          <t>Челюскина ул, 10стр1</t>
        </is>
      </c>
      <c r="G430" t="n">
        <v>116.1</v>
      </c>
      <c r="H430" t="inlineStr">
        <is>
          <t>42 359 999</t>
        </is>
      </c>
      <c r="I430" t="inlineStr"/>
      <c r="J430" t="inlineStr"/>
      <c r="K430" t="inlineStr"/>
      <c r="L430" t="inlineStr"/>
      <c r="M430" t="inlineStr"/>
      <c r="N430" t="inlineStr">
        <is>
          <t>no</t>
        </is>
      </c>
      <c r="O430" t="inlineStr">
        <is>
          <t>none</t>
        </is>
      </c>
      <c r="P430">
        <f>HYPERLINK("https://knru.ru/catalog/ul-chelyuskina-d-10-1570631734/","ссылка")</f>
        <v/>
      </c>
      <c r="Q430" t="inlineStr"/>
      <c r="R430" t="inlineStr">
        <is>
          <t>Нет у нас</t>
        </is>
      </c>
      <c r="S430" t="n">
        <v>0</v>
      </c>
      <c r="T430" t="inlineStr">
        <is>
          <t>Совпадений по улице+дому не найдено</t>
        </is>
      </c>
      <c r="U430" t="n">
        <v>611</v>
      </c>
      <c r="V430" t="n">
        <v>26</v>
      </c>
      <c r="W430" t="n">
        <v>11</v>
      </c>
      <c r="X430" t="n">
        <v>42359999</v>
      </c>
      <c r="Y430" t="inlineStr"/>
      <c r="Z430" t="inlineStr"/>
      <c r="AA430" t="inlineStr">
        <is>
          <t>https://knru.ru/catalog/ul-chelyuskina-d-10-1570631734/</t>
        </is>
      </c>
      <c r="AB430" t="inlineStr">
        <is>
          <t>C</t>
        </is>
      </c>
    </row>
    <row r="431">
      <c r="A431" t="n">
        <v>612</v>
      </c>
      <c r="B431" t="n">
        <v>26</v>
      </c>
      <c r="C431" t="n">
        <v>12</v>
      </c>
      <c r="D431" t="n">
        <v>396456243</v>
      </c>
      <c r="E431" t="inlineStr">
        <is>
          <t>Василеостровский</t>
        </is>
      </c>
      <c r="F431" t="inlineStr">
        <is>
          <t>Челюскина ул, 10стр1</t>
        </is>
      </c>
      <c r="G431" t="n">
        <v>107.7</v>
      </c>
      <c r="H431" t="inlineStr">
        <is>
          <t>39 309 999</t>
        </is>
      </c>
      <c r="I431" t="inlineStr"/>
      <c r="J431" t="inlineStr"/>
      <c r="K431" t="inlineStr"/>
      <c r="L431" t="inlineStr"/>
      <c r="M431" t="inlineStr"/>
      <c r="N431" t="inlineStr">
        <is>
          <t>no</t>
        </is>
      </c>
      <c r="O431" t="inlineStr">
        <is>
          <t>none</t>
        </is>
      </c>
      <c r="P431">
        <f>HYPERLINK("https://knru.ru/catalog/ul-chelyuskina-d-10-396456243/","ссылка")</f>
        <v/>
      </c>
      <c r="Q431" t="inlineStr"/>
      <c r="R431" t="inlineStr">
        <is>
          <t>Нет у нас</t>
        </is>
      </c>
      <c r="S431" t="n">
        <v>0</v>
      </c>
      <c r="T431" t="inlineStr">
        <is>
          <t>Совпадений по улице+дому не найдено</t>
        </is>
      </c>
      <c r="U431" t="n">
        <v>612</v>
      </c>
      <c r="V431" t="n">
        <v>26</v>
      </c>
      <c r="W431" t="n">
        <v>12</v>
      </c>
      <c r="X431" t="n">
        <v>39309999</v>
      </c>
      <c r="Y431" t="inlineStr"/>
      <c r="Z431" t="inlineStr"/>
      <c r="AA431" t="inlineStr">
        <is>
          <t>https://knru.ru/catalog/ul-chelyuskina-d-10-396456243/</t>
        </is>
      </c>
      <c r="AB431" t="inlineStr">
        <is>
          <t>C</t>
        </is>
      </c>
    </row>
    <row r="432">
      <c r="A432" t="n">
        <v>613</v>
      </c>
      <c r="B432" t="n">
        <v>26</v>
      </c>
      <c r="C432" t="n">
        <v>13</v>
      </c>
      <c r="D432" t="n">
        <v>1435987852</v>
      </c>
      <c r="E432" t="inlineStr">
        <is>
          <t>Василеостровский</t>
        </is>
      </c>
      <c r="F432" t="inlineStr">
        <is>
          <t>Челюскина ул, 10стр1</t>
        </is>
      </c>
      <c r="G432" t="n">
        <v>72.90000000000001</v>
      </c>
      <c r="H432" t="inlineStr">
        <is>
          <t>26 680 000</t>
        </is>
      </c>
      <c r="I432" t="inlineStr"/>
      <c r="J432" t="inlineStr"/>
      <c r="K432" t="inlineStr"/>
      <c r="L432" t="inlineStr"/>
      <c r="M432" t="inlineStr"/>
      <c r="N432" t="inlineStr">
        <is>
          <t>no</t>
        </is>
      </c>
      <c r="O432" t="inlineStr">
        <is>
          <t>none</t>
        </is>
      </c>
      <c r="P432">
        <f>HYPERLINK("https://knru.ru/catalog/ul-chelyuskina-d-10-1435987852/","ссылка")</f>
        <v/>
      </c>
      <c r="Q432" t="inlineStr"/>
      <c r="R432" t="inlineStr">
        <is>
          <t>Нет у нас</t>
        </is>
      </c>
      <c r="S432" t="n">
        <v>0</v>
      </c>
      <c r="T432" t="inlineStr">
        <is>
          <t>Совпадений по улице+дому не найдено</t>
        </is>
      </c>
      <c r="U432" t="n">
        <v>613</v>
      </c>
      <c r="V432" t="n">
        <v>26</v>
      </c>
      <c r="W432" t="n">
        <v>13</v>
      </c>
      <c r="X432" t="n">
        <v>26680000</v>
      </c>
      <c r="Y432" t="inlineStr"/>
      <c r="Z432" t="inlineStr"/>
      <c r="AA432" t="inlineStr">
        <is>
          <t>https://knru.ru/catalog/ul-chelyuskina-d-10-1435987852/</t>
        </is>
      </c>
      <c r="AB432" t="inlineStr">
        <is>
          <t>C</t>
        </is>
      </c>
    </row>
    <row r="433">
      <c r="A433" t="n">
        <v>614</v>
      </c>
      <c r="B433" t="n">
        <v>26</v>
      </c>
      <c r="C433" t="n">
        <v>14</v>
      </c>
      <c r="D433" t="n">
        <v>1593490177</v>
      </c>
      <c r="E433" t="inlineStr">
        <is>
          <t>Василеостровский</t>
        </is>
      </c>
      <c r="F433" t="inlineStr">
        <is>
          <t>Челюскина ул, 10стр1</t>
        </is>
      </c>
      <c r="G433" t="n">
        <v>81.7</v>
      </c>
      <c r="H433" t="inlineStr">
        <is>
          <t>32 959 000</t>
        </is>
      </c>
      <c r="I433" t="inlineStr"/>
      <c r="J433" t="inlineStr"/>
      <c r="K433" t="inlineStr"/>
      <c r="L433" t="inlineStr"/>
      <c r="M433" t="inlineStr"/>
      <c r="N433" t="inlineStr">
        <is>
          <t>no</t>
        </is>
      </c>
      <c r="O433" t="inlineStr">
        <is>
          <t>none</t>
        </is>
      </c>
      <c r="P433">
        <f>HYPERLINK("https://knru.ru/catalog/ul-chelyuskina-d-10-1593490177/","ссылка")</f>
        <v/>
      </c>
      <c r="Q433" t="inlineStr"/>
      <c r="R433" t="inlineStr">
        <is>
          <t>Нет у нас</t>
        </is>
      </c>
      <c r="S433" t="n">
        <v>0</v>
      </c>
      <c r="T433" t="inlineStr">
        <is>
          <t>Совпадений по улице+дому не найдено</t>
        </is>
      </c>
      <c r="U433" t="n">
        <v>614</v>
      </c>
      <c r="V433" t="n">
        <v>26</v>
      </c>
      <c r="W433" t="n">
        <v>14</v>
      </c>
      <c r="X433" t="n">
        <v>32959000</v>
      </c>
      <c r="Y433" t="inlineStr"/>
      <c r="Z433" t="inlineStr"/>
      <c r="AA433" t="inlineStr">
        <is>
          <t>https://knru.ru/catalog/ul-chelyuskina-d-10-1593490177/</t>
        </is>
      </c>
      <c r="AB433" t="inlineStr">
        <is>
          <t>C</t>
        </is>
      </c>
    </row>
    <row r="434">
      <c r="A434" t="n">
        <v>615</v>
      </c>
      <c r="B434" t="n">
        <v>26</v>
      </c>
      <c r="C434" t="n">
        <v>15</v>
      </c>
      <c r="D434" t="n">
        <v>2103524717</v>
      </c>
      <c r="E434" t="inlineStr">
        <is>
          <t>Василеостровский</t>
        </is>
      </c>
      <c r="F434" t="inlineStr">
        <is>
          <t>Челюскина ул, 10стр1</t>
        </is>
      </c>
      <c r="G434" t="n">
        <v>71.8</v>
      </c>
      <c r="H434" t="inlineStr">
        <is>
          <t>28 379 999</t>
        </is>
      </c>
      <c r="I434" t="inlineStr"/>
      <c r="J434" t="inlineStr"/>
      <c r="K434" t="inlineStr"/>
      <c r="L434" t="inlineStr"/>
      <c r="M434" t="inlineStr"/>
      <c r="N434" t="inlineStr">
        <is>
          <t>no</t>
        </is>
      </c>
      <c r="O434" t="inlineStr">
        <is>
          <t>none</t>
        </is>
      </c>
      <c r="P434">
        <f>HYPERLINK("https://knru.ru/catalog/ul-chelyuskina-d-10-2103524717/","ссылка")</f>
        <v/>
      </c>
      <c r="Q434" t="inlineStr"/>
      <c r="R434" t="inlineStr">
        <is>
          <t>Нет у нас</t>
        </is>
      </c>
      <c r="S434" t="n">
        <v>0</v>
      </c>
      <c r="T434" t="inlineStr">
        <is>
          <t>Совпадений по улице+дому не найдено</t>
        </is>
      </c>
      <c r="U434" t="n">
        <v>615</v>
      </c>
      <c r="V434" t="n">
        <v>26</v>
      </c>
      <c r="W434" t="n">
        <v>15</v>
      </c>
      <c r="X434" t="n">
        <v>28379999</v>
      </c>
      <c r="Y434" t="inlineStr"/>
      <c r="Z434" t="inlineStr"/>
      <c r="AA434" t="inlineStr">
        <is>
          <t>https://knru.ru/catalog/ul-chelyuskina-d-10-2103524717/</t>
        </is>
      </c>
      <c r="AB434" t="inlineStr">
        <is>
          <t>C</t>
        </is>
      </c>
    </row>
    <row r="435">
      <c r="A435" t="n">
        <v>619</v>
      </c>
      <c r="B435" t="n">
        <v>26</v>
      </c>
      <c r="C435" t="n">
        <v>19</v>
      </c>
      <c r="D435" t="n">
        <v>45</v>
      </c>
      <c r="E435" t="inlineStr">
        <is>
          <t>Выборгский</t>
        </is>
      </c>
      <c r="F435" t="inlineStr">
        <is>
          <t>Светлановский пр-кт, 45</t>
        </is>
      </c>
      <c r="G435" t="n">
        <v>39.8</v>
      </c>
      <c r="H435" t="inlineStr">
        <is>
          <t>13 930 000</t>
        </is>
      </c>
      <c r="I435" t="inlineStr"/>
      <c r="J435" t="inlineStr"/>
      <c r="K435" t="inlineStr"/>
      <c r="L435" t="inlineStr"/>
      <c r="M435" t="inlineStr"/>
      <c r="N435" t="inlineStr">
        <is>
          <t>no</t>
        </is>
      </c>
      <c r="O435" t="inlineStr">
        <is>
          <t>none</t>
        </is>
      </c>
      <c r="P435">
        <f>HYPERLINK("https://knru.ru/catalog/svetlanovskiy-pr-d-45/","ссылка")</f>
        <v/>
      </c>
      <c r="Q435" t="inlineStr"/>
      <c r="R435" t="inlineStr">
        <is>
          <t>Нет у нас</t>
        </is>
      </c>
      <c r="S435" t="n">
        <v>0</v>
      </c>
      <c r="T435" t="inlineStr">
        <is>
          <t>Совпадений по улице+дому не найдено</t>
        </is>
      </c>
      <c r="U435" t="n">
        <v>619</v>
      </c>
      <c r="V435" t="n">
        <v>26</v>
      </c>
      <c r="W435" t="n">
        <v>19</v>
      </c>
      <c r="X435" t="n">
        <v>13930000</v>
      </c>
      <c r="Y435" t="inlineStr"/>
      <c r="Z435" t="inlineStr"/>
      <c r="AA435" t="inlineStr">
        <is>
          <t>https://knru.ru/catalog/svetlanovskiy-pr-d-45/</t>
        </is>
      </c>
      <c r="AB435" t="inlineStr">
        <is>
          <t>C</t>
        </is>
      </c>
    </row>
    <row r="436">
      <c r="A436" t="n">
        <v>620</v>
      </c>
      <c r="B436" t="n">
        <v>26</v>
      </c>
      <c r="C436" t="n">
        <v>20</v>
      </c>
      <c r="D436" t="inlineStr"/>
      <c r="E436" t="inlineStr">
        <is>
          <t>Красносельский</t>
        </is>
      </c>
      <c r="F436" t="inlineStr">
        <is>
          <t>Ветеранов пр-кт, -</t>
        </is>
      </c>
      <c r="G436" t="n">
        <v>1799</v>
      </c>
      <c r="H436" t="inlineStr">
        <is>
          <t>400 000 000</t>
        </is>
      </c>
      <c r="I436" t="inlineStr"/>
      <c r="J436" t="inlineStr"/>
      <c r="K436" t="inlineStr"/>
      <c r="L436" t="inlineStr"/>
      <c r="M436" t="inlineStr"/>
      <c r="N436" t="inlineStr">
        <is>
          <t>no</t>
        </is>
      </c>
      <c r="O436" t="inlineStr">
        <is>
          <t>none</t>
        </is>
      </c>
      <c r="P436">
        <f>HYPERLINK("https://knru.ru/catalog/veteranov-pr-kt-/","ссылка")</f>
        <v/>
      </c>
      <c r="Q436" t="inlineStr"/>
      <c r="R436" t="inlineStr">
        <is>
          <t>Нет у нас</t>
        </is>
      </c>
      <c r="S436" t="n">
        <v>0</v>
      </c>
      <c r="T436" t="inlineStr">
        <is>
          <t>Совпадений по улице+дому не найдено</t>
        </is>
      </c>
      <c r="U436" t="n">
        <v>620</v>
      </c>
      <c r="V436" t="n">
        <v>26</v>
      </c>
      <c r="W436" t="n">
        <v>20</v>
      </c>
      <c r="X436" t="n">
        <v>400000000</v>
      </c>
      <c r="Y436" t="inlineStr"/>
      <c r="Z436" t="inlineStr"/>
      <c r="AA436" t="inlineStr">
        <is>
          <t>https://knru.ru/catalog/veteranov-pr-kt-/</t>
        </is>
      </c>
      <c r="AB436" t="inlineStr">
        <is>
          <t>C</t>
        </is>
      </c>
    </row>
    <row r="437">
      <c r="A437" t="n">
        <v>621</v>
      </c>
      <c r="B437" t="n">
        <v>26</v>
      </c>
      <c r="C437" t="n">
        <v>21</v>
      </c>
      <c r="D437" t="n">
        <v>769548466</v>
      </c>
      <c r="E437" t="inlineStr">
        <is>
          <t>Всеволожский</t>
        </is>
      </c>
      <c r="F437" t="inlineStr">
        <is>
          <t>ЖК iD Murino III , 1</t>
        </is>
      </c>
      <c r="G437" t="n">
        <v>92.7</v>
      </c>
      <c r="H437" t="inlineStr">
        <is>
          <t>31 504 400</t>
        </is>
      </c>
      <c r="I437" t="inlineStr"/>
      <c r="J437" t="inlineStr"/>
      <c r="K437" t="inlineStr"/>
      <c r="L437" t="inlineStr"/>
      <c r="M437" t="inlineStr"/>
      <c r="N437" t="inlineStr">
        <is>
          <t>no</t>
        </is>
      </c>
      <c r="O437" t="inlineStr">
        <is>
          <t>none</t>
        </is>
      </c>
      <c r="P437">
        <f>HYPERLINK("https://knru.ru/catalog/zhk-id-murino-iii-1-769548466/","ссылка")</f>
        <v/>
      </c>
      <c r="Q437" t="inlineStr"/>
      <c r="R437" t="inlineStr">
        <is>
          <t>Нет у нас</t>
        </is>
      </c>
      <c r="S437" t="n">
        <v>0</v>
      </c>
      <c r="T437" t="inlineStr">
        <is>
          <t>Совпадений по улице+дому не найдено</t>
        </is>
      </c>
      <c r="U437" t="n">
        <v>621</v>
      </c>
      <c r="V437" t="n">
        <v>26</v>
      </c>
      <c r="W437" t="n">
        <v>21</v>
      </c>
      <c r="X437" t="n">
        <v>31504400</v>
      </c>
      <c r="Y437" t="inlineStr"/>
      <c r="Z437" t="inlineStr"/>
      <c r="AA437" t="inlineStr">
        <is>
          <t>https://knru.ru/catalog/zhk-id-murino-iii-1-769548466/</t>
        </is>
      </c>
      <c r="AB437" t="inlineStr">
        <is>
          <t>C</t>
        </is>
      </c>
    </row>
    <row r="438">
      <c r="A438" t="n">
        <v>622</v>
      </c>
      <c r="B438" t="n">
        <v>26</v>
      </c>
      <c r="C438" t="n">
        <v>22</v>
      </c>
      <c r="D438" t="n">
        <v>520868376</v>
      </c>
      <c r="E438" t="inlineStr">
        <is>
          <t>Всеволожский</t>
        </is>
      </c>
      <c r="F438" t="inlineStr">
        <is>
          <t>ЖК iD Murino III , 1</t>
        </is>
      </c>
      <c r="G438" t="n">
        <v>45.8</v>
      </c>
      <c r="H438" t="inlineStr">
        <is>
          <t>16 012 500</t>
        </is>
      </c>
      <c r="I438" t="inlineStr"/>
      <c r="J438" t="inlineStr"/>
      <c r="K438" t="inlineStr"/>
      <c r="L438" t="inlineStr"/>
      <c r="M438" t="inlineStr"/>
      <c r="N438" t="inlineStr">
        <is>
          <t>no</t>
        </is>
      </c>
      <c r="O438" t="inlineStr">
        <is>
          <t>none</t>
        </is>
      </c>
      <c r="P438">
        <f>HYPERLINK("https://knru.ru/catalog/zhk-id-murino-iii-1-520868376/","ссылка")</f>
        <v/>
      </c>
      <c r="Q438" t="inlineStr"/>
      <c r="R438" t="inlineStr">
        <is>
          <t>Нет у нас</t>
        </is>
      </c>
      <c r="S438" t="n">
        <v>0</v>
      </c>
      <c r="T438" t="inlineStr">
        <is>
          <t>Совпадений по улице+дому не найдено</t>
        </is>
      </c>
      <c r="U438" t="n">
        <v>622</v>
      </c>
      <c r="V438" t="n">
        <v>26</v>
      </c>
      <c r="W438" t="n">
        <v>22</v>
      </c>
      <c r="X438" t="n">
        <v>16012500</v>
      </c>
      <c r="Y438" t="inlineStr"/>
      <c r="Z438" t="inlineStr"/>
      <c r="AA438" t="inlineStr">
        <is>
          <t>https://knru.ru/catalog/zhk-id-murino-iii-1-520868376/</t>
        </is>
      </c>
      <c r="AB438" t="inlineStr">
        <is>
          <t>C</t>
        </is>
      </c>
    </row>
    <row r="439">
      <c r="A439" t="n">
        <v>623</v>
      </c>
      <c r="B439" t="n">
        <v>26</v>
      </c>
      <c r="C439" t="n">
        <v>23</v>
      </c>
      <c r="D439" t="n">
        <v>1846742251</v>
      </c>
      <c r="E439" t="inlineStr">
        <is>
          <t>Всеволожский</t>
        </is>
      </c>
      <c r="F439" t="inlineStr">
        <is>
          <t>ЖК iD Murino III , 1</t>
        </is>
      </c>
      <c r="G439" t="n">
        <v>43.6</v>
      </c>
      <c r="H439" t="inlineStr">
        <is>
          <t>14 381 400</t>
        </is>
      </c>
      <c r="I439" t="inlineStr"/>
      <c r="J439" t="inlineStr"/>
      <c r="K439" t="inlineStr"/>
      <c r="L439" t="inlineStr"/>
      <c r="M439" t="inlineStr"/>
      <c r="N439" t="inlineStr">
        <is>
          <t>no</t>
        </is>
      </c>
      <c r="O439" t="inlineStr">
        <is>
          <t>none</t>
        </is>
      </c>
      <c r="P439">
        <f>HYPERLINK("https://knru.ru/catalog/zhk-id-murino-iii-1-1846742251/","ссылка")</f>
        <v/>
      </c>
      <c r="Q439" t="inlineStr"/>
      <c r="R439" t="inlineStr">
        <is>
          <t>Нет у нас</t>
        </is>
      </c>
      <c r="S439" t="n">
        <v>0</v>
      </c>
      <c r="T439" t="inlineStr">
        <is>
          <t>Совпадений по улице+дому не найдено</t>
        </is>
      </c>
      <c r="U439" t="n">
        <v>623</v>
      </c>
      <c r="V439" t="n">
        <v>26</v>
      </c>
      <c r="W439" t="n">
        <v>23</v>
      </c>
      <c r="X439" t="n">
        <v>14381400</v>
      </c>
      <c r="Y439" t="inlineStr"/>
      <c r="Z439" t="inlineStr"/>
      <c r="AA439" t="inlineStr">
        <is>
          <t>https://knru.ru/catalog/zhk-id-murino-iii-1-1846742251/</t>
        </is>
      </c>
      <c r="AB439" t="inlineStr">
        <is>
          <t>C</t>
        </is>
      </c>
    </row>
    <row r="440">
      <c r="A440" t="n">
        <v>624</v>
      </c>
      <c r="B440" t="n">
        <v>26</v>
      </c>
      <c r="C440" t="n">
        <v>24</v>
      </c>
      <c r="D440" t="n">
        <v>1</v>
      </c>
      <c r="E440" t="inlineStr">
        <is>
          <t>Всеволожский</t>
        </is>
      </c>
      <c r="F440" t="inlineStr">
        <is>
          <t>ЖК iD Murino III , 1</t>
        </is>
      </c>
      <c r="G440" t="n">
        <v>25</v>
      </c>
      <c r="H440" t="inlineStr">
        <is>
          <t>8 236 800</t>
        </is>
      </c>
      <c r="I440" t="inlineStr"/>
      <c r="J440" t="inlineStr"/>
      <c r="K440" t="inlineStr"/>
      <c r="L440" t="inlineStr"/>
      <c r="M440" t="inlineStr"/>
      <c r="N440" t="inlineStr">
        <is>
          <t>no</t>
        </is>
      </c>
      <c r="O440" t="inlineStr">
        <is>
          <t>none</t>
        </is>
      </c>
      <c r="P440">
        <f>HYPERLINK("https://knru.ru/catalog/zhk-id-murino-iii-1/","ссылка")</f>
        <v/>
      </c>
      <c r="Q440" t="inlineStr"/>
      <c r="R440" t="inlineStr">
        <is>
          <t>Нет у нас</t>
        </is>
      </c>
      <c r="S440" t="n">
        <v>0</v>
      </c>
      <c r="T440" t="inlineStr">
        <is>
          <t>Совпадений по улице+дому не найдено</t>
        </is>
      </c>
      <c r="U440" t="n">
        <v>624</v>
      </c>
      <c r="V440" t="n">
        <v>26</v>
      </c>
      <c r="W440" t="n">
        <v>24</v>
      </c>
      <c r="X440" t="n">
        <v>8236800</v>
      </c>
      <c r="Y440" t="inlineStr"/>
      <c r="Z440" t="inlineStr"/>
      <c r="AA440" t="inlineStr">
        <is>
          <t>https://knru.ru/catalog/zhk-id-murino-iii-1/</t>
        </is>
      </c>
      <c r="AB440" t="inlineStr">
        <is>
          <t>C</t>
        </is>
      </c>
    </row>
    <row r="441">
      <c r="A441" t="n">
        <v>626</v>
      </c>
      <c r="B441" t="n">
        <v>27</v>
      </c>
      <c r="C441" t="n">
        <v>2</v>
      </c>
      <c r="D441" t="n">
        <v>1209188884</v>
      </c>
      <c r="E441" t="inlineStr">
        <is>
          <t>Невский</t>
        </is>
      </c>
      <c r="F441" t="inlineStr">
        <is>
          <t>Обуховской Обороны пр-кт, 38 В</t>
        </is>
      </c>
      <c r="G441" t="n">
        <v>9200</v>
      </c>
      <c r="H441" t="inlineStr">
        <is>
          <t>1 000 000 000</t>
        </is>
      </c>
      <c r="I441" t="inlineStr"/>
      <c r="J441" t="inlineStr"/>
      <c r="K441" t="inlineStr"/>
      <c r="L441" t="inlineStr"/>
      <c r="M441" t="inlineStr"/>
      <c r="N441" t="inlineStr">
        <is>
          <t>no</t>
        </is>
      </c>
      <c r="O441" t="inlineStr">
        <is>
          <t>none</t>
        </is>
      </c>
      <c r="P441">
        <f>HYPERLINK("https://knru.ru/catalog/pr-obukhovskoy-oborony-d-38-1209188884/","ссылка")</f>
        <v/>
      </c>
      <c r="Q441" t="inlineStr"/>
      <c r="R441" t="inlineStr">
        <is>
          <t>Нет у нас</t>
        </is>
      </c>
      <c r="S441" t="n">
        <v>0</v>
      </c>
      <c r="T441" t="inlineStr">
        <is>
          <t>Совпадений по улице+дому не найдено</t>
        </is>
      </c>
      <c r="U441" t="n">
        <v>626</v>
      </c>
      <c r="V441" t="n">
        <v>27</v>
      </c>
      <c r="W441" t="n">
        <v>2</v>
      </c>
      <c r="X441" t="n">
        <v>1000000000</v>
      </c>
      <c r="Y441" t="inlineStr"/>
      <c r="Z441" t="inlineStr"/>
      <c r="AA441" t="inlineStr">
        <is>
          <t>https://knru.ru/catalog/pr-obukhovskoy-oborony-d-38-1209188884/</t>
        </is>
      </c>
      <c r="AB441" t="inlineStr">
        <is>
          <t>C</t>
        </is>
      </c>
    </row>
    <row r="442">
      <c r="A442" t="n">
        <v>627</v>
      </c>
      <c r="B442" t="n">
        <v>27</v>
      </c>
      <c r="C442" t="n">
        <v>3</v>
      </c>
      <c r="D442" t="inlineStr"/>
      <c r="E442" t="inlineStr">
        <is>
          <t>Калининский</t>
        </is>
      </c>
      <c r="F442" t="inlineStr">
        <is>
          <t>Науки пр-кт, 47к2</t>
        </is>
      </c>
      <c r="G442" t="n">
        <v>549</v>
      </c>
      <c r="H442" t="inlineStr">
        <is>
          <t>94 900 000</t>
        </is>
      </c>
      <c r="I442" t="inlineStr"/>
      <c r="J442" t="inlineStr"/>
      <c r="K442" t="inlineStr"/>
      <c r="L442" t="inlineStr"/>
      <c r="M442" t="inlineStr"/>
      <c r="N442" t="inlineStr">
        <is>
          <t>yes</t>
        </is>
      </c>
      <c r="O442" t="inlineStr">
        <is>
          <t>pixel_heuristic</t>
        </is>
      </c>
      <c r="P442">
        <f>HYPERLINK("https://knru.ru/catalog/nauki-pr-kt-47k2/","ссылка")</f>
        <v/>
      </c>
      <c r="Q442" t="inlineStr"/>
      <c r="R442" t="inlineStr">
        <is>
          <t>Нет у нас</t>
        </is>
      </c>
      <c r="S442" t="n">
        <v>0</v>
      </c>
      <c r="T442" t="inlineStr">
        <is>
          <t>Совпадений по улице+дому не найдено</t>
        </is>
      </c>
      <c r="U442" t="n">
        <v>627</v>
      </c>
      <c r="V442" t="n">
        <v>27</v>
      </c>
      <c r="W442" t="n">
        <v>3</v>
      </c>
      <c r="X442" t="n">
        <v>94900000</v>
      </c>
      <c r="Y442" t="inlineStr"/>
      <c r="Z442" t="inlineStr"/>
      <c r="AA442" t="inlineStr">
        <is>
          <t>https://knru.ru/catalog/nauki-pr-kt-47k2/</t>
        </is>
      </c>
      <c r="AB442" t="inlineStr">
        <is>
          <t>C</t>
        </is>
      </c>
    </row>
    <row r="443">
      <c r="A443" t="n">
        <v>628</v>
      </c>
      <c r="B443" t="n">
        <v>27</v>
      </c>
      <c r="C443" t="n">
        <v>4</v>
      </c>
      <c r="D443" t="inlineStr"/>
      <c r="E443" t="inlineStr"/>
      <c r="F443" t="inlineStr">
        <is>
          <t>Заводская ул, 3к134Б</t>
        </is>
      </c>
      <c r="G443" t="n">
        <v>2000</v>
      </c>
      <c r="H443" t="inlineStr">
        <is>
          <t>59 500 000</t>
        </is>
      </c>
      <c r="I443" t="inlineStr"/>
      <c r="J443" t="inlineStr"/>
      <c r="K443" t="inlineStr"/>
      <c r="L443" t="inlineStr"/>
      <c r="M443" t="inlineStr"/>
      <c r="N443" t="inlineStr">
        <is>
          <t>no</t>
        </is>
      </c>
      <c r="O443" t="inlineStr">
        <is>
          <t>none</t>
        </is>
      </c>
      <c r="P443">
        <f>HYPERLINK("https://knru.ru/catalog/zavodskaya-ul-3k134b/","ссылка")</f>
        <v/>
      </c>
      <c r="Q443" t="inlineStr"/>
      <c r="R443" t="inlineStr">
        <is>
          <t>Нет у нас</t>
        </is>
      </c>
      <c r="S443" t="n">
        <v>0</v>
      </c>
      <c r="T443" t="inlineStr">
        <is>
          <t>Совпадений по улице+дому не найдено</t>
        </is>
      </c>
      <c r="U443" t="n">
        <v>628</v>
      </c>
      <c r="V443" t="n">
        <v>27</v>
      </c>
      <c r="W443" t="n">
        <v>4</v>
      </c>
      <c r="X443" t="n">
        <v>59500000</v>
      </c>
      <c r="Y443" t="inlineStr"/>
      <c r="Z443" t="inlineStr"/>
      <c r="AA443" t="inlineStr">
        <is>
          <t>https://knru.ru/catalog/zavodskaya-ul-3k134b/</t>
        </is>
      </c>
      <c r="AB443" t="inlineStr">
        <is>
          <t>C</t>
        </is>
      </c>
    </row>
    <row r="444">
      <c r="A444" t="n">
        <v>629</v>
      </c>
      <c r="B444" t="n">
        <v>27</v>
      </c>
      <c r="C444" t="n">
        <v>5</v>
      </c>
      <c r="D444" t="n">
        <v>7</v>
      </c>
      <c r="E444" t="inlineStr">
        <is>
          <t>Красносельское с.п.</t>
        </is>
      </c>
      <c r="F444" t="inlineStr">
        <is>
          <t>Центральная ул, 7</t>
        </is>
      </c>
      <c r="G444" t="n">
        <v>375</v>
      </c>
      <c r="H444" t="inlineStr">
        <is>
          <t>42 600 000</t>
        </is>
      </c>
      <c r="I444" t="inlineStr"/>
      <c r="J444" t="inlineStr"/>
      <c r="K444" t="inlineStr"/>
      <c r="L444" t="inlineStr"/>
      <c r="M444" t="inlineStr"/>
      <c r="N444" t="inlineStr">
        <is>
          <t>no</t>
        </is>
      </c>
      <c r="O444" t="inlineStr">
        <is>
          <t>none</t>
        </is>
      </c>
      <c r="P444">
        <f>HYPERLINK("https://knru.ru/catalog/lo-korobitsyno-tsentralnaya-ul-d-7/","ссылка")</f>
        <v/>
      </c>
      <c r="Q444" t="inlineStr"/>
      <c r="R444" t="inlineStr">
        <is>
          <t>Нет у нас</t>
        </is>
      </c>
      <c r="S444" t="n">
        <v>0</v>
      </c>
      <c r="T444" t="inlineStr">
        <is>
          <t>Совпадений по улице+дому не найдено</t>
        </is>
      </c>
      <c r="U444" t="n">
        <v>629</v>
      </c>
      <c r="V444" t="n">
        <v>27</v>
      </c>
      <c r="W444" t="n">
        <v>5</v>
      </c>
      <c r="X444" t="n">
        <v>42600000</v>
      </c>
      <c r="Y444" t="inlineStr"/>
      <c r="Z444" t="inlineStr"/>
      <c r="AA444" t="inlineStr">
        <is>
          <t>https://knru.ru/catalog/lo-korobitsyno-tsentralnaya-ul-d-7/</t>
        </is>
      </c>
      <c r="AB444" t="inlineStr">
        <is>
          <t>C</t>
        </is>
      </c>
    </row>
    <row r="445">
      <c r="A445" t="n">
        <v>630</v>
      </c>
      <c r="B445" t="n">
        <v>27</v>
      </c>
      <c r="C445" t="n">
        <v>6</v>
      </c>
      <c r="D445" t="n">
        <v>1</v>
      </c>
      <c r="E445" t="inlineStr">
        <is>
          <t>Петродворцовый</t>
        </is>
      </c>
      <c r="F445" t="inlineStr">
        <is>
          <t>Санкт-Петербургское, 42Б</t>
        </is>
      </c>
      <c r="G445" t="n">
        <v>1382</v>
      </c>
      <c r="H445" t="inlineStr">
        <is>
          <t>140 000 000</t>
        </is>
      </c>
      <c r="I445" t="inlineStr"/>
      <c r="J445" t="inlineStr"/>
      <c r="K445" t="inlineStr"/>
      <c r="L445" t="inlineStr"/>
      <c r="M445" t="inlineStr"/>
      <c r="N445" t="inlineStr">
        <is>
          <t>no</t>
        </is>
      </c>
      <c r="O445" t="inlineStr">
        <is>
          <t>none</t>
        </is>
      </c>
      <c r="P445">
        <f>HYPERLINK("https://knru.ru/catalog/krasnoselskoe-sh-d-22-s-1/","ссылка")</f>
        <v/>
      </c>
      <c r="Q445" t="inlineStr"/>
      <c r="R445" t="inlineStr">
        <is>
          <t>Нет у нас</t>
        </is>
      </c>
      <c r="S445" t="n">
        <v>0</v>
      </c>
      <c r="T445" t="inlineStr">
        <is>
          <t>Совпадений по улице+дому не найдено</t>
        </is>
      </c>
      <c r="U445" t="n">
        <v>630</v>
      </c>
      <c r="V445" t="n">
        <v>27</v>
      </c>
      <c r="W445" t="n">
        <v>6</v>
      </c>
      <c r="X445" t="n">
        <v>140000000</v>
      </c>
      <c r="Y445" t="inlineStr"/>
      <c r="Z445" t="inlineStr"/>
      <c r="AA445" t="inlineStr">
        <is>
          <t>https://knru.ru/catalog/krasnoselskoe-sh-d-22-s-1/</t>
        </is>
      </c>
      <c r="AB445" t="inlineStr">
        <is>
          <t>C</t>
        </is>
      </c>
    </row>
    <row r="446">
      <c r="A446" t="n">
        <v>632</v>
      </c>
      <c r="B446" t="n">
        <v>27</v>
      </c>
      <c r="C446" t="n">
        <v>8</v>
      </c>
      <c r="D446" t="inlineStr"/>
      <c r="E446" t="inlineStr">
        <is>
          <t>Выборгский</t>
        </is>
      </c>
      <c r="F446" t="inlineStr">
        <is>
          <t>Кантемировская ул, 31 Е</t>
        </is>
      </c>
      <c r="G446" t="n">
        <v>58</v>
      </c>
      <c r="H446" t="inlineStr">
        <is>
          <t>3 000 000</t>
        </is>
      </c>
      <c r="I446" t="inlineStr"/>
      <c r="J446" t="inlineStr"/>
      <c r="K446" t="inlineStr"/>
      <c r="L446" t="inlineStr"/>
      <c r="M446" t="inlineStr"/>
      <c r="N446" t="inlineStr">
        <is>
          <t>no</t>
        </is>
      </c>
      <c r="O446" t="inlineStr">
        <is>
          <t>none</t>
        </is>
      </c>
      <c r="P446">
        <f>HYPERLINK("https://knru.ru/catalog/kantemirovskaya-ul-31-e/","ссылка")</f>
        <v/>
      </c>
      <c r="Q446" t="inlineStr"/>
      <c r="R446" t="inlineStr">
        <is>
          <t>Нет у нас</t>
        </is>
      </c>
      <c r="S446" t="n">
        <v>0</v>
      </c>
      <c r="T446" t="inlineStr">
        <is>
          <t>Совпадений по улице+дому не найдено</t>
        </is>
      </c>
      <c r="U446" t="n">
        <v>632</v>
      </c>
      <c r="V446" t="n">
        <v>27</v>
      </c>
      <c r="W446" t="n">
        <v>8</v>
      </c>
      <c r="X446" t="n">
        <v>3000000</v>
      </c>
      <c r="Y446" t="inlineStr"/>
      <c r="Z446" t="inlineStr"/>
      <c r="AA446" t="inlineStr">
        <is>
          <t>https://knru.ru/catalog/kantemirovskaya-ul-31-e/</t>
        </is>
      </c>
      <c r="AB446" t="inlineStr">
        <is>
          <t>C</t>
        </is>
      </c>
    </row>
    <row r="447">
      <c r="A447" t="n">
        <v>636</v>
      </c>
      <c r="B447" t="n">
        <v>27</v>
      </c>
      <c r="C447" t="n">
        <v>12</v>
      </c>
      <c r="D447" t="inlineStr"/>
      <c r="E447" t="inlineStr"/>
      <c r="F447" t="inlineStr">
        <is>
          <t>Воейковское ш</t>
        </is>
      </c>
      <c r="G447" t="n">
        <v>2000</v>
      </c>
      <c r="H447" t="inlineStr">
        <is>
          <t>22 800 000</t>
        </is>
      </c>
      <c r="I447" t="inlineStr"/>
      <c r="J447" t="inlineStr"/>
      <c r="K447" t="inlineStr"/>
      <c r="L447" t="inlineStr"/>
      <c r="M447" t="inlineStr"/>
      <c r="N447" t="inlineStr">
        <is>
          <t>no</t>
        </is>
      </c>
      <c r="O447" t="inlineStr">
        <is>
          <t>none</t>
        </is>
      </c>
      <c r="P447">
        <f>HYPERLINK("https://knru.ru/catalog/voeykovskoe-sh/","ссылка")</f>
        <v/>
      </c>
      <c r="Q447" t="inlineStr"/>
      <c r="R447" t="inlineStr">
        <is>
          <t>Нет у нас</t>
        </is>
      </c>
      <c r="S447" t="n">
        <v>0</v>
      </c>
      <c r="T447" t="inlineStr">
        <is>
          <t>Совпадений по улице+дому не найдено</t>
        </is>
      </c>
      <c r="U447" t="n">
        <v>636</v>
      </c>
      <c r="V447" t="n">
        <v>27</v>
      </c>
      <c r="W447" t="n">
        <v>12</v>
      </c>
      <c r="X447" t="n">
        <v>22800000</v>
      </c>
      <c r="Y447" t="inlineStr"/>
      <c r="Z447" t="inlineStr"/>
      <c r="AA447" t="inlineStr">
        <is>
          <t>https://knru.ru/catalog/voeykovskoe-sh/</t>
        </is>
      </c>
      <c r="AB447" t="inlineStr">
        <is>
          <t>C</t>
        </is>
      </c>
    </row>
    <row r="448">
      <c r="A448" t="n">
        <v>638</v>
      </c>
      <c r="B448" t="n">
        <v>27</v>
      </c>
      <c r="C448" t="n">
        <v>14</v>
      </c>
      <c r="D448" t="n">
        <v>1990318559</v>
      </c>
      <c r="E448" t="inlineStr">
        <is>
          <t>Василеостровский</t>
        </is>
      </c>
      <c r="F448" t="inlineStr">
        <is>
          <t>Головнина б-р, 4</t>
        </is>
      </c>
      <c r="G448" t="n">
        <v>112.2</v>
      </c>
      <c r="H448" t="inlineStr">
        <is>
          <t>32 509 054</t>
        </is>
      </c>
      <c r="I448" t="inlineStr"/>
      <c r="J448" t="inlineStr"/>
      <c r="K448" t="inlineStr"/>
      <c r="L448" t="inlineStr"/>
      <c r="M448" t="inlineStr"/>
      <c r="N448" t="inlineStr">
        <is>
          <t>no</t>
        </is>
      </c>
      <c r="O448" t="inlineStr">
        <is>
          <t>none</t>
        </is>
      </c>
      <c r="P448">
        <f>HYPERLINK("https://knru.ru/catalog/bulvar-golovnina-d-4-1990318559/","ссылка")</f>
        <v/>
      </c>
      <c r="Q448" t="inlineStr"/>
      <c r="R448" t="inlineStr">
        <is>
          <t>Нет у нас</t>
        </is>
      </c>
      <c r="S448" t="n">
        <v>0</v>
      </c>
      <c r="T448" t="inlineStr">
        <is>
          <t>Совпадений по улице+дому не найдено</t>
        </is>
      </c>
      <c r="U448" t="n">
        <v>638</v>
      </c>
      <c r="V448" t="n">
        <v>27</v>
      </c>
      <c r="W448" t="n">
        <v>14</v>
      </c>
      <c r="X448" t="n">
        <v>32509054</v>
      </c>
      <c r="Y448" t="inlineStr"/>
      <c r="Z448" t="inlineStr"/>
      <c r="AA448" t="inlineStr">
        <is>
          <t>https://knru.ru/catalog/bulvar-golovnina-d-4-1990318559/</t>
        </is>
      </c>
      <c r="AB448" t="inlineStr">
        <is>
          <t>C</t>
        </is>
      </c>
    </row>
    <row r="449">
      <c r="A449" t="n">
        <v>639</v>
      </c>
      <c r="B449" t="n">
        <v>27</v>
      </c>
      <c r="C449" t="n">
        <v>15</v>
      </c>
      <c r="D449" t="n">
        <v>2138438542</v>
      </c>
      <c r="E449" t="inlineStr">
        <is>
          <t>Василеостровский</t>
        </is>
      </c>
      <c r="F449" t="inlineStr">
        <is>
          <t>Головнина б-р, 4</t>
        </is>
      </c>
      <c r="G449" t="n">
        <v>109.2</v>
      </c>
      <c r="H449" t="inlineStr">
        <is>
          <t>31 523 145</t>
        </is>
      </c>
      <c r="I449" t="inlineStr"/>
      <c r="J449" t="inlineStr"/>
      <c r="K449" t="inlineStr"/>
      <c r="L449" t="inlineStr"/>
      <c r="M449" t="inlineStr"/>
      <c r="N449" t="inlineStr">
        <is>
          <t>no</t>
        </is>
      </c>
      <c r="O449" t="inlineStr">
        <is>
          <t>none</t>
        </is>
      </c>
      <c r="P449">
        <f>HYPERLINK("https://knru.ru/catalog/bulvar-golovnina-d-4-2138438542/","ссылка")</f>
        <v/>
      </c>
      <c r="Q449" t="inlineStr"/>
      <c r="R449" t="inlineStr">
        <is>
          <t>Нет у нас</t>
        </is>
      </c>
      <c r="S449" t="n">
        <v>0</v>
      </c>
      <c r="T449" t="inlineStr">
        <is>
          <t>Совпадений по улице+дому не найдено</t>
        </is>
      </c>
      <c r="U449" t="n">
        <v>639</v>
      </c>
      <c r="V449" t="n">
        <v>27</v>
      </c>
      <c r="W449" t="n">
        <v>15</v>
      </c>
      <c r="X449" t="n">
        <v>31523145</v>
      </c>
      <c r="Y449" t="inlineStr"/>
      <c r="Z449" t="inlineStr"/>
      <c r="AA449" t="inlineStr">
        <is>
          <t>https://knru.ru/catalog/bulvar-golovnina-d-4-2138438542/</t>
        </is>
      </c>
      <c r="AB449" t="inlineStr">
        <is>
          <t>C</t>
        </is>
      </c>
    </row>
    <row r="450">
      <c r="A450" t="n">
        <v>641</v>
      </c>
      <c r="B450" t="n">
        <v>27</v>
      </c>
      <c r="C450" t="n">
        <v>17</v>
      </c>
      <c r="D450" t="n">
        <v>5</v>
      </c>
      <c r="E450" t="inlineStr">
        <is>
          <t>Фрунзенский</t>
        </is>
      </c>
      <c r="F450" t="inlineStr">
        <is>
          <t>Софийская ул, 6к5</t>
        </is>
      </c>
      <c r="G450" t="n">
        <v>294</v>
      </c>
      <c r="H450" t="inlineStr">
        <is>
          <t>39 500 000</t>
        </is>
      </c>
      <c r="I450" t="inlineStr"/>
      <c r="J450" t="inlineStr"/>
      <c r="K450" t="inlineStr"/>
      <c r="L450" t="inlineStr"/>
      <c r="M450" t="inlineStr"/>
      <c r="N450" t="inlineStr">
        <is>
          <t>no</t>
        </is>
      </c>
      <c r="O450" t="inlineStr">
        <is>
          <t>none</t>
        </is>
      </c>
      <c r="P450">
        <f>HYPERLINK("https://knru.ru/catalog/sofiyskaya-ul-d-6-k-5/","ссылка")</f>
        <v/>
      </c>
      <c r="Q450" t="inlineStr"/>
      <c r="R450" t="inlineStr">
        <is>
          <t>Нет у нас</t>
        </is>
      </c>
      <c r="S450" t="n">
        <v>0</v>
      </c>
      <c r="T450" t="inlineStr">
        <is>
          <t>Совпадений по улице+дому не найдено</t>
        </is>
      </c>
      <c r="U450" t="n">
        <v>641</v>
      </c>
      <c r="V450" t="n">
        <v>27</v>
      </c>
      <c r="W450" t="n">
        <v>17</v>
      </c>
      <c r="X450" t="n">
        <v>39500000</v>
      </c>
      <c r="Y450" t="inlineStr"/>
      <c r="Z450" t="inlineStr"/>
      <c r="AA450" t="inlineStr">
        <is>
          <t>https://knru.ru/catalog/sofiyskaya-ul-d-6-k-5/</t>
        </is>
      </c>
      <c r="AB450" t="inlineStr">
        <is>
          <t>C</t>
        </is>
      </c>
    </row>
    <row r="451">
      <c r="A451" t="n">
        <v>642</v>
      </c>
      <c r="B451" t="n">
        <v>27</v>
      </c>
      <c r="C451" t="n">
        <v>18</v>
      </c>
      <c r="D451" t="n">
        <v>24</v>
      </c>
      <c r="E451" t="inlineStr">
        <is>
          <t>Петроградский</t>
        </is>
      </c>
      <c r="F451" t="inlineStr">
        <is>
          <t>Константиновский пр-кт, 1/24 А</t>
        </is>
      </c>
      <c r="G451" t="n">
        <v>200</v>
      </c>
      <c r="H451" t="inlineStr">
        <is>
          <t>80 000 000</t>
        </is>
      </c>
      <c r="I451" t="inlineStr"/>
      <c r="J451" t="inlineStr"/>
      <c r="K451" t="inlineStr"/>
      <c r="L451" t="inlineStr"/>
      <c r="M451" t="inlineStr"/>
      <c r="N451" t="inlineStr">
        <is>
          <t>yes</t>
        </is>
      </c>
      <c r="O451" t="inlineStr">
        <is>
          <t>pixel_heuristic</t>
        </is>
      </c>
      <c r="P451">
        <f>HYPERLINK("https://knru.ru/catalog/konstantinovskiy-pr-d-1-24/","ссылка")</f>
        <v/>
      </c>
      <c r="Q451" t="inlineStr"/>
      <c r="R451" t="inlineStr">
        <is>
          <t>Нет у нас</t>
        </is>
      </c>
      <c r="S451" t="n">
        <v>0</v>
      </c>
      <c r="T451" t="inlineStr">
        <is>
          <t>Совпадений по улице+дому не найдено</t>
        </is>
      </c>
      <c r="U451" t="n">
        <v>642</v>
      </c>
      <c r="V451" t="n">
        <v>27</v>
      </c>
      <c r="W451" t="n">
        <v>18</v>
      </c>
      <c r="X451" t="n">
        <v>80000000</v>
      </c>
      <c r="Y451" t="inlineStr"/>
      <c r="Z451" t="inlineStr"/>
      <c r="AA451" t="inlineStr">
        <is>
          <t>https://knru.ru/catalog/konstantinovskiy-pr-d-1-24/</t>
        </is>
      </c>
      <c r="AB451" t="inlineStr">
        <is>
          <t>C</t>
        </is>
      </c>
    </row>
    <row r="452">
      <c r="A452" t="n">
        <v>643</v>
      </c>
      <c r="B452" t="n">
        <v>27</v>
      </c>
      <c r="C452" t="n">
        <v>19</v>
      </c>
      <c r="D452" t="n">
        <v>31</v>
      </c>
      <c r="E452" t="inlineStr">
        <is>
          <t>Приморский</t>
        </is>
      </c>
      <c r="F452" t="inlineStr">
        <is>
          <t>Глухарская ул, 31</t>
        </is>
      </c>
      <c r="G452" t="n">
        <v>66</v>
      </c>
      <c r="H452" t="inlineStr">
        <is>
          <t>24 262 478</t>
        </is>
      </c>
      <c r="I452" t="inlineStr"/>
      <c r="J452" t="inlineStr"/>
      <c r="K452" t="inlineStr"/>
      <c r="L452" t="inlineStr"/>
      <c r="M452" t="inlineStr"/>
      <c r="N452" t="inlineStr">
        <is>
          <t>no</t>
        </is>
      </c>
      <c r="O452" t="inlineStr">
        <is>
          <t>none</t>
        </is>
      </c>
      <c r="P452">
        <f>HYPERLINK("https://knru.ru/catalog/ul-glukharskaya-d-31/","ссылка")</f>
        <v/>
      </c>
      <c r="Q452" t="inlineStr"/>
      <c r="R452" t="inlineStr">
        <is>
          <t>Нет у нас</t>
        </is>
      </c>
      <c r="S452" t="n">
        <v>0</v>
      </c>
      <c r="T452" t="inlineStr">
        <is>
          <t>Совпадений по улице+дому не найдено</t>
        </is>
      </c>
      <c r="U452" t="n">
        <v>643</v>
      </c>
      <c r="V452" t="n">
        <v>27</v>
      </c>
      <c r="W452" t="n">
        <v>19</v>
      </c>
      <c r="X452" t="n">
        <v>24262478</v>
      </c>
      <c r="Y452" t="inlineStr"/>
      <c r="Z452" t="inlineStr"/>
      <c r="AA452" t="inlineStr">
        <is>
          <t>https://knru.ru/catalog/ul-glukharskaya-d-31/</t>
        </is>
      </c>
      <c r="AB452" t="inlineStr">
        <is>
          <t>C</t>
        </is>
      </c>
    </row>
    <row r="453">
      <c r="A453" t="n">
        <v>644</v>
      </c>
      <c r="B453" t="n">
        <v>27</v>
      </c>
      <c r="C453" t="n">
        <v>20</v>
      </c>
      <c r="D453" t="n">
        <v>817987774</v>
      </c>
      <c r="E453" t="inlineStr">
        <is>
          <t>Приморский</t>
        </is>
      </c>
      <c r="F453" t="inlineStr">
        <is>
          <t>Королёва пр-кт, 81</t>
        </is>
      </c>
      <c r="G453" t="n">
        <v>91.5</v>
      </c>
      <c r="H453" t="inlineStr">
        <is>
          <t>21 040 000</t>
        </is>
      </c>
      <c r="I453" t="inlineStr"/>
      <c r="J453" t="inlineStr"/>
      <c r="K453" t="inlineStr"/>
      <c r="L453" t="inlineStr"/>
      <c r="M453" t="inlineStr"/>
      <c r="N453" t="inlineStr">
        <is>
          <t>no</t>
        </is>
      </c>
      <c r="O453" t="inlineStr">
        <is>
          <t>none</t>
        </is>
      </c>
      <c r="P453">
        <f>HYPERLINK("https://knru.ru/catalog/pr-korolyeva-d-81-817987774/","ссылка")</f>
        <v/>
      </c>
      <c r="Q453" t="inlineStr"/>
      <c r="R453" t="inlineStr">
        <is>
          <t>Нет у нас</t>
        </is>
      </c>
      <c r="S453" t="n">
        <v>0</v>
      </c>
      <c r="T453" t="inlineStr">
        <is>
          <t>Совпадений по улице+дому не найдено</t>
        </is>
      </c>
      <c r="U453" t="n">
        <v>644</v>
      </c>
      <c r="V453" t="n">
        <v>27</v>
      </c>
      <c r="W453" t="n">
        <v>20</v>
      </c>
      <c r="X453" t="n">
        <v>21040000</v>
      </c>
      <c r="Y453" t="inlineStr"/>
      <c r="Z453" t="inlineStr"/>
      <c r="AA453" t="inlineStr">
        <is>
          <t>https://knru.ru/catalog/pr-korolyeva-d-81-817987774/</t>
        </is>
      </c>
      <c r="AB453" t="inlineStr">
        <is>
          <t>C</t>
        </is>
      </c>
    </row>
    <row r="454">
      <c r="A454" t="n">
        <v>645</v>
      </c>
      <c r="B454" t="n">
        <v>27</v>
      </c>
      <c r="C454" t="n">
        <v>21</v>
      </c>
      <c r="D454" t="n">
        <v>293522867</v>
      </c>
      <c r="E454" t="inlineStr">
        <is>
          <t>Приморский</t>
        </is>
      </c>
      <c r="F454" t="inlineStr">
        <is>
          <t>Королёва пр-кт, 81</t>
        </is>
      </c>
      <c r="G454" t="n">
        <v>63.9</v>
      </c>
      <c r="H454" t="inlineStr">
        <is>
          <t>16 614 000</t>
        </is>
      </c>
      <c r="I454" t="inlineStr"/>
      <c r="J454" t="inlineStr"/>
      <c r="K454" t="inlineStr"/>
      <c r="L454" t="inlineStr"/>
      <c r="M454" t="inlineStr"/>
      <c r="N454" t="inlineStr">
        <is>
          <t>no</t>
        </is>
      </c>
      <c r="O454" t="inlineStr">
        <is>
          <t>none</t>
        </is>
      </c>
      <c r="P454">
        <f>HYPERLINK("https://knru.ru/catalog/pr-korolyeva-d-81-293522867/","ссылка")</f>
        <v/>
      </c>
      <c r="Q454" t="inlineStr"/>
      <c r="R454" t="inlineStr">
        <is>
          <t>Нет у нас</t>
        </is>
      </c>
      <c r="S454" t="n">
        <v>0</v>
      </c>
      <c r="T454" t="inlineStr">
        <is>
          <t>Совпадений по улице+дому не найдено</t>
        </is>
      </c>
      <c r="U454" t="n">
        <v>645</v>
      </c>
      <c r="V454" t="n">
        <v>27</v>
      </c>
      <c r="W454" t="n">
        <v>21</v>
      </c>
      <c r="X454" t="n">
        <v>16614000</v>
      </c>
      <c r="Y454" t="inlineStr"/>
      <c r="Z454" t="inlineStr"/>
      <c r="AA454" t="inlineStr">
        <is>
          <t>https://knru.ru/catalog/pr-korolyeva-d-81-293522867/</t>
        </is>
      </c>
      <c r="AB454" t="inlineStr">
        <is>
          <t>C</t>
        </is>
      </c>
    </row>
    <row r="455">
      <c r="A455" t="n">
        <v>646</v>
      </c>
      <c r="B455" t="n">
        <v>27</v>
      </c>
      <c r="C455" t="n">
        <v>22</v>
      </c>
      <c r="D455" t="n">
        <v>773233835</v>
      </c>
      <c r="E455" t="inlineStr">
        <is>
          <t>Приморский</t>
        </is>
      </c>
      <c r="F455" t="inlineStr">
        <is>
          <t>Королёва пр-кт, 81</t>
        </is>
      </c>
      <c r="G455" t="n">
        <v>48.2</v>
      </c>
      <c r="H455" t="inlineStr">
        <is>
          <t>13 014 000</t>
        </is>
      </c>
      <c r="I455" t="inlineStr"/>
      <c r="J455" t="inlineStr"/>
      <c r="K455" t="inlineStr"/>
      <c r="L455" t="inlineStr"/>
      <c r="M455" t="inlineStr"/>
      <c r="N455" t="inlineStr">
        <is>
          <t>no</t>
        </is>
      </c>
      <c r="O455" t="inlineStr">
        <is>
          <t>none</t>
        </is>
      </c>
      <c r="P455">
        <f>HYPERLINK("https://knru.ru/catalog/pr-korolyeva-d-81-773233835/","ссылка")</f>
        <v/>
      </c>
      <c r="Q455" t="inlineStr"/>
      <c r="R455" t="inlineStr">
        <is>
          <t>Нет у нас</t>
        </is>
      </c>
      <c r="S455" t="n">
        <v>0</v>
      </c>
      <c r="T455" t="inlineStr">
        <is>
          <t>Совпадений по улице+дому не найдено</t>
        </is>
      </c>
      <c r="U455" t="n">
        <v>646</v>
      </c>
      <c r="V455" t="n">
        <v>27</v>
      </c>
      <c r="W455" t="n">
        <v>22</v>
      </c>
      <c r="X455" t="n">
        <v>13014000</v>
      </c>
      <c r="Y455" t="inlineStr"/>
      <c r="Z455" t="inlineStr"/>
      <c r="AA455" t="inlineStr">
        <is>
          <t>https://knru.ru/catalog/pr-korolyeva-d-81-773233835/</t>
        </is>
      </c>
      <c r="AB455" t="inlineStr">
        <is>
          <t>C</t>
        </is>
      </c>
    </row>
    <row r="456">
      <c r="A456" t="n">
        <v>647</v>
      </c>
      <c r="B456" t="n">
        <v>27</v>
      </c>
      <c r="C456" t="n">
        <v>23</v>
      </c>
      <c r="D456" t="n">
        <v>1443372955</v>
      </c>
      <c r="E456" t="inlineStr">
        <is>
          <t>Приморский</t>
        </is>
      </c>
      <c r="F456" t="inlineStr">
        <is>
          <t>Королёва пр-кт, 81</t>
        </is>
      </c>
      <c r="G456" t="n">
        <v>77.8</v>
      </c>
      <c r="H456" t="inlineStr">
        <is>
          <t>19 071 000</t>
        </is>
      </c>
      <c r="I456" t="inlineStr"/>
      <c r="J456" t="inlineStr"/>
      <c r="K456" t="inlineStr"/>
      <c r="L456" t="inlineStr"/>
      <c r="M456" t="inlineStr"/>
      <c r="N456" t="inlineStr">
        <is>
          <t>no</t>
        </is>
      </c>
      <c r="O456" t="inlineStr">
        <is>
          <t>none</t>
        </is>
      </c>
      <c r="P456">
        <f>HYPERLINK("https://knru.ru/catalog/pr-korolyeva-d-81-1443372955/","ссылка")</f>
        <v/>
      </c>
      <c r="Q456" t="inlineStr"/>
      <c r="R456" t="inlineStr">
        <is>
          <t>Нет у нас</t>
        </is>
      </c>
      <c r="S456" t="n">
        <v>0</v>
      </c>
      <c r="T456" t="inlineStr">
        <is>
          <t>Совпадений по улице+дому не найдено</t>
        </is>
      </c>
      <c r="U456" t="n">
        <v>647</v>
      </c>
      <c r="V456" t="n">
        <v>27</v>
      </c>
      <c r="W456" t="n">
        <v>23</v>
      </c>
      <c r="X456" t="n">
        <v>19071000</v>
      </c>
      <c r="Y456" t="inlineStr"/>
      <c r="Z456" t="inlineStr"/>
      <c r="AA456" t="inlineStr">
        <is>
          <t>https://knru.ru/catalog/pr-korolyeva-d-81-1443372955/</t>
        </is>
      </c>
      <c r="AB456" t="inlineStr">
        <is>
          <t>C</t>
        </is>
      </c>
    </row>
    <row r="457">
      <c r="A457" t="n">
        <v>648</v>
      </c>
      <c r="B457" t="n">
        <v>27</v>
      </c>
      <c r="C457" t="n">
        <v>24</v>
      </c>
      <c r="D457" t="n">
        <v>1621741099</v>
      </c>
      <c r="E457" t="inlineStr">
        <is>
          <t>Приморский</t>
        </is>
      </c>
      <c r="F457" t="inlineStr">
        <is>
          <t>Королёва пр-кт, 81</t>
        </is>
      </c>
      <c r="G457" t="n">
        <v>88.8</v>
      </c>
      <c r="H457" t="inlineStr">
        <is>
          <t>20 422 000</t>
        </is>
      </c>
      <c r="I457" t="inlineStr"/>
      <c r="J457" t="inlineStr"/>
      <c r="K457" t="inlineStr"/>
      <c r="L457" t="inlineStr"/>
      <c r="M457" t="inlineStr"/>
      <c r="N457" t="inlineStr">
        <is>
          <t>no</t>
        </is>
      </c>
      <c r="O457" t="inlineStr">
        <is>
          <t>none</t>
        </is>
      </c>
      <c r="P457">
        <f>HYPERLINK("https://knru.ru/catalog/pr-korolyeva-d-81-1621741099/","ссылка")</f>
        <v/>
      </c>
      <c r="Q457" t="inlineStr"/>
      <c r="R457" t="inlineStr">
        <is>
          <t>Нет у нас</t>
        </is>
      </c>
      <c r="S457" t="n">
        <v>0</v>
      </c>
      <c r="T457" t="inlineStr">
        <is>
          <t>Совпадений по улице+дому не найдено</t>
        </is>
      </c>
      <c r="U457" t="n">
        <v>648</v>
      </c>
      <c r="V457" t="n">
        <v>27</v>
      </c>
      <c r="W457" t="n">
        <v>24</v>
      </c>
      <c r="X457" t="n">
        <v>20422000</v>
      </c>
      <c r="Y457" t="inlineStr"/>
      <c r="Z457" t="inlineStr"/>
      <c r="AA457" t="inlineStr">
        <is>
          <t>https://knru.ru/catalog/pr-korolyeva-d-81-1621741099/</t>
        </is>
      </c>
      <c r="AB457" t="inlineStr">
        <is>
          <t>C</t>
        </is>
      </c>
    </row>
    <row r="458">
      <c r="A458" t="n">
        <v>649</v>
      </c>
      <c r="B458" t="n">
        <v>28</v>
      </c>
      <c r="C458" t="n">
        <v>1</v>
      </c>
      <c r="D458" t="n">
        <v>81</v>
      </c>
      <c r="E458" t="inlineStr">
        <is>
          <t>Приморский</t>
        </is>
      </c>
      <c r="F458" t="inlineStr">
        <is>
          <t>Королёва пр-кт, 81</t>
        </is>
      </c>
      <c r="G458" t="n">
        <v>75.2</v>
      </c>
      <c r="H458" t="inlineStr">
        <is>
          <t>17 301 000</t>
        </is>
      </c>
      <c r="I458" t="inlineStr"/>
      <c r="J458" t="inlineStr"/>
      <c r="K458" t="inlineStr"/>
      <c r="L458" t="inlineStr"/>
      <c r="M458" t="inlineStr"/>
      <c r="N458" t="inlineStr">
        <is>
          <t>no</t>
        </is>
      </c>
      <c r="O458" t="inlineStr">
        <is>
          <t>none</t>
        </is>
      </c>
      <c r="P458">
        <f>HYPERLINK("https://knru.ru/catalog/pr-korolyeva-d-81/","ссылка")</f>
        <v/>
      </c>
      <c r="Q458" t="inlineStr"/>
      <c r="R458" t="inlineStr">
        <is>
          <t>Нет у нас</t>
        </is>
      </c>
      <c r="S458" t="n">
        <v>0</v>
      </c>
      <c r="T458" t="inlineStr">
        <is>
          <t>Совпадений по улице+дому не найдено</t>
        </is>
      </c>
      <c r="U458" t="n">
        <v>649</v>
      </c>
      <c r="V458" t="n">
        <v>28</v>
      </c>
      <c r="W458" t="n">
        <v>1</v>
      </c>
      <c r="X458" t="n">
        <v>17301000</v>
      </c>
      <c r="Y458" t="inlineStr"/>
      <c r="Z458" t="inlineStr"/>
      <c r="AA458" t="inlineStr">
        <is>
          <t>https://knru.ru/catalog/pr-korolyeva-d-81/</t>
        </is>
      </c>
      <c r="AB458" t="inlineStr">
        <is>
          <t>C</t>
        </is>
      </c>
    </row>
    <row r="459">
      <c r="A459" t="n">
        <v>650</v>
      </c>
      <c r="B459" t="n">
        <v>28</v>
      </c>
      <c r="C459" t="n">
        <v>2</v>
      </c>
      <c r="D459" t="n">
        <v>1320239739</v>
      </c>
      <c r="E459" t="inlineStr">
        <is>
          <t>Московский</t>
        </is>
      </c>
      <c r="F459" t="inlineStr">
        <is>
          <t>ул Среднерогатская, к 2.1</t>
        </is>
      </c>
      <c r="G459" t="n">
        <v>145.8</v>
      </c>
      <c r="H459" t="inlineStr">
        <is>
          <t>70 382 092</t>
        </is>
      </c>
      <c r="I459" t="inlineStr"/>
      <c r="J459" t="inlineStr"/>
      <c r="K459" t="inlineStr"/>
      <c r="L459" t="inlineStr"/>
      <c r="M459" t="inlineStr"/>
      <c r="N459" t="inlineStr">
        <is>
          <t>yes</t>
        </is>
      </c>
      <c r="O459" t="inlineStr">
        <is>
          <t>pixel_heuristic</t>
        </is>
      </c>
      <c r="P459">
        <f>HYPERLINK("https://knru.ru/catalog/ul-srednerogatskaya-k-1-1-1320239739/","ссылка")</f>
        <v/>
      </c>
      <c r="Q459" t="inlineStr"/>
      <c r="R459" t="inlineStr">
        <is>
          <t>Нет у нас</t>
        </is>
      </c>
      <c r="S459" t="n">
        <v>0</v>
      </c>
      <c r="T459" t="inlineStr">
        <is>
          <t>Совпадений по улице+дому не найдено</t>
        </is>
      </c>
      <c r="U459" t="n">
        <v>650</v>
      </c>
      <c r="V459" t="n">
        <v>28</v>
      </c>
      <c r="W459" t="n">
        <v>2</v>
      </c>
      <c r="X459" t="n">
        <v>70382092</v>
      </c>
      <c r="Y459" t="inlineStr"/>
      <c r="Z459" t="inlineStr"/>
      <c r="AA459" t="inlineStr">
        <is>
          <t>https://knru.ru/catalog/ul-srednerogatskaya-k-1-1-1320239739/</t>
        </is>
      </c>
      <c r="AB459" t="inlineStr">
        <is>
          <t>C</t>
        </is>
      </c>
    </row>
    <row r="460">
      <c r="A460" t="n">
        <v>651</v>
      </c>
      <c r="B460" t="n">
        <v>28</v>
      </c>
      <c r="C460" t="n">
        <v>3</v>
      </c>
      <c r="D460" t="n">
        <v>2089164925</v>
      </c>
      <c r="E460" t="inlineStr">
        <is>
          <t>Московский</t>
        </is>
      </c>
      <c r="F460" t="inlineStr">
        <is>
          <t>ул Среднерогатская, к 2.1</t>
        </is>
      </c>
      <c r="G460" t="n">
        <v>119.1</v>
      </c>
      <c r="H460" t="inlineStr">
        <is>
          <t>57 776 961</t>
        </is>
      </c>
      <c r="I460" t="inlineStr"/>
      <c r="J460" t="inlineStr"/>
      <c r="K460" t="inlineStr"/>
      <c r="L460" t="inlineStr"/>
      <c r="M460" t="inlineStr"/>
      <c r="N460" t="inlineStr">
        <is>
          <t>yes</t>
        </is>
      </c>
      <c r="O460" t="inlineStr">
        <is>
          <t>pixel_heuristic</t>
        </is>
      </c>
      <c r="P460">
        <f>HYPERLINK("https://knru.ru/catalog/ul-srednerogatskaya-k-1-1-2089164925/","ссылка")</f>
        <v/>
      </c>
      <c r="Q460" t="inlineStr"/>
      <c r="R460" t="inlineStr">
        <is>
          <t>Нет у нас</t>
        </is>
      </c>
      <c r="S460" t="n">
        <v>0</v>
      </c>
      <c r="T460" t="inlineStr">
        <is>
          <t>Совпадений по улице+дому не найдено</t>
        </is>
      </c>
      <c r="U460" t="n">
        <v>651</v>
      </c>
      <c r="V460" t="n">
        <v>28</v>
      </c>
      <c r="W460" t="n">
        <v>3</v>
      </c>
      <c r="X460" t="n">
        <v>57776961</v>
      </c>
      <c r="Y460" t="inlineStr"/>
      <c r="Z460" t="inlineStr"/>
      <c r="AA460" t="inlineStr">
        <is>
          <t>https://knru.ru/catalog/ul-srednerogatskaya-k-1-1-2089164925/</t>
        </is>
      </c>
      <c r="AB460" t="inlineStr">
        <is>
          <t>C</t>
        </is>
      </c>
    </row>
    <row r="461">
      <c r="A461" t="n">
        <v>652</v>
      </c>
      <c r="B461" t="n">
        <v>28</v>
      </c>
      <c r="C461" t="n">
        <v>4</v>
      </c>
      <c r="D461" t="n">
        <v>1143618887</v>
      </c>
      <c r="E461" t="inlineStr">
        <is>
          <t>Московский</t>
        </is>
      </c>
      <c r="F461" t="inlineStr">
        <is>
          <t>ул Среднерогатская, к 2.1</t>
        </is>
      </c>
      <c r="G461" t="n">
        <v>116</v>
      </c>
      <c r="H461" t="inlineStr">
        <is>
          <t>55 742 822</t>
        </is>
      </c>
      <c r="I461" t="inlineStr"/>
      <c r="J461" t="inlineStr"/>
      <c r="K461" t="inlineStr"/>
      <c r="L461" t="inlineStr"/>
      <c r="M461" t="inlineStr"/>
      <c r="N461" t="inlineStr">
        <is>
          <t>yes</t>
        </is>
      </c>
      <c r="O461" t="inlineStr">
        <is>
          <t>pixel_heuristic</t>
        </is>
      </c>
      <c r="P461">
        <f>HYPERLINK("https://knru.ru/catalog/ul-srednerogatskaya-k-1-1-1143618887/","ссылка")</f>
        <v/>
      </c>
      <c r="Q461" t="inlineStr"/>
      <c r="R461" t="inlineStr">
        <is>
          <t>Нет у нас</t>
        </is>
      </c>
      <c r="S461" t="n">
        <v>0</v>
      </c>
      <c r="T461" t="inlineStr">
        <is>
          <t>Совпадений по улице+дому не найдено</t>
        </is>
      </c>
      <c r="U461" t="n">
        <v>652</v>
      </c>
      <c r="V461" t="n">
        <v>28</v>
      </c>
      <c r="W461" t="n">
        <v>4</v>
      </c>
      <c r="X461" t="n">
        <v>55742822</v>
      </c>
      <c r="Y461" t="inlineStr"/>
      <c r="Z461" t="inlineStr"/>
      <c r="AA461" t="inlineStr">
        <is>
          <t>https://knru.ru/catalog/ul-srednerogatskaya-k-1-1-1143618887/</t>
        </is>
      </c>
      <c r="AB461" t="inlineStr">
        <is>
          <t>C</t>
        </is>
      </c>
    </row>
    <row r="462">
      <c r="A462" t="n">
        <v>653</v>
      </c>
      <c r="B462" t="n">
        <v>28</v>
      </c>
      <c r="C462" t="n">
        <v>5</v>
      </c>
      <c r="D462" t="n">
        <v>1239691953</v>
      </c>
      <c r="E462" t="inlineStr">
        <is>
          <t>Московский</t>
        </is>
      </c>
      <c r="F462" t="inlineStr">
        <is>
          <t>ул Среднерогатская, к 2.1</t>
        </is>
      </c>
      <c r="G462" t="n">
        <v>86.3</v>
      </c>
      <c r="H462" t="inlineStr">
        <is>
          <t>41 740 036</t>
        </is>
      </c>
      <c r="I462" t="inlineStr"/>
      <c r="J462" t="inlineStr"/>
      <c r="K462" t="inlineStr"/>
      <c r="L462" t="inlineStr"/>
      <c r="M462" t="inlineStr"/>
      <c r="N462" t="inlineStr">
        <is>
          <t>yes</t>
        </is>
      </c>
      <c r="O462" t="inlineStr">
        <is>
          <t>pixel_heuristic</t>
        </is>
      </c>
      <c r="P462">
        <f>HYPERLINK("https://knru.ru/catalog/ul-srednerogatskaya-k-1-1-1239691953/","ссылка")</f>
        <v/>
      </c>
      <c r="Q462" t="inlineStr"/>
      <c r="R462" t="inlineStr">
        <is>
          <t>Нет у нас</t>
        </is>
      </c>
      <c r="S462" t="n">
        <v>0</v>
      </c>
      <c r="T462" t="inlineStr">
        <is>
          <t>Совпадений по улице+дому не найдено</t>
        </is>
      </c>
      <c r="U462" t="n">
        <v>653</v>
      </c>
      <c r="V462" t="n">
        <v>28</v>
      </c>
      <c r="W462" t="n">
        <v>5</v>
      </c>
      <c r="X462" t="n">
        <v>41740036</v>
      </c>
      <c r="Y462" t="inlineStr"/>
      <c r="Z462" t="inlineStr"/>
      <c r="AA462" t="inlineStr">
        <is>
          <t>https://knru.ru/catalog/ul-srednerogatskaya-k-1-1-1239691953/</t>
        </is>
      </c>
      <c r="AB462" t="inlineStr">
        <is>
          <t>C</t>
        </is>
      </c>
    </row>
    <row r="463">
      <c r="A463" t="n">
        <v>654</v>
      </c>
      <c r="B463" t="n">
        <v>28</v>
      </c>
      <c r="C463" t="n">
        <v>6</v>
      </c>
      <c r="D463" t="n">
        <v>1648097461</v>
      </c>
      <c r="E463" t="inlineStr">
        <is>
          <t>Василеостровский</t>
        </is>
      </c>
      <c r="F463" t="inlineStr">
        <is>
          <t>Парусная ул, к.4.1</t>
        </is>
      </c>
      <c r="G463" t="n">
        <v>97.59999999999999</v>
      </c>
      <c r="H463" t="inlineStr">
        <is>
          <t>39 040 000</t>
        </is>
      </c>
      <c r="I463" t="inlineStr"/>
      <c r="J463" t="inlineStr"/>
      <c r="K463" t="inlineStr"/>
      <c r="L463" t="inlineStr"/>
      <c r="M463" t="inlineStr"/>
      <c r="N463" t="inlineStr">
        <is>
          <t>no</t>
        </is>
      </c>
      <c r="O463" t="inlineStr">
        <is>
          <t>none</t>
        </is>
      </c>
      <c r="P463">
        <f>HYPERLINK("https://knru.ru/catalog/ul-parusnaya-k-4-1-1648097461/","ссылка")</f>
        <v/>
      </c>
      <c r="Q463" t="inlineStr"/>
      <c r="R463" t="inlineStr">
        <is>
          <t>Нет у нас</t>
        </is>
      </c>
      <c r="S463" t="n">
        <v>0</v>
      </c>
      <c r="T463" t="inlineStr">
        <is>
          <t>Совпадений по улице+дому не найдено</t>
        </is>
      </c>
      <c r="U463" t="n">
        <v>654</v>
      </c>
      <c r="V463" t="n">
        <v>28</v>
      </c>
      <c r="W463" t="n">
        <v>6</v>
      </c>
      <c r="X463" t="n">
        <v>39040000</v>
      </c>
      <c r="Y463" t="inlineStr"/>
      <c r="Z463" t="inlineStr"/>
      <c r="AA463" t="inlineStr">
        <is>
          <t>https://knru.ru/catalog/ul-parusnaya-k-4-1-1648097461/</t>
        </is>
      </c>
      <c r="AB463" t="inlineStr">
        <is>
          <t>C</t>
        </is>
      </c>
    </row>
    <row r="464">
      <c r="A464" t="n">
        <v>655</v>
      </c>
      <c r="B464" t="n">
        <v>28</v>
      </c>
      <c r="C464" t="n">
        <v>7</v>
      </c>
      <c r="D464" t="n">
        <v>353817264</v>
      </c>
      <c r="E464" t="inlineStr">
        <is>
          <t>Василеостровский</t>
        </is>
      </c>
      <c r="F464" t="inlineStr">
        <is>
          <t>Парусная ул, к.4.1</t>
        </is>
      </c>
      <c r="G464" t="n">
        <v>97.59999999999999</v>
      </c>
      <c r="H464" t="inlineStr">
        <is>
          <t>39 040 000</t>
        </is>
      </c>
      <c r="I464" t="inlineStr"/>
      <c r="J464" t="inlineStr"/>
      <c r="K464" t="inlineStr"/>
      <c r="L464" t="inlineStr"/>
      <c r="M464" t="inlineStr"/>
      <c r="N464" t="inlineStr">
        <is>
          <t>no</t>
        </is>
      </c>
      <c r="O464" t="inlineStr">
        <is>
          <t>none</t>
        </is>
      </c>
      <c r="P464">
        <f>HYPERLINK("https://knru.ru/catalog/ul-parusnaya-k-4-1-353817264/","ссылка")</f>
        <v/>
      </c>
      <c r="Q464" t="inlineStr"/>
      <c r="R464" t="inlineStr">
        <is>
          <t>Нет у нас</t>
        </is>
      </c>
      <c r="S464" t="n">
        <v>0</v>
      </c>
      <c r="T464" t="inlineStr">
        <is>
          <t>Совпадений по улице+дому не найдено</t>
        </is>
      </c>
      <c r="U464" t="n">
        <v>655</v>
      </c>
      <c r="V464" t="n">
        <v>28</v>
      </c>
      <c r="W464" t="n">
        <v>7</v>
      </c>
      <c r="X464" t="n">
        <v>39040000</v>
      </c>
      <c r="Y464" t="inlineStr"/>
      <c r="Z464" t="inlineStr"/>
      <c r="AA464" t="inlineStr">
        <is>
          <t>https://knru.ru/catalog/ul-parusnaya-k-4-1-353817264/</t>
        </is>
      </c>
      <c r="AB464" t="inlineStr">
        <is>
          <t>C</t>
        </is>
      </c>
    </row>
    <row r="465">
      <c r="A465" t="n">
        <v>656</v>
      </c>
      <c r="B465" t="n">
        <v>28</v>
      </c>
      <c r="C465" t="n">
        <v>8</v>
      </c>
      <c r="D465" t="n">
        <v>1917940599</v>
      </c>
      <c r="E465" t="inlineStr">
        <is>
          <t>Василеостровский</t>
        </is>
      </c>
      <c r="F465" t="inlineStr">
        <is>
          <t>Парусная ул, к.4.1</t>
        </is>
      </c>
      <c r="G465" t="n">
        <v>78.90000000000001</v>
      </c>
      <c r="H465" t="inlineStr">
        <is>
          <t>31 560 000</t>
        </is>
      </c>
      <c r="I465" t="inlineStr"/>
      <c r="J465" t="inlineStr"/>
      <c r="K465" t="inlineStr"/>
      <c r="L465" t="inlineStr"/>
      <c r="M465" t="inlineStr"/>
      <c r="N465" t="inlineStr">
        <is>
          <t>no</t>
        </is>
      </c>
      <c r="O465" t="inlineStr">
        <is>
          <t>none</t>
        </is>
      </c>
      <c r="P465">
        <f>HYPERLINK("https://knru.ru/catalog/ul-parusnaya-k-4-1-1917940599/","ссылка")</f>
        <v/>
      </c>
      <c r="Q465" t="inlineStr"/>
      <c r="R465" t="inlineStr">
        <is>
          <t>Нет у нас</t>
        </is>
      </c>
      <c r="S465" t="n">
        <v>0</v>
      </c>
      <c r="T465" t="inlineStr">
        <is>
          <t>Совпадений по улице+дому не найдено</t>
        </is>
      </c>
      <c r="U465" t="n">
        <v>656</v>
      </c>
      <c r="V465" t="n">
        <v>28</v>
      </c>
      <c r="W465" t="n">
        <v>8</v>
      </c>
      <c r="X465" t="n">
        <v>31560000</v>
      </c>
      <c r="Y465" t="inlineStr"/>
      <c r="Z465" t="inlineStr"/>
      <c r="AA465" t="inlineStr">
        <is>
          <t>https://knru.ru/catalog/ul-parusnaya-k-4-1-1917940599/</t>
        </is>
      </c>
      <c r="AB465" t="inlineStr">
        <is>
          <t>C</t>
        </is>
      </c>
    </row>
    <row r="466">
      <c r="A466" t="n">
        <v>657</v>
      </c>
      <c r="B466" t="n">
        <v>28</v>
      </c>
      <c r="C466" t="n">
        <v>9</v>
      </c>
      <c r="D466" t="n">
        <v>1</v>
      </c>
      <c r="E466" t="inlineStr">
        <is>
          <t>Василеостровский</t>
        </is>
      </c>
      <c r="F466" t="inlineStr">
        <is>
          <t>Парусная ул, к.4.1</t>
        </is>
      </c>
      <c r="G466" t="n">
        <v>78.8</v>
      </c>
      <c r="H466" t="inlineStr">
        <is>
          <t>31 520 000</t>
        </is>
      </c>
      <c r="I466" t="inlineStr"/>
      <c r="J466" t="inlineStr"/>
      <c r="K466" t="inlineStr"/>
      <c r="L466" t="inlineStr"/>
      <c r="M466" t="inlineStr"/>
      <c r="N466" t="inlineStr">
        <is>
          <t>no</t>
        </is>
      </c>
      <c r="O466" t="inlineStr">
        <is>
          <t>none</t>
        </is>
      </c>
      <c r="P466">
        <f>HYPERLINK("https://knru.ru/catalog/ul-parusnaya-k-4-1/","ссылка")</f>
        <v/>
      </c>
      <c r="Q466" t="inlineStr"/>
      <c r="R466" t="inlineStr">
        <is>
          <t>Нет у нас</t>
        </is>
      </c>
      <c r="S466" t="n">
        <v>0</v>
      </c>
      <c r="T466" t="inlineStr">
        <is>
          <t>Совпадений по улице+дому не найдено</t>
        </is>
      </c>
      <c r="U466" t="n">
        <v>657</v>
      </c>
      <c r="V466" t="n">
        <v>28</v>
      </c>
      <c r="W466" t="n">
        <v>9</v>
      </c>
      <c r="X466" t="n">
        <v>31520000</v>
      </c>
      <c r="Y466" t="inlineStr"/>
      <c r="Z466" t="inlineStr"/>
      <c r="AA466" t="inlineStr">
        <is>
          <t>https://knru.ru/catalog/ul-parusnaya-k-4-1/</t>
        </is>
      </c>
      <c r="AB466" t="inlineStr">
        <is>
          <t>C</t>
        </is>
      </c>
    </row>
    <row r="467">
      <c r="A467" t="n">
        <v>658</v>
      </c>
      <c r="B467" t="n">
        <v>28</v>
      </c>
      <c r="C467" t="n">
        <v>10</v>
      </c>
      <c r="D467" t="n">
        <v>1203216106</v>
      </c>
      <c r="E467" t="inlineStr">
        <is>
          <t>Василеостровский</t>
        </is>
      </c>
      <c r="F467" t="inlineStr">
        <is>
          <t>Масляный канал ул, 2</t>
        </is>
      </c>
      <c r="G467" t="n">
        <v>2257.2</v>
      </c>
      <c r="H467" t="inlineStr">
        <is>
          <t>225 000 000</t>
        </is>
      </c>
      <c r="I467" t="inlineStr"/>
      <c r="J467" t="inlineStr"/>
      <c r="K467" t="inlineStr"/>
      <c r="L467" t="inlineStr"/>
      <c r="M467" t="inlineStr"/>
      <c r="N467" t="inlineStr">
        <is>
          <t>no</t>
        </is>
      </c>
      <c r="O467" t="inlineStr">
        <is>
          <t>none</t>
        </is>
      </c>
      <c r="P467">
        <f>HYPERLINK("https://knru.ru/catalog/maslyanyy-kanal-1203216106/","ссылка")</f>
        <v/>
      </c>
      <c r="Q467" t="inlineStr"/>
      <c r="R467" t="inlineStr">
        <is>
          <t>Нет у нас</t>
        </is>
      </c>
      <c r="S467" t="n">
        <v>0</v>
      </c>
      <c r="T467" t="inlineStr">
        <is>
          <t>Совпадений по улице+дому не найдено</t>
        </is>
      </c>
      <c r="U467" t="n">
        <v>658</v>
      </c>
      <c r="V467" t="n">
        <v>28</v>
      </c>
      <c r="W467" t="n">
        <v>10</v>
      </c>
      <c r="X467" t="n">
        <v>225000000</v>
      </c>
      <c r="Y467" t="inlineStr"/>
      <c r="Z467" t="inlineStr"/>
      <c r="AA467" t="inlineStr">
        <is>
          <t>https://knru.ru/catalog/maslyanyy-kanal-1203216106/</t>
        </is>
      </c>
      <c r="AB467" t="inlineStr">
        <is>
          <t>C</t>
        </is>
      </c>
    </row>
    <row r="468">
      <c r="A468" t="n">
        <v>659</v>
      </c>
      <c r="B468" t="n">
        <v>28</v>
      </c>
      <c r="C468" t="n">
        <v>11</v>
      </c>
      <c r="D468" t="n">
        <v>522681519</v>
      </c>
      <c r="E468" t="inlineStr">
        <is>
          <t>Московский</t>
        </is>
      </c>
      <c r="F468" t="inlineStr">
        <is>
          <t>Коли Томчака ул, 3</t>
        </is>
      </c>
      <c r="G468" t="n">
        <v>68</v>
      </c>
      <c r="H468" t="inlineStr">
        <is>
          <t>34 000 000</t>
        </is>
      </c>
      <c r="I468" t="inlineStr"/>
      <c r="J468" t="inlineStr"/>
      <c r="K468" t="inlineStr"/>
      <c r="L468" t="inlineStr"/>
      <c r="M468" t="inlineStr"/>
      <c r="N468" t="inlineStr">
        <is>
          <t>no</t>
        </is>
      </c>
      <c r="O468" t="inlineStr">
        <is>
          <t>none</t>
        </is>
      </c>
      <c r="P468">
        <f>HYPERLINK("https://knru.ru/catalog/ul-koli-tomchaka-d-3-522681519/","ссылка")</f>
        <v/>
      </c>
      <c r="Q468" t="inlineStr"/>
      <c r="R468" t="inlineStr">
        <is>
          <t>Нет у нас</t>
        </is>
      </c>
      <c r="S468" t="n">
        <v>0</v>
      </c>
      <c r="T468" t="inlineStr">
        <is>
          <t>Совпадений по улице+дому не найдено</t>
        </is>
      </c>
      <c r="U468" t="n">
        <v>659</v>
      </c>
      <c r="V468" t="n">
        <v>28</v>
      </c>
      <c r="W468" t="n">
        <v>11</v>
      </c>
      <c r="X468" t="n">
        <v>34000000</v>
      </c>
      <c r="Y468" t="inlineStr"/>
      <c r="Z468" t="inlineStr"/>
      <c r="AA468" t="inlineStr">
        <is>
          <t>https://knru.ru/catalog/ul-koli-tomchaka-d-3-522681519/</t>
        </is>
      </c>
      <c r="AB468" t="inlineStr">
        <is>
          <t>C</t>
        </is>
      </c>
    </row>
    <row r="469">
      <c r="A469" t="n">
        <v>660</v>
      </c>
      <c r="B469" t="n">
        <v>28</v>
      </c>
      <c r="C469" t="n">
        <v>12</v>
      </c>
      <c r="D469" t="n">
        <v>210118573</v>
      </c>
      <c r="E469" t="inlineStr">
        <is>
          <t>Московский</t>
        </is>
      </c>
      <c r="F469" t="inlineStr">
        <is>
          <t>Коли Томчака ул, 3</t>
        </is>
      </c>
      <c r="G469" t="n">
        <v>46.8</v>
      </c>
      <c r="H469" t="inlineStr">
        <is>
          <t>23 400 000</t>
        </is>
      </c>
      <c r="I469" t="inlineStr"/>
      <c r="J469" t="inlineStr"/>
      <c r="K469" t="inlineStr"/>
      <c r="L469" t="inlineStr"/>
      <c r="M469" t="inlineStr"/>
      <c r="N469" t="inlineStr">
        <is>
          <t>no</t>
        </is>
      </c>
      <c r="O469" t="inlineStr">
        <is>
          <t>none</t>
        </is>
      </c>
      <c r="P469">
        <f>HYPERLINK("https://knru.ru/catalog/ul-koli-tomchaka-d-3-210118573/","ссылка")</f>
        <v/>
      </c>
      <c r="Q469" t="inlineStr"/>
      <c r="R469" t="inlineStr">
        <is>
          <t>Нет у нас</t>
        </is>
      </c>
      <c r="S469" t="n">
        <v>0</v>
      </c>
      <c r="T469" t="inlineStr">
        <is>
          <t>Совпадений по улице+дому не найдено</t>
        </is>
      </c>
      <c r="U469" t="n">
        <v>660</v>
      </c>
      <c r="V469" t="n">
        <v>28</v>
      </c>
      <c r="W469" t="n">
        <v>12</v>
      </c>
      <c r="X469" t="n">
        <v>23400000</v>
      </c>
      <c r="Y469" t="inlineStr"/>
      <c r="Z469" t="inlineStr"/>
      <c r="AA469" t="inlineStr">
        <is>
          <t>https://knru.ru/catalog/ul-koli-tomchaka-d-3-210118573/</t>
        </is>
      </c>
      <c r="AB469" t="inlineStr">
        <is>
          <t>C</t>
        </is>
      </c>
    </row>
    <row r="470">
      <c r="A470" t="n">
        <v>661</v>
      </c>
      <c r="B470" t="n">
        <v>28</v>
      </c>
      <c r="C470" t="n">
        <v>13</v>
      </c>
      <c r="D470" t="n">
        <v>3</v>
      </c>
      <c r="E470" t="inlineStr">
        <is>
          <t>Московский</t>
        </is>
      </c>
      <c r="F470" t="inlineStr">
        <is>
          <t>Коли Томчака ул, 3</t>
        </is>
      </c>
      <c r="G470" t="n">
        <v>54.4</v>
      </c>
      <c r="H470" t="inlineStr">
        <is>
          <t>27 200 000</t>
        </is>
      </c>
      <c r="I470" t="inlineStr"/>
      <c r="J470" t="inlineStr"/>
      <c r="K470" t="inlineStr"/>
      <c r="L470" t="inlineStr"/>
      <c r="M470" t="inlineStr"/>
      <c r="N470" t="inlineStr">
        <is>
          <t>no</t>
        </is>
      </c>
      <c r="O470" t="inlineStr">
        <is>
          <t>none</t>
        </is>
      </c>
      <c r="P470">
        <f>HYPERLINK("https://knru.ru/catalog/ul-koli-tomchaka-d-3/","ссылка")</f>
        <v/>
      </c>
      <c r="Q470" t="inlineStr"/>
      <c r="R470" t="inlineStr">
        <is>
          <t>Нет у нас</t>
        </is>
      </c>
      <c r="S470" t="n">
        <v>0</v>
      </c>
      <c r="T470" t="inlineStr">
        <is>
          <t>Совпадений по улице+дому не найдено</t>
        </is>
      </c>
      <c r="U470" t="n">
        <v>661</v>
      </c>
      <c r="V470" t="n">
        <v>28</v>
      </c>
      <c r="W470" t="n">
        <v>13</v>
      </c>
      <c r="X470" t="n">
        <v>27200000</v>
      </c>
      <c r="Y470" t="inlineStr"/>
      <c r="Z470" t="inlineStr"/>
      <c r="AA470" t="inlineStr">
        <is>
          <t>https://knru.ru/catalog/ul-koli-tomchaka-d-3/</t>
        </is>
      </c>
      <c r="AB470" t="inlineStr">
        <is>
          <t>C</t>
        </is>
      </c>
    </row>
    <row r="471">
      <c r="A471" t="n">
        <v>662</v>
      </c>
      <c r="B471" t="n">
        <v>28</v>
      </c>
      <c r="C471" t="n">
        <v>14</v>
      </c>
      <c r="D471" t="n">
        <v>1996925179</v>
      </c>
      <c r="E471" t="inlineStr">
        <is>
          <t>Выборгский</t>
        </is>
      </c>
      <c r="F471" t="inlineStr">
        <is>
          <t>Михайловская дор, к1</t>
        </is>
      </c>
      <c r="G471" t="n">
        <v>84.7</v>
      </c>
      <c r="H471" t="inlineStr">
        <is>
          <t>18 880 000</t>
        </is>
      </c>
      <c r="I471" t="inlineStr"/>
      <c r="J471" t="inlineStr"/>
      <c r="K471" t="inlineStr"/>
      <c r="L471" t="inlineStr"/>
      <c r="M471" t="inlineStr"/>
      <c r="N471" t="inlineStr">
        <is>
          <t>no</t>
        </is>
      </c>
      <c r="O471" t="inlineStr">
        <is>
          <t>none</t>
        </is>
      </c>
      <c r="P471">
        <f>HYPERLINK("https://knru.ru/catalog/pos-pargolovo-doroga-v-kamenku-k-5-1996925179/","ссылка")</f>
        <v/>
      </c>
      <c r="Q471" t="inlineStr"/>
      <c r="R471" t="inlineStr">
        <is>
          <t>Нет у нас</t>
        </is>
      </c>
      <c r="S471" t="n">
        <v>0</v>
      </c>
      <c r="T471" t="inlineStr">
        <is>
          <t>Совпадений по улице+дому не найдено</t>
        </is>
      </c>
      <c r="U471" t="n">
        <v>662</v>
      </c>
      <c r="V471" t="n">
        <v>28</v>
      </c>
      <c r="W471" t="n">
        <v>14</v>
      </c>
      <c r="X471" t="n">
        <v>18880000</v>
      </c>
      <c r="Y471" t="inlineStr"/>
      <c r="Z471" t="inlineStr"/>
      <c r="AA471" t="inlineStr">
        <is>
          <t>https://knru.ru/catalog/pos-pargolovo-doroga-v-kamenku-k-5-1996925179/</t>
        </is>
      </c>
      <c r="AB471" t="inlineStr">
        <is>
          <t>C</t>
        </is>
      </c>
    </row>
    <row r="472">
      <c r="A472" t="n">
        <v>663</v>
      </c>
      <c r="B472" t="n">
        <v>28</v>
      </c>
      <c r="C472" t="n">
        <v>15</v>
      </c>
      <c r="D472" t="n">
        <v>5</v>
      </c>
      <c r="E472" t="inlineStr">
        <is>
          <t>Выборгский</t>
        </is>
      </c>
      <c r="F472" t="inlineStr">
        <is>
          <t>Михайловская дор, к1</t>
        </is>
      </c>
      <c r="G472" t="n">
        <v>62</v>
      </c>
      <c r="H472" t="inlineStr">
        <is>
          <t>14 719 999</t>
        </is>
      </c>
      <c r="I472" t="inlineStr"/>
      <c r="J472" t="inlineStr"/>
      <c r="K472" t="inlineStr"/>
      <c r="L472" t="inlineStr"/>
      <c r="M472" t="inlineStr"/>
      <c r="N472" t="inlineStr">
        <is>
          <t>no</t>
        </is>
      </c>
      <c r="O472" t="inlineStr">
        <is>
          <t>none</t>
        </is>
      </c>
      <c r="P472">
        <f>HYPERLINK("https://knru.ru/catalog/pos-pargolovo-doroga-v-kamenku-k-5/","ссылка")</f>
        <v/>
      </c>
      <c r="Q472" t="inlineStr"/>
      <c r="R472" t="inlineStr">
        <is>
          <t>Нет у нас</t>
        </is>
      </c>
      <c r="S472" t="n">
        <v>0</v>
      </c>
      <c r="T472" t="inlineStr">
        <is>
          <t>Совпадений по улице+дому не найдено</t>
        </is>
      </c>
      <c r="U472" t="n">
        <v>663</v>
      </c>
      <c r="V472" t="n">
        <v>28</v>
      </c>
      <c r="W472" t="n">
        <v>15</v>
      </c>
      <c r="X472" t="n">
        <v>14719999</v>
      </c>
      <c r="Y472" t="inlineStr"/>
      <c r="Z472" t="inlineStr"/>
      <c r="AA472" t="inlineStr">
        <is>
          <t>https://knru.ru/catalog/pos-pargolovo-doroga-v-kamenku-k-5/</t>
        </is>
      </c>
      <c r="AB472" t="inlineStr">
        <is>
          <t>C</t>
        </is>
      </c>
    </row>
    <row r="473">
      <c r="A473" t="n">
        <v>664</v>
      </c>
      <c r="B473" t="n">
        <v>28</v>
      </c>
      <c r="C473" t="n">
        <v>16</v>
      </c>
      <c r="D473" t="inlineStr"/>
      <c r="E473" t="inlineStr">
        <is>
          <t>Центр</t>
        </is>
      </c>
      <c r="F473" t="inlineStr">
        <is>
          <t>Малая ул, 53а А</t>
        </is>
      </c>
      <c r="G473" t="n">
        <v>530</v>
      </c>
      <c r="H473" t="inlineStr">
        <is>
          <t>23 000 000</t>
        </is>
      </c>
      <c r="I473" t="inlineStr"/>
      <c r="J473" t="inlineStr"/>
      <c r="K473" t="inlineStr"/>
      <c r="L473" t="inlineStr"/>
      <c r="M473" t="inlineStr"/>
      <c r="N473" t="inlineStr">
        <is>
          <t>no</t>
        </is>
      </c>
      <c r="O473" t="inlineStr">
        <is>
          <t>none</t>
        </is>
      </c>
      <c r="P473">
        <f>HYPERLINK("https://knru.ru/catalog/malaya-ul-53a-a/","ссылка")</f>
        <v/>
      </c>
      <c r="Q473" t="inlineStr"/>
      <c r="R473" t="inlineStr">
        <is>
          <t>Нет у нас</t>
        </is>
      </c>
      <c r="S473" t="n">
        <v>0</v>
      </c>
      <c r="T473" t="inlineStr">
        <is>
          <t>Совпадений по улице+дому не найдено</t>
        </is>
      </c>
      <c r="U473" t="n">
        <v>664</v>
      </c>
      <c r="V473" t="n">
        <v>28</v>
      </c>
      <c r="W473" t="n">
        <v>16</v>
      </c>
      <c r="X473" t="n">
        <v>23000000</v>
      </c>
      <c r="Y473" t="inlineStr"/>
      <c r="Z473" t="inlineStr"/>
      <c r="AA473" t="inlineStr">
        <is>
          <t>https://knru.ru/catalog/malaya-ul-53a-a/</t>
        </is>
      </c>
      <c r="AB473" t="inlineStr">
        <is>
          <t>C</t>
        </is>
      </c>
    </row>
    <row r="474">
      <c r="A474" t="n">
        <v>665</v>
      </c>
      <c r="B474" t="n">
        <v>28</v>
      </c>
      <c r="C474" t="n">
        <v>17</v>
      </c>
      <c r="D474" t="n">
        <v>1731214469</v>
      </c>
      <c r="E474" t="inlineStr">
        <is>
          <t>Петроградский</t>
        </is>
      </c>
      <c r="F474" t="inlineStr">
        <is>
          <t>Реки Карповки наб, 31</t>
        </is>
      </c>
      <c r="G474" t="n">
        <v>305.6</v>
      </c>
      <c r="H474" t="inlineStr">
        <is>
          <t>110 016 000</t>
        </is>
      </c>
      <c r="I474" t="inlineStr"/>
      <c r="J474" t="inlineStr"/>
      <c r="K474" t="inlineStr"/>
      <c r="L474" t="inlineStr"/>
      <c r="M474" t="inlineStr"/>
      <c r="N474" t="inlineStr">
        <is>
          <t>no</t>
        </is>
      </c>
      <c r="O474" t="inlineStr">
        <is>
          <t>none</t>
        </is>
      </c>
      <c r="P474">
        <f>HYPERLINK("https://knru.ru/catalog/nab-reki-karpovki-d-31-1731214469/","ссылка")</f>
        <v/>
      </c>
      <c r="Q474" t="inlineStr"/>
      <c r="R474" t="inlineStr">
        <is>
          <t>Нет у нас</t>
        </is>
      </c>
      <c r="S474" t="n">
        <v>0</v>
      </c>
      <c r="T474" t="inlineStr">
        <is>
          <t>Совпадений по улице+дому не найдено</t>
        </is>
      </c>
      <c r="U474" t="n">
        <v>665</v>
      </c>
      <c r="V474" t="n">
        <v>28</v>
      </c>
      <c r="W474" t="n">
        <v>17</v>
      </c>
      <c r="X474" t="n">
        <v>110016000</v>
      </c>
      <c r="Y474" t="inlineStr"/>
      <c r="Z474" t="inlineStr"/>
      <c r="AA474" t="inlineStr">
        <is>
          <t>https://knru.ru/catalog/nab-reki-karpovki-d-31-1731214469/</t>
        </is>
      </c>
      <c r="AB474" t="inlineStr">
        <is>
          <t>C</t>
        </is>
      </c>
    </row>
    <row r="475">
      <c r="A475" t="n">
        <v>666</v>
      </c>
      <c r="B475" t="n">
        <v>28</v>
      </c>
      <c r="C475" t="n">
        <v>18</v>
      </c>
      <c r="D475" t="n">
        <v>812113528</v>
      </c>
      <c r="E475" t="inlineStr">
        <is>
          <t>Петроградский</t>
        </is>
      </c>
      <c r="F475" t="inlineStr">
        <is>
          <t>Реки Карповки наб, 31</t>
        </is>
      </c>
      <c r="G475" t="n">
        <v>172.1</v>
      </c>
      <c r="H475" t="inlineStr">
        <is>
          <t>63 677 000</t>
        </is>
      </c>
      <c r="I475" t="inlineStr"/>
      <c r="J475" t="inlineStr"/>
      <c r="K475" t="inlineStr"/>
      <c r="L475" t="inlineStr"/>
      <c r="M475" t="inlineStr"/>
      <c r="N475" t="inlineStr">
        <is>
          <t>no</t>
        </is>
      </c>
      <c r="O475" t="inlineStr">
        <is>
          <t>none</t>
        </is>
      </c>
      <c r="P475">
        <f>HYPERLINK("https://knru.ru/catalog/nab-reki-karpovki-d-31-812113528/","ссылка")</f>
        <v/>
      </c>
      <c r="Q475" t="inlineStr"/>
      <c r="R475" t="inlineStr">
        <is>
          <t>Нет у нас</t>
        </is>
      </c>
      <c r="S475" t="n">
        <v>0</v>
      </c>
      <c r="T475" t="inlineStr">
        <is>
          <t>Совпадений по улице+дому не найдено</t>
        </is>
      </c>
      <c r="U475" t="n">
        <v>666</v>
      </c>
      <c r="V475" t="n">
        <v>28</v>
      </c>
      <c r="W475" t="n">
        <v>18</v>
      </c>
      <c r="X475" t="n">
        <v>63677000</v>
      </c>
      <c r="Y475" t="inlineStr"/>
      <c r="Z475" t="inlineStr"/>
      <c r="AA475" t="inlineStr">
        <is>
          <t>https://knru.ru/catalog/nab-reki-karpovki-d-31-812113528/</t>
        </is>
      </c>
      <c r="AB475" t="inlineStr">
        <is>
          <t>C</t>
        </is>
      </c>
    </row>
    <row r="476">
      <c r="A476" t="n">
        <v>667</v>
      </c>
      <c r="B476" t="n">
        <v>28</v>
      </c>
      <c r="C476" t="n">
        <v>19</v>
      </c>
      <c r="D476" t="n">
        <v>1420508353</v>
      </c>
      <c r="E476" t="inlineStr">
        <is>
          <t>Петроградский</t>
        </is>
      </c>
      <c r="F476" t="inlineStr">
        <is>
          <t>Реки Карповки наб, 31</t>
        </is>
      </c>
      <c r="G476" t="n">
        <v>160</v>
      </c>
      <c r="H476" t="inlineStr">
        <is>
          <t>59 200 000</t>
        </is>
      </c>
      <c r="I476" t="inlineStr"/>
      <c r="J476" t="inlineStr"/>
      <c r="K476" t="inlineStr"/>
      <c r="L476" t="inlineStr"/>
      <c r="M476" t="inlineStr"/>
      <c r="N476" t="inlineStr">
        <is>
          <t>no</t>
        </is>
      </c>
      <c r="O476" t="inlineStr">
        <is>
          <t>none</t>
        </is>
      </c>
      <c r="P476">
        <f>HYPERLINK("https://knru.ru/catalog/nab-reki-karpovki-d-31-1420508353/","ссылка")</f>
        <v/>
      </c>
      <c r="Q476" t="inlineStr"/>
      <c r="R476" t="inlineStr">
        <is>
          <t>Нет у нас</t>
        </is>
      </c>
      <c r="S476" t="n">
        <v>0</v>
      </c>
      <c r="T476" t="inlineStr">
        <is>
          <t>Совпадений по улице+дому не найдено</t>
        </is>
      </c>
      <c r="U476" t="n">
        <v>667</v>
      </c>
      <c r="V476" t="n">
        <v>28</v>
      </c>
      <c r="W476" t="n">
        <v>19</v>
      </c>
      <c r="X476" t="n">
        <v>59200000</v>
      </c>
      <c r="Y476" t="inlineStr"/>
      <c r="Z476" t="inlineStr"/>
      <c r="AA476" t="inlineStr">
        <is>
          <t>https://knru.ru/catalog/nab-reki-karpovki-d-31-1420508353/</t>
        </is>
      </c>
      <c r="AB476" t="inlineStr">
        <is>
          <t>C</t>
        </is>
      </c>
    </row>
    <row r="477">
      <c r="A477" t="n">
        <v>668</v>
      </c>
      <c r="B477" t="n">
        <v>28</v>
      </c>
      <c r="C477" t="n">
        <v>20</v>
      </c>
      <c r="D477" t="n">
        <v>31</v>
      </c>
      <c r="E477" t="inlineStr">
        <is>
          <t>Петроградский</t>
        </is>
      </c>
      <c r="F477" t="inlineStr">
        <is>
          <t>Реки Карповки наб, 31</t>
        </is>
      </c>
      <c r="G477" t="n">
        <v>1186</v>
      </c>
      <c r="H477" t="inlineStr">
        <is>
          <t>446 770 000</t>
        </is>
      </c>
      <c r="I477" t="inlineStr"/>
      <c r="J477" t="inlineStr"/>
      <c r="K477" t="inlineStr"/>
      <c r="L477" t="inlineStr"/>
      <c r="M477" t="inlineStr"/>
      <c r="N477" t="inlineStr">
        <is>
          <t>no</t>
        </is>
      </c>
      <c r="O477" t="inlineStr">
        <is>
          <t>none</t>
        </is>
      </c>
      <c r="P477">
        <f>HYPERLINK("https://knru.ru/catalog/nab-reki-karpovki-d-31/","ссылка")</f>
        <v/>
      </c>
      <c r="Q477" t="inlineStr"/>
      <c r="R477" t="inlineStr">
        <is>
          <t>Нет у нас</t>
        </is>
      </c>
      <c r="S477" t="n">
        <v>0</v>
      </c>
      <c r="T477" t="inlineStr">
        <is>
          <t>Совпадений по улице+дому не найдено</t>
        </is>
      </c>
      <c r="U477" t="n">
        <v>668</v>
      </c>
      <c r="V477" t="n">
        <v>28</v>
      </c>
      <c r="W477" t="n">
        <v>20</v>
      </c>
      <c r="X477" t="n">
        <v>446770000</v>
      </c>
      <c r="Y477" t="inlineStr"/>
      <c r="Z477" t="inlineStr"/>
      <c r="AA477" t="inlineStr">
        <is>
          <t>https://knru.ru/catalog/nab-reki-karpovki-d-31/</t>
        </is>
      </c>
      <c r="AB477" t="inlineStr">
        <is>
          <t>C</t>
        </is>
      </c>
    </row>
    <row r="478">
      <c r="A478" t="n">
        <v>669</v>
      </c>
      <c r="B478" t="n">
        <v>28</v>
      </c>
      <c r="C478" t="n">
        <v>21</v>
      </c>
      <c r="D478" t="n">
        <v>1993742046</v>
      </c>
      <c r="E478" t="inlineStr">
        <is>
          <t>Невский</t>
        </is>
      </c>
      <c r="F478" t="inlineStr">
        <is>
          <t>Херсонский проезд, 6</t>
        </is>
      </c>
      <c r="G478" t="n">
        <v>85.3</v>
      </c>
      <c r="H478" t="inlineStr">
        <is>
          <t>38 148 000</t>
        </is>
      </c>
      <c r="I478" t="inlineStr"/>
      <c r="J478" t="inlineStr"/>
      <c r="K478" t="inlineStr"/>
      <c r="L478" t="inlineStr"/>
      <c r="M478" t="inlineStr"/>
      <c r="N478" t="inlineStr">
        <is>
          <t>yes</t>
        </is>
      </c>
      <c r="O478" t="inlineStr">
        <is>
          <t>pixel_heuristic</t>
        </is>
      </c>
      <c r="P478">
        <f>HYPERLINK("https://knru.ru/catalog/khersonskiy-proezd-d-6-1993742046/","ссылка")</f>
        <v/>
      </c>
      <c r="Q478" t="inlineStr"/>
      <c r="R478" t="inlineStr">
        <is>
          <t>Нет у нас</t>
        </is>
      </c>
      <c r="S478" t="n">
        <v>0</v>
      </c>
      <c r="T478" t="inlineStr">
        <is>
          <t>Совпадений по улице+дому не найдено</t>
        </is>
      </c>
      <c r="U478" t="n">
        <v>669</v>
      </c>
      <c r="V478" t="n">
        <v>28</v>
      </c>
      <c r="W478" t="n">
        <v>21</v>
      </c>
      <c r="X478" t="n">
        <v>38148000</v>
      </c>
      <c r="Y478" t="inlineStr"/>
      <c r="Z478" t="inlineStr"/>
      <c r="AA478" t="inlineStr">
        <is>
          <t>https://knru.ru/catalog/khersonskiy-proezd-d-6-1993742046/</t>
        </is>
      </c>
      <c r="AB478" t="inlineStr">
        <is>
          <t>C</t>
        </is>
      </c>
    </row>
    <row r="479">
      <c r="A479" t="n">
        <v>670</v>
      </c>
      <c r="B479" t="n">
        <v>28</v>
      </c>
      <c r="C479" t="n">
        <v>22</v>
      </c>
      <c r="D479" t="n">
        <v>1066584726</v>
      </c>
      <c r="E479" t="inlineStr">
        <is>
          <t>Невский</t>
        </is>
      </c>
      <c r="F479" t="inlineStr">
        <is>
          <t>Херсонский проезд, 6</t>
        </is>
      </c>
      <c r="G479" t="n">
        <v>94.3</v>
      </c>
      <c r="H479" t="inlineStr">
        <is>
          <t>43 065 000</t>
        </is>
      </c>
      <c r="I479" t="inlineStr"/>
      <c r="J479" t="inlineStr"/>
      <c r="K479" t="inlineStr"/>
      <c r="L479" t="inlineStr"/>
      <c r="M479" t="inlineStr"/>
      <c r="N479" t="inlineStr">
        <is>
          <t>yes</t>
        </is>
      </c>
      <c r="O479" t="inlineStr">
        <is>
          <t>pixel_heuristic</t>
        </is>
      </c>
      <c r="P479">
        <f>HYPERLINK("https://knru.ru/catalog/khersonskiy-proezd-d-6-1066584726/","ссылка")</f>
        <v/>
      </c>
      <c r="Q479" t="inlineStr"/>
      <c r="R479" t="inlineStr">
        <is>
          <t>Нет у нас</t>
        </is>
      </c>
      <c r="S479" t="n">
        <v>0</v>
      </c>
      <c r="T479" t="inlineStr">
        <is>
          <t>Совпадений по улице+дому не найдено</t>
        </is>
      </c>
      <c r="U479" t="n">
        <v>670</v>
      </c>
      <c r="V479" t="n">
        <v>28</v>
      </c>
      <c r="W479" t="n">
        <v>22</v>
      </c>
      <c r="X479" t="n">
        <v>43065000</v>
      </c>
      <c r="Y479" t="inlineStr"/>
      <c r="Z479" t="inlineStr"/>
      <c r="AA479" t="inlineStr">
        <is>
          <t>https://knru.ru/catalog/khersonskiy-proezd-d-6-1066584726/</t>
        </is>
      </c>
      <c r="AB479" t="inlineStr">
        <is>
          <t>C</t>
        </is>
      </c>
    </row>
    <row r="480">
      <c r="A480" t="n">
        <v>673</v>
      </c>
      <c r="B480" t="n">
        <v>29</v>
      </c>
      <c r="C480" t="n">
        <v>1</v>
      </c>
      <c r="D480" t="inlineStr"/>
      <c r="E480" t="inlineStr"/>
      <c r="F480" t="inlineStr">
        <is>
          <t>9-й Верхний пер</t>
        </is>
      </c>
      <c r="G480" t="n">
        <v>88000</v>
      </c>
      <c r="H480" t="inlineStr">
        <is>
          <t>750 000 000</t>
        </is>
      </c>
      <c r="I480" t="inlineStr"/>
      <c r="J480" t="inlineStr"/>
      <c r="K480" t="inlineStr"/>
      <c r="L480" t="inlineStr"/>
      <c r="M480" t="inlineStr"/>
      <c r="N480" t="inlineStr">
        <is>
          <t>no</t>
        </is>
      </c>
      <c r="O480" t="inlineStr">
        <is>
          <t>none</t>
        </is>
      </c>
      <c r="P480">
        <f>HYPERLINK("https://knru.ru/catalog/9-y-verkhniy-per/","ссылка")</f>
        <v/>
      </c>
      <c r="Q480" t="inlineStr"/>
      <c r="R480" t="inlineStr">
        <is>
          <t>Нет у нас</t>
        </is>
      </c>
      <c r="S480" t="n">
        <v>0</v>
      </c>
      <c r="T480" t="inlineStr">
        <is>
          <t>Совпадений по улице+дому не найдено</t>
        </is>
      </c>
      <c r="U480" t="n">
        <v>673</v>
      </c>
      <c r="V480" t="n">
        <v>29</v>
      </c>
      <c r="W480" t="n">
        <v>1</v>
      </c>
      <c r="X480" t="n">
        <v>750000000</v>
      </c>
      <c r="Y480" t="inlineStr"/>
      <c r="Z480" t="inlineStr"/>
      <c r="AA480" t="inlineStr">
        <is>
          <t>https://knru.ru/catalog/9-y-verkhniy-per/</t>
        </is>
      </c>
      <c r="AB480" t="inlineStr">
        <is>
          <t>C</t>
        </is>
      </c>
    </row>
    <row r="481">
      <c r="A481" t="n">
        <v>674</v>
      </c>
      <c r="B481" t="n">
        <v>29</v>
      </c>
      <c r="C481" t="n">
        <v>2</v>
      </c>
      <c r="D481" t="inlineStr"/>
      <c r="E481" t="inlineStr">
        <is>
          <t>Парголово</t>
        </is>
      </c>
      <c r="F481" t="inlineStr">
        <is>
          <t>9-й Верхний пер, нет</t>
        </is>
      </c>
      <c r="G481" t="n">
        <v>88000</v>
      </c>
      <c r="H481" t="inlineStr">
        <is>
          <t>750 000 000</t>
        </is>
      </c>
      <c r="I481" t="inlineStr"/>
      <c r="J481" t="inlineStr"/>
      <c r="K481" t="inlineStr"/>
      <c r="L481" t="inlineStr"/>
      <c r="M481" t="inlineStr"/>
      <c r="N481" t="inlineStr">
        <is>
          <t>no</t>
        </is>
      </c>
      <c r="O481" t="inlineStr">
        <is>
          <t>none</t>
        </is>
      </c>
      <c r="P481">
        <f>HYPERLINK("https://knru.ru/catalog/pos-bugry-9-y-verkhniy-per/","ссылка")</f>
        <v/>
      </c>
      <c r="Q481" t="inlineStr"/>
      <c r="R481" t="inlineStr">
        <is>
          <t>Нет у нас</t>
        </is>
      </c>
      <c r="S481" t="n">
        <v>0</v>
      </c>
      <c r="T481" t="inlineStr">
        <is>
          <t>Совпадений по улице+дому не найдено</t>
        </is>
      </c>
      <c r="U481" t="n">
        <v>674</v>
      </c>
      <c r="V481" t="n">
        <v>29</v>
      </c>
      <c r="W481" t="n">
        <v>2</v>
      </c>
      <c r="X481" t="n">
        <v>750000000</v>
      </c>
      <c r="Y481" t="inlineStr"/>
      <c r="Z481" t="inlineStr"/>
      <c r="AA481" t="inlineStr">
        <is>
          <t>https://knru.ru/catalog/pos-bugry-9-y-verkhniy-per/</t>
        </is>
      </c>
      <c r="AB481" t="inlineStr">
        <is>
          <t>C</t>
        </is>
      </c>
    </row>
    <row r="482">
      <c r="A482" t="n">
        <v>678</v>
      </c>
      <c r="B482" t="n">
        <v>29</v>
      </c>
      <c r="C482" t="n">
        <v>6</v>
      </c>
      <c r="D482" t="n">
        <v>17</v>
      </c>
      <c r="E482" t="inlineStr">
        <is>
          <t>Всеволожский</t>
        </is>
      </c>
      <c r="F482" t="inlineStr">
        <is>
          <t>Воронцовский б-р, 17</t>
        </is>
      </c>
      <c r="G482" t="n">
        <v>89</v>
      </c>
      <c r="H482" t="inlineStr">
        <is>
          <t>44 800 000</t>
        </is>
      </c>
      <c r="I482" t="inlineStr"/>
      <c r="J482" t="inlineStr"/>
      <c r="K482" t="inlineStr"/>
      <c r="L482" t="inlineStr"/>
      <c r="M482" t="inlineStr"/>
      <c r="N482" t="inlineStr">
        <is>
          <t>yes</t>
        </is>
      </c>
      <c r="O482" t="inlineStr">
        <is>
          <t>pixel_heuristic</t>
        </is>
      </c>
      <c r="P482">
        <f>HYPERLINK("https://knru.ru/catalog/bul-vorontsovskiy-d-17/","ссылка")</f>
        <v/>
      </c>
      <c r="Q482" t="inlineStr"/>
      <c r="R482" t="inlineStr">
        <is>
          <t>Нет у нас</t>
        </is>
      </c>
      <c r="S482" t="n">
        <v>0</v>
      </c>
      <c r="T482" t="inlineStr">
        <is>
          <t>Совпадений по улице+дому не найдено</t>
        </is>
      </c>
      <c r="U482" t="n">
        <v>678</v>
      </c>
      <c r="V482" t="n">
        <v>29</v>
      </c>
      <c r="W482" t="n">
        <v>6</v>
      </c>
      <c r="X482" t="n">
        <v>44800000</v>
      </c>
      <c r="Y482" t="inlineStr"/>
      <c r="Z482" t="inlineStr"/>
      <c r="AA482" t="inlineStr">
        <is>
          <t>https://knru.ru/catalog/bul-vorontsovskiy-d-17/</t>
        </is>
      </c>
      <c r="AB482" t="inlineStr">
        <is>
          <t>C</t>
        </is>
      </c>
    </row>
    <row r="483">
      <c r="A483" t="n">
        <v>679</v>
      </c>
      <c r="B483" t="n">
        <v>29</v>
      </c>
      <c r="C483" t="n">
        <v>7</v>
      </c>
      <c r="D483" t="inlineStr"/>
      <c r="E483" t="inlineStr">
        <is>
          <t>Василеостровский</t>
        </is>
      </c>
      <c r="F483" t="inlineStr">
        <is>
          <t>Средний В.О. пр-кт, 75Б</t>
        </is>
      </c>
      <c r="G483" t="n">
        <v>475</v>
      </c>
      <c r="H483" t="inlineStr">
        <is>
          <t>85 000 000</t>
        </is>
      </c>
      <c r="I483" t="inlineStr"/>
      <c r="J483" t="inlineStr"/>
      <c r="K483" t="inlineStr"/>
      <c r="L483" t="inlineStr"/>
      <c r="M483" t="inlineStr"/>
      <c r="N483" t="inlineStr">
        <is>
          <t>no</t>
        </is>
      </c>
      <c r="O483" t="inlineStr">
        <is>
          <t>none</t>
        </is>
      </c>
      <c r="P483">
        <f>HYPERLINK("https://knru.ru/catalog/sredniy-pr-v-o-d-75b/","ссылка")</f>
        <v/>
      </c>
      <c r="Q483" t="inlineStr"/>
      <c r="R483" t="inlineStr">
        <is>
          <t>Нет у нас</t>
        </is>
      </c>
      <c r="S483" t="n">
        <v>0</v>
      </c>
      <c r="T483" t="inlineStr">
        <is>
          <t>Совпадений по улице+дому не найдено</t>
        </is>
      </c>
      <c r="U483" t="n">
        <v>679</v>
      </c>
      <c r="V483" t="n">
        <v>29</v>
      </c>
      <c r="W483" t="n">
        <v>7</v>
      </c>
      <c r="X483" t="n">
        <v>85000000</v>
      </c>
      <c r="Y483" t="inlineStr"/>
      <c r="Z483" t="inlineStr"/>
      <c r="AA483" t="inlineStr">
        <is>
          <t>https://knru.ru/catalog/sredniy-pr-v-o-d-75b/</t>
        </is>
      </c>
      <c r="AB483" t="inlineStr">
        <is>
          <t>C</t>
        </is>
      </c>
    </row>
    <row r="484">
      <c r="A484" t="n">
        <v>680</v>
      </c>
      <c r="B484" t="n">
        <v>29</v>
      </c>
      <c r="C484" t="n">
        <v>8</v>
      </c>
      <c r="D484" t="n">
        <v>2</v>
      </c>
      <c r="E484" t="inlineStr">
        <is>
          <t>Выборгский</t>
        </is>
      </c>
      <c r="F484" t="inlineStr">
        <is>
          <t>Смолячкова ул, 12к2</t>
        </is>
      </c>
      <c r="G484" t="n">
        <v>145</v>
      </c>
      <c r="H484" t="inlineStr">
        <is>
          <t>29 000 000</t>
        </is>
      </c>
      <c r="I484" t="inlineStr"/>
      <c r="J484" t="inlineStr"/>
      <c r="K484" t="inlineStr"/>
      <c r="L484" t="inlineStr"/>
      <c r="M484" t="inlineStr"/>
      <c r="N484" t="inlineStr">
        <is>
          <t>no</t>
        </is>
      </c>
      <c r="O484" t="inlineStr">
        <is>
          <t>none</t>
        </is>
      </c>
      <c r="P484">
        <f>HYPERLINK("https://knru.ru/catalog/ul-smolyachkova-d-12-korp-2/","ссылка")</f>
        <v/>
      </c>
      <c r="Q484" t="inlineStr"/>
      <c r="R484" t="inlineStr">
        <is>
          <t>Нет у нас</t>
        </is>
      </c>
      <c r="S484" t="n">
        <v>0</v>
      </c>
      <c r="T484" t="inlineStr">
        <is>
          <t>Совпадений по улице+дому не найдено</t>
        </is>
      </c>
      <c r="U484" t="n">
        <v>680</v>
      </c>
      <c r="V484" t="n">
        <v>29</v>
      </c>
      <c r="W484" t="n">
        <v>8</v>
      </c>
      <c r="X484" t="n">
        <v>29000000</v>
      </c>
      <c r="Y484" t="inlineStr"/>
      <c r="Z484" t="inlineStr"/>
      <c r="AA484" t="inlineStr">
        <is>
          <t>https://knru.ru/catalog/ul-smolyachkova-d-12-korp-2/</t>
        </is>
      </c>
      <c r="AB484" t="inlineStr">
        <is>
          <t>C</t>
        </is>
      </c>
    </row>
    <row r="485">
      <c r="A485" t="n">
        <v>681</v>
      </c>
      <c r="B485" t="n">
        <v>29</v>
      </c>
      <c r="C485" t="n">
        <v>9</v>
      </c>
      <c r="D485" t="n">
        <v>3</v>
      </c>
      <c r="E485" t="inlineStr">
        <is>
          <t>Василеостровский</t>
        </is>
      </c>
      <c r="F485" t="inlineStr">
        <is>
          <t>Александра Грина б-р, 3</t>
        </is>
      </c>
      <c r="G485" t="n">
        <v>23</v>
      </c>
      <c r="H485" t="inlineStr">
        <is>
          <t>18 920 000</t>
        </is>
      </c>
      <c r="I485" t="inlineStr"/>
      <c r="J485" t="inlineStr"/>
      <c r="K485" t="inlineStr"/>
      <c r="L485" t="inlineStr"/>
      <c r="M485" t="inlineStr"/>
      <c r="N485" t="inlineStr">
        <is>
          <t>no</t>
        </is>
      </c>
      <c r="O485" t="inlineStr">
        <is>
          <t>none</t>
        </is>
      </c>
      <c r="P485">
        <f>HYPERLINK("https://knru.ru/catalog/aleksandra-grina-b-r-3/","ссылка")</f>
        <v/>
      </c>
      <c r="Q485" t="inlineStr"/>
      <c r="R485" t="inlineStr">
        <is>
          <t>Нет у нас</t>
        </is>
      </c>
      <c r="S485" t="n">
        <v>0</v>
      </c>
      <c r="T485" t="inlineStr">
        <is>
          <t>Совпадений по улице+дому не найдено</t>
        </is>
      </c>
      <c r="U485" t="n">
        <v>681</v>
      </c>
      <c r="V485" t="n">
        <v>29</v>
      </c>
      <c r="W485" t="n">
        <v>9</v>
      </c>
      <c r="X485" t="n">
        <v>18920000</v>
      </c>
      <c r="Y485" t="inlineStr"/>
      <c r="Z485" t="inlineStr"/>
      <c r="AA485" t="inlineStr">
        <is>
          <t>https://knru.ru/catalog/aleksandra-grina-b-r-3/</t>
        </is>
      </c>
      <c r="AB485" t="inlineStr">
        <is>
          <t>C</t>
        </is>
      </c>
    </row>
    <row r="486">
      <c r="A486" t="n">
        <v>682</v>
      </c>
      <c r="B486" t="n">
        <v>29</v>
      </c>
      <c r="C486" t="n">
        <v>10</v>
      </c>
      <c r="D486" t="n">
        <v>4</v>
      </c>
      <c r="E486" t="inlineStr">
        <is>
          <t>Невский</t>
        </is>
      </c>
      <c r="F486" t="inlineStr">
        <is>
          <t>Крыленко ул, 6к4стр1</t>
        </is>
      </c>
      <c r="G486" t="n">
        <v>185</v>
      </c>
      <c r="H486" t="inlineStr">
        <is>
          <t>70 000 000</t>
        </is>
      </c>
      <c r="I486" t="inlineStr"/>
      <c r="J486" t="inlineStr"/>
      <c r="K486" t="inlineStr"/>
      <c r="L486" t="inlineStr"/>
      <c r="M486" t="inlineStr"/>
      <c r="N486" t="inlineStr">
        <is>
          <t>no</t>
        </is>
      </c>
      <c r="O486" t="inlineStr">
        <is>
          <t>none</t>
        </is>
      </c>
      <c r="P486">
        <f>HYPERLINK("https://knru.ru/catalog/ul-krylenko-d-6-k-4/","ссылка")</f>
        <v/>
      </c>
      <c r="Q486" t="inlineStr"/>
      <c r="R486" t="inlineStr">
        <is>
          <t>Нет у нас</t>
        </is>
      </c>
      <c r="S486" t="n">
        <v>0</v>
      </c>
      <c r="T486" t="inlineStr">
        <is>
          <t>Совпадений по улице+дому не найдено</t>
        </is>
      </c>
      <c r="U486" t="n">
        <v>682</v>
      </c>
      <c r="V486" t="n">
        <v>29</v>
      </c>
      <c r="W486" t="n">
        <v>10</v>
      </c>
      <c r="X486" t="n">
        <v>70000000</v>
      </c>
      <c r="Y486" t="inlineStr"/>
      <c r="Z486" t="inlineStr"/>
      <c r="AA486" t="inlineStr">
        <is>
          <t>https://knru.ru/catalog/ul-krylenko-d-6-k-4/</t>
        </is>
      </c>
      <c r="AB486" t="inlineStr">
        <is>
          <t>C</t>
        </is>
      </c>
    </row>
    <row r="487">
      <c r="A487" t="n">
        <v>683</v>
      </c>
      <c r="B487" t="n">
        <v>29</v>
      </c>
      <c r="C487" t="n">
        <v>11</v>
      </c>
      <c r="D487" t="n">
        <v>1401686407</v>
      </c>
      <c r="E487" t="inlineStr"/>
      <c r="F487" t="inlineStr">
        <is>
          <t>Солнечная ул, 2</t>
        </is>
      </c>
      <c r="G487" t="n">
        <v>128</v>
      </c>
      <c r="H487" t="inlineStr">
        <is>
          <t>38 121 600</t>
        </is>
      </c>
      <c r="I487" t="inlineStr"/>
      <c r="J487" t="inlineStr"/>
      <c r="K487" t="inlineStr"/>
      <c r="L487" t="inlineStr"/>
      <c r="M487" t="inlineStr"/>
      <c r="N487" t="inlineStr">
        <is>
          <t>no</t>
        </is>
      </c>
      <c r="O487" t="inlineStr">
        <is>
          <t>none</t>
        </is>
      </c>
      <c r="P487">
        <f>HYPERLINK("https://knru.ru/catalog/kudrovo-solnechnaya-ul-d-2-1401686407/","ссылка")</f>
        <v/>
      </c>
      <c r="Q487" t="inlineStr"/>
      <c r="R487" t="inlineStr">
        <is>
          <t>Нет у нас</t>
        </is>
      </c>
      <c r="S487" t="n">
        <v>0</v>
      </c>
      <c r="T487" t="inlineStr">
        <is>
          <t>Совпадений по улице+дому не найдено</t>
        </is>
      </c>
      <c r="U487" t="n">
        <v>683</v>
      </c>
      <c r="V487" t="n">
        <v>29</v>
      </c>
      <c r="W487" t="n">
        <v>11</v>
      </c>
      <c r="X487" t="n">
        <v>38121600</v>
      </c>
      <c r="Y487" t="inlineStr"/>
      <c r="Z487" t="inlineStr"/>
      <c r="AA487" t="inlineStr">
        <is>
          <t>https://knru.ru/catalog/kudrovo-solnechnaya-ul-d-2-1401686407/</t>
        </is>
      </c>
      <c r="AB487" t="inlineStr">
        <is>
          <t>C</t>
        </is>
      </c>
    </row>
    <row r="488">
      <c r="A488" t="n">
        <v>684</v>
      </c>
      <c r="B488" t="n">
        <v>29</v>
      </c>
      <c r="C488" t="n">
        <v>12</v>
      </c>
      <c r="D488" t="n">
        <v>123938366</v>
      </c>
      <c r="E488" t="inlineStr"/>
      <c r="F488" t="inlineStr">
        <is>
          <t>Солнечная ул, 2</t>
        </is>
      </c>
      <c r="G488" t="n">
        <v>52.7</v>
      </c>
      <c r="H488" t="inlineStr">
        <is>
          <t>16 640 295</t>
        </is>
      </c>
      <c r="I488" t="inlineStr"/>
      <c r="J488" t="inlineStr"/>
      <c r="K488" t="inlineStr"/>
      <c r="L488" t="inlineStr"/>
      <c r="M488" t="inlineStr"/>
      <c r="N488" t="inlineStr">
        <is>
          <t>no</t>
        </is>
      </c>
      <c r="O488" t="inlineStr">
        <is>
          <t>none</t>
        </is>
      </c>
      <c r="P488">
        <f>HYPERLINK("https://knru.ru/catalog/kudrovo-solnechnaya-ul-d-2-123938366/","ссылка")</f>
        <v/>
      </c>
      <c r="Q488" t="inlineStr"/>
      <c r="R488" t="inlineStr">
        <is>
          <t>Нет у нас</t>
        </is>
      </c>
      <c r="S488" t="n">
        <v>0</v>
      </c>
      <c r="T488" t="inlineStr">
        <is>
          <t>Совпадений по улице+дому не найдено</t>
        </is>
      </c>
      <c r="U488" t="n">
        <v>684</v>
      </c>
      <c r="V488" t="n">
        <v>29</v>
      </c>
      <c r="W488" t="n">
        <v>12</v>
      </c>
      <c r="X488" t="n">
        <v>16640295</v>
      </c>
      <c r="Y488" t="inlineStr"/>
      <c r="Z488" t="inlineStr"/>
      <c r="AA488" t="inlineStr">
        <is>
          <t>https://knru.ru/catalog/kudrovo-solnechnaya-ul-d-2-123938366/</t>
        </is>
      </c>
      <c r="AB488" t="inlineStr">
        <is>
          <t>C</t>
        </is>
      </c>
    </row>
    <row r="489">
      <c r="A489" t="n">
        <v>687</v>
      </c>
      <c r="B489" t="n">
        <v>29</v>
      </c>
      <c r="C489" t="n">
        <v>15</v>
      </c>
      <c r="D489" t="n">
        <v>574272400</v>
      </c>
      <c r="E489" t="inlineStr">
        <is>
          <t>Всеволожский</t>
        </is>
      </c>
      <c r="F489" t="inlineStr">
        <is>
          <t>ЖК Мурино III, к. 2.2</t>
        </is>
      </c>
      <c r="G489" t="n">
        <v>133.2</v>
      </c>
      <c r="H489" t="inlineStr">
        <is>
          <t>47 973 600</t>
        </is>
      </c>
      <c r="I489" t="inlineStr"/>
      <c r="J489" t="inlineStr"/>
      <c r="K489" t="inlineStr"/>
      <c r="L489" t="inlineStr"/>
      <c r="M489" t="inlineStr"/>
      <c r="N489" t="inlineStr">
        <is>
          <t>no</t>
        </is>
      </c>
      <c r="O489" t="inlineStr">
        <is>
          <t>none</t>
        </is>
      </c>
      <c r="P489">
        <f>HYPERLINK("https://knru.ru/catalog/zhk-murino-iii-k-2-2-574272400/","ссылка")</f>
        <v/>
      </c>
      <c r="Q489" t="inlineStr"/>
      <c r="R489" t="inlineStr">
        <is>
          <t>Нет у нас</t>
        </is>
      </c>
      <c r="S489" t="n">
        <v>0</v>
      </c>
      <c r="T489" t="inlineStr">
        <is>
          <t>Совпадений по улице+дому не найдено</t>
        </is>
      </c>
      <c r="U489" t="n">
        <v>687</v>
      </c>
      <c r="V489" t="n">
        <v>29</v>
      </c>
      <c r="W489" t="n">
        <v>15</v>
      </c>
      <c r="X489" t="n">
        <v>47973600</v>
      </c>
      <c r="Y489" t="inlineStr"/>
      <c r="Z489" t="inlineStr"/>
      <c r="AA489" t="inlineStr">
        <is>
          <t>https://knru.ru/catalog/zhk-murino-iii-k-2-2-574272400/</t>
        </is>
      </c>
      <c r="AB489" t="inlineStr">
        <is>
          <t>C</t>
        </is>
      </c>
    </row>
    <row r="490">
      <c r="A490" t="n">
        <v>688</v>
      </c>
      <c r="B490" t="n">
        <v>29</v>
      </c>
      <c r="C490" t="n">
        <v>16</v>
      </c>
      <c r="D490" t="n">
        <v>425703499</v>
      </c>
      <c r="E490" t="inlineStr">
        <is>
          <t>Всеволожский</t>
        </is>
      </c>
      <c r="F490" t="inlineStr">
        <is>
          <t>ЖК Мурино III, к. 1.1</t>
        </is>
      </c>
      <c r="G490" t="n">
        <v>67</v>
      </c>
      <c r="H490" t="inlineStr">
        <is>
          <t>24 138 000</t>
        </is>
      </c>
      <c r="I490" t="inlineStr"/>
      <c r="J490" t="inlineStr"/>
      <c r="K490" t="inlineStr"/>
      <c r="L490" t="inlineStr"/>
      <c r="M490" t="inlineStr"/>
      <c r="N490" t="inlineStr">
        <is>
          <t>no</t>
        </is>
      </c>
      <c r="O490" t="inlineStr">
        <is>
          <t>none</t>
        </is>
      </c>
      <c r="P490">
        <f>HYPERLINK("https://knru.ru/catalog/zhk-murino-iii-k-2-2-425703499/","ссылка")</f>
        <v/>
      </c>
      <c r="Q490" t="inlineStr"/>
      <c r="R490" t="inlineStr">
        <is>
          <t>Нет у нас</t>
        </is>
      </c>
      <c r="S490" t="n">
        <v>0</v>
      </c>
      <c r="T490" t="inlineStr">
        <is>
          <t>Совпадений по улице+дому не найдено</t>
        </is>
      </c>
      <c r="U490" t="n">
        <v>688</v>
      </c>
      <c r="V490" t="n">
        <v>29</v>
      </c>
      <c r="W490" t="n">
        <v>16</v>
      </c>
      <c r="X490" t="n">
        <v>24138000</v>
      </c>
      <c r="Y490" t="inlineStr"/>
      <c r="Z490" t="inlineStr"/>
      <c r="AA490" t="inlineStr">
        <is>
          <t>https://knru.ru/catalog/zhk-murino-iii-k-2-2-425703499/</t>
        </is>
      </c>
      <c r="AB490" t="inlineStr">
        <is>
          <t>C</t>
        </is>
      </c>
    </row>
    <row r="491">
      <c r="A491" t="n">
        <v>689</v>
      </c>
      <c r="B491" t="n">
        <v>29</v>
      </c>
      <c r="C491" t="n">
        <v>17</v>
      </c>
      <c r="D491" t="n">
        <v>2</v>
      </c>
      <c r="E491" t="inlineStr">
        <is>
          <t>Всеволожский</t>
        </is>
      </c>
      <c r="F491" t="inlineStr">
        <is>
          <t>ЖК Мурино III, к. 1.1</t>
        </is>
      </c>
      <c r="G491" t="n">
        <v>66.2</v>
      </c>
      <c r="H491" t="inlineStr">
        <is>
          <t>23 835 600</t>
        </is>
      </c>
      <c r="I491" t="inlineStr"/>
      <c r="J491" t="inlineStr"/>
      <c r="K491" t="inlineStr"/>
      <c r="L491" t="inlineStr"/>
      <c r="M491" t="inlineStr"/>
      <c r="N491" t="inlineStr">
        <is>
          <t>no</t>
        </is>
      </c>
      <c r="O491" t="inlineStr">
        <is>
          <t>none</t>
        </is>
      </c>
      <c r="P491">
        <f>HYPERLINK("https://knru.ru/catalog/zhk-murino-iii-k-2-2/","ссылка")</f>
        <v/>
      </c>
      <c r="Q491" t="inlineStr"/>
      <c r="R491" t="inlineStr">
        <is>
          <t>Нет у нас</t>
        </is>
      </c>
      <c r="S491" t="n">
        <v>0</v>
      </c>
      <c r="T491" t="inlineStr">
        <is>
          <t>Совпадений по улице+дому не найдено</t>
        </is>
      </c>
      <c r="U491" t="n">
        <v>689</v>
      </c>
      <c r="V491" t="n">
        <v>29</v>
      </c>
      <c r="W491" t="n">
        <v>17</v>
      </c>
      <c r="X491" t="n">
        <v>23835600</v>
      </c>
      <c r="Y491" t="inlineStr"/>
      <c r="Z491" t="inlineStr"/>
      <c r="AA491" t="inlineStr">
        <is>
          <t>https://knru.ru/catalog/zhk-murino-iii-k-2-2/</t>
        </is>
      </c>
      <c r="AB491" t="inlineStr">
        <is>
          <t>C</t>
        </is>
      </c>
    </row>
    <row r="492">
      <c r="A492" t="n">
        <v>690</v>
      </c>
      <c r="B492" t="n">
        <v>29</v>
      </c>
      <c r="C492" t="n">
        <v>18</v>
      </c>
      <c r="D492" t="inlineStr"/>
      <c r="E492" t="inlineStr">
        <is>
          <t>Всеволожский</t>
        </is>
      </c>
      <c r="F492" t="inlineStr">
        <is>
          <t>ЖК Мурино III, к. 1.1</t>
        </is>
      </c>
      <c r="G492" t="n">
        <v>48.3</v>
      </c>
      <c r="H492" t="inlineStr">
        <is>
          <t>15 945 600</t>
        </is>
      </c>
      <c r="I492" t="inlineStr"/>
      <c r="J492" t="inlineStr"/>
      <c r="K492" t="inlineStr"/>
      <c r="L492" t="inlineStr"/>
      <c r="M492" t="inlineStr"/>
      <c r="N492" t="inlineStr">
        <is>
          <t>no</t>
        </is>
      </c>
      <c r="O492" t="inlineStr">
        <is>
          <t>none</t>
        </is>
      </c>
      <c r="P492">
        <f>HYPERLINK("https://knru.ru/catalog/zhk-murino-iii/","ссылка")</f>
        <v/>
      </c>
      <c r="Q492" t="inlineStr"/>
      <c r="R492" t="inlineStr">
        <is>
          <t>Нет у нас</t>
        </is>
      </c>
      <c r="S492" t="n">
        <v>0</v>
      </c>
      <c r="T492" t="inlineStr">
        <is>
          <t>Совпадений по улице+дому не найдено</t>
        </is>
      </c>
      <c r="U492" t="n">
        <v>690</v>
      </c>
      <c r="V492" t="n">
        <v>29</v>
      </c>
      <c r="W492" t="n">
        <v>18</v>
      </c>
      <c r="X492" t="n">
        <v>15945600</v>
      </c>
      <c r="Y492" t="inlineStr"/>
      <c r="Z492" t="inlineStr"/>
      <c r="AA492" t="inlineStr">
        <is>
          <t>https://knru.ru/catalog/zhk-murino-iii/</t>
        </is>
      </c>
      <c r="AB492" t="inlineStr">
        <is>
          <t>C</t>
        </is>
      </c>
    </row>
    <row r="493">
      <c r="A493" t="n">
        <v>693</v>
      </c>
      <c r="B493" t="n">
        <v>29</v>
      </c>
      <c r="C493" t="n">
        <v>21</v>
      </c>
      <c r="D493" t="n">
        <v>1358210894</v>
      </c>
      <c r="E493" t="inlineStr"/>
      <c r="F493" t="inlineStr">
        <is>
          <t>Ясная ул, 9к2</t>
        </is>
      </c>
      <c r="G493" t="n">
        <v>131.3</v>
      </c>
      <c r="H493" t="inlineStr">
        <is>
          <t>20 750 000</t>
        </is>
      </c>
      <c r="I493" t="inlineStr"/>
      <c r="J493" t="inlineStr"/>
      <c r="K493" t="inlineStr"/>
      <c r="L493" t="inlineStr"/>
      <c r="M493" t="inlineStr"/>
      <c r="N493" t="inlineStr">
        <is>
          <t>no</t>
        </is>
      </c>
      <c r="O493" t="inlineStr">
        <is>
          <t>none</t>
        </is>
      </c>
      <c r="P493">
        <f>HYPERLINK("https://knru.ru/catalog/tsvetnoy-bulvar-d-9-k-1-1358210894/","ссылка")</f>
        <v/>
      </c>
      <c r="Q493" t="inlineStr"/>
      <c r="R493" t="inlineStr">
        <is>
          <t>Нет у нас</t>
        </is>
      </c>
      <c r="S493" t="n">
        <v>0</v>
      </c>
      <c r="T493" t="inlineStr">
        <is>
          <t>Совпадений по улице+дому не найдено</t>
        </is>
      </c>
      <c r="U493" t="n">
        <v>693</v>
      </c>
      <c r="V493" t="n">
        <v>29</v>
      </c>
      <c r="W493" t="n">
        <v>21</v>
      </c>
      <c r="X493" t="n">
        <v>20750000</v>
      </c>
      <c r="Y493" t="inlineStr"/>
      <c r="Z493" t="inlineStr"/>
      <c r="AA493" t="inlineStr">
        <is>
          <t>https://knru.ru/catalog/tsvetnoy-bulvar-d-9-k-1-1358210894/</t>
        </is>
      </c>
      <c r="AB493" t="inlineStr">
        <is>
          <t>C</t>
        </is>
      </c>
    </row>
    <row r="494">
      <c r="A494" t="n">
        <v>694</v>
      </c>
      <c r="B494" t="n">
        <v>29</v>
      </c>
      <c r="C494" t="n">
        <v>22</v>
      </c>
      <c r="D494" t="n">
        <v>1255335473</v>
      </c>
      <c r="E494" t="inlineStr"/>
      <c r="F494" t="inlineStr">
        <is>
          <t>Ясная ул, 9к2</t>
        </is>
      </c>
      <c r="G494" t="n">
        <v>172</v>
      </c>
      <c r="H494" t="inlineStr">
        <is>
          <t>27 150 000</t>
        </is>
      </c>
      <c r="I494" t="inlineStr"/>
      <c r="J494" t="inlineStr"/>
      <c r="K494" t="inlineStr"/>
      <c r="L494" t="inlineStr"/>
      <c r="M494" t="inlineStr"/>
      <c r="N494" t="inlineStr">
        <is>
          <t>no</t>
        </is>
      </c>
      <c r="O494" t="inlineStr">
        <is>
          <t>none</t>
        </is>
      </c>
      <c r="P494">
        <f>HYPERLINK("https://knru.ru/catalog/tsvetnoy-bulvar-d-9-k-1-1255335473/","ссылка")</f>
        <v/>
      </c>
      <c r="Q494" t="inlineStr"/>
      <c r="R494" t="inlineStr">
        <is>
          <t>Нет у нас</t>
        </is>
      </c>
      <c r="S494" t="n">
        <v>0</v>
      </c>
      <c r="T494" t="inlineStr">
        <is>
          <t>Совпадений по улице+дому не найдено</t>
        </is>
      </c>
      <c r="U494" t="n">
        <v>694</v>
      </c>
      <c r="V494" t="n">
        <v>29</v>
      </c>
      <c r="W494" t="n">
        <v>22</v>
      </c>
      <c r="X494" t="n">
        <v>27150000</v>
      </c>
      <c r="Y494" t="inlineStr"/>
      <c r="Z494" t="inlineStr"/>
      <c r="AA494" t="inlineStr">
        <is>
          <t>https://knru.ru/catalog/tsvetnoy-bulvar-d-9-k-1-1255335473/</t>
        </is>
      </c>
      <c r="AB494" t="inlineStr">
        <is>
          <t>C</t>
        </is>
      </c>
    </row>
    <row r="495">
      <c r="A495" t="n">
        <v>697</v>
      </c>
      <c r="B495" t="n">
        <v>30</v>
      </c>
      <c r="C495" t="n">
        <v>1</v>
      </c>
      <c r="D495" t="inlineStr"/>
      <c r="E495" t="inlineStr">
        <is>
          <t>Всеволожский</t>
        </is>
      </c>
      <c r="F495" t="inlineStr">
        <is>
          <t>Овцинская ул, 70</t>
        </is>
      </c>
      <c r="G495" t="n">
        <v>950</v>
      </c>
      <c r="H495" t="inlineStr">
        <is>
          <t>195 000 000</t>
        </is>
      </c>
      <c r="I495" t="inlineStr"/>
      <c r="J495" t="inlineStr"/>
      <c r="K495" t="inlineStr"/>
      <c r="L495" t="inlineStr"/>
      <c r="M495" t="inlineStr"/>
      <c r="N495" t="inlineStr">
        <is>
          <t>no</t>
        </is>
      </c>
      <c r="O495" t="inlineStr">
        <is>
          <t>none</t>
        </is>
      </c>
      <c r="P495">
        <f>HYPERLINK("https://knru.ru/catalog/l-o-gp-im-sverdlova-ul-ovtsinskaya-d-70b/","ссылка")</f>
        <v/>
      </c>
      <c r="Q495" t="inlineStr"/>
      <c r="R495" t="inlineStr">
        <is>
          <t>Нет у нас</t>
        </is>
      </c>
      <c r="S495" t="n">
        <v>0</v>
      </c>
      <c r="T495" t="inlineStr">
        <is>
          <t>Совпадений по улице+дому не найдено</t>
        </is>
      </c>
      <c r="U495" t="n">
        <v>697</v>
      </c>
      <c r="V495" t="n">
        <v>30</v>
      </c>
      <c r="W495" t="n">
        <v>1</v>
      </c>
      <c r="X495" t="n">
        <v>195000000</v>
      </c>
      <c r="Y495" t="inlineStr"/>
      <c r="Z495" t="inlineStr"/>
      <c r="AA495" t="inlineStr">
        <is>
          <t>https://knru.ru/catalog/l-o-gp-im-sverdlova-ul-ovtsinskaya-d-70b/</t>
        </is>
      </c>
      <c r="AB495" t="inlineStr">
        <is>
          <t>C</t>
        </is>
      </c>
    </row>
    <row r="496">
      <c r="A496" t="n">
        <v>699</v>
      </c>
      <c r="B496" t="n">
        <v>30</v>
      </c>
      <c r="C496" t="n">
        <v>3</v>
      </c>
      <c r="D496" t="n">
        <v>129</v>
      </c>
      <c r="E496" t="inlineStr">
        <is>
          <t>Приморский</t>
        </is>
      </c>
      <c r="F496" t="inlineStr">
        <is>
          <t>Лахтинский пр-кт, 129 А</t>
        </is>
      </c>
      <c r="G496" t="n">
        <v>946</v>
      </c>
      <c r="H496" t="inlineStr">
        <is>
          <t>245 000 000</t>
        </is>
      </c>
      <c r="I496" t="inlineStr"/>
      <c r="J496" t="inlineStr"/>
      <c r="K496" t="inlineStr"/>
      <c r="L496" t="inlineStr"/>
      <c r="M496" t="inlineStr"/>
      <c r="N496" t="inlineStr">
        <is>
          <t>no</t>
        </is>
      </c>
      <c r="O496" t="inlineStr">
        <is>
          <t>none</t>
        </is>
      </c>
      <c r="P496">
        <f>HYPERLINK("https://knru.ru/catalog/lakhtinskiy-pr-d-129/","ссылка")</f>
        <v/>
      </c>
      <c r="Q496" t="inlineStr"/>
      <c r="R496" t="inlineStr">
        <is>
          <t>Нет у нас</t>
        </is>
      </c>
      <c r="S496" t="n">
        <v>0</v>
      </c>
      <c r="T496" t="inlineStr">
        <is>
          <t>Совпадений по улице+дому не найдено</t>
        </is>
      </c>
      <c r="U496" t="n">
        <v>699</v>
      </c>
      <c r="V496" t="n">
        <v>30</v>
      </c>
      <c r="W496" t="n">
        <v>3</v>
      </c>
      <c r="X496" t="n">
        <v>245000000</v>
      </c>
      <c r="Y496" t="inlineStr"/>
      <c r="Z496" t="inlineStr"/>
      <c r="AA496" t="inlineStr">
        <is>
          <t>https://knru.ru/catalog/lakhtinskiy-pr-d-129/</t>
        </is>
      </c>
      <c r="AB496" t="inlineStr">
        <is>
          <t>C</t>
        </is>
      </c>
    </row>
    <row r="497">
      <c r="A497" t="n">
        <v>700</v>
      </c>
      <c r="B497" t="n">
        <v>30</v>
      </c>
      <c r="C497" t="n">
        <v>4</v>
      </c>
      <c r="D497" t="n">
        <v>131</v>
      </c>
      <c r="E497" t="inlineStr">
        <is>
          <t>Приморский</t>
        </is>
      </c>
      <c r="F497" t="inlineStr">
        <is>
          <t>Лахтинский пр-кт, 131 А</t>
        </is>
      </c>
      <c r="G497" t="n">
        <v>844</v>
      </c>
      <c r="H497" t="inlineStr">
        <is>
          <t>230 000 000</t>
        </is>
      </c>
      <c r="I497" t="inlineStr"/>
      <c r="J497" t="inlineStr"/>
      <c r="K497" t="inlineStr"/>
      <c r="L497" t="inlineStr"/>
      <c r="M497" t="inlineStr"/>
      <c r="N497" t="inlineStr">
        <is>
          <t>no</t>
        </is>
      </c>
      <c r="O497" t="inlineStr">
        <is>
          <t>none</t>
        </is>
      </c>
      <c r="P497">
        <f>HYPERLINK("https://knru.ru/catalog/lakhtinskiy-pr-d-131/","ссылка")</f>
        <v/>
      </c>
      <c r="Q497" t="inlineStr"/>
      <c r="R497" t="inlineStr">
        <is>
          <t>Нет у нас</t>
        </is>
      </c>
      <c r="S497" t="n">
        <v>0</v>
      </c>
      <c r="T497" t="inlineStr">
        <is>
          <t>Совпадений по улице+дому не найдено</t>
        </is>
      </c>
      <c r="U497" t="n">
        <v>700</v>
      </c>
      <c r="V497" t="n">
        <v>30</v>
      </c>
      <c r="W497" t="n">
        <v>4</v>
      </c>
      <c r="X497" t="n">
        <v>230000000</v>
      </c>
      <c r="Y497" t="inlineStr"/>
      <c r="Z497" t="inlineStr"/>
      <c r="AA497" t="inlineStr">
        <is>
          <t>https://knru.ru/catalog/lakhtinskiy-pr-d-131/</t>
        </is>
      </c>
      <c r="AB497" t="inlineStr">
        <is>
          <t>C</t>
        </is>
      </c>
    </row>
    <row r="498">
      <c r="A498" t="n">
        <v>702</v>
      </c>
      <c r="B498" t="n">
        <v>30</v>
      </c>
      <c r="C498" t="n">
        <v>6</v>
      </c>
      <c r="D498" t="n">
        <v>1540263492</v>
      </c>
      <c r="E498" t="inlineStr">
        <is>
          <t>Выборгский</t>
        </is>
      </c>
      <c r="F498" t="inlineStr">
        <is>
          <t>Энгельса пр-кт, 124к1 А</t>
        </is>
      </c>
      <c r="G498" t="n">
        <v>498</v>
      </c>
      <c r="H498" t="inlineStr">
        <is>
          <t>75 000 000</t>
        </is>
      </c>
      <c r="I498" t="inlineStr"/>
      <c r="J498" t="inlineStr"/>
      <c r="K498" t="inlineStr"/>
      <c r="L498" t="inlineStr"/>
      <c r="M498" t="inlineStr"/>
      <c r="N498" t="inlineStr">
        <is>
          <t>no</t>
        </is>
      </c>
      <c r="O498" t="inlineStr">
        <is>
          <t>none</t>
        </is>
      </c>
      <c r="P498">
        <f>HYPERLINK("https://knru.ru/catalog/pr-engelsa-d-124-k-1-1540263492/","ссылка")</f>
        <v/>
      </c>
      <c r="Q498" t="inlineStr"/>
      <c r="R498" t="inlineStr">
        <is>
          <t>Нет у нас</t>
        </is>
      </c>
      <c r="S498" t="n">
        <v>0</v>
      </c>
      <c r="T498" t="inlineStr">
        <is>
          <t>Совпадений по улице+дому не найдено</t>
        </is>
      </c>
      <c r="U498" t="n">
        <v>702</v>
      </c>
      <c r="V498" t="n">
        <v>30</v>
      </c>
      <c r="W498" t="n">
        <v>6</v>
      </c>
      <c r="X498" t="n">
        <v>75000000</v>
      </c>
      <c r="Y498" t="inlineStr"/>
      <c r="Z498" t="inlineStr"/>
      <c r="AA498" t="inlineStr">
        <is>
          <t>https://knru.ru/catalog/pr-engelsa-d-124-k-1-1540263492/</t>
        </is>
      </c>
      <c r="AB498" t="inlineStr">
        <is>
          <t>C</t>
        </is>
      </c>
    </row>
    <row r="499">
      <c r="A499" t="n">
        <v>703</v>
      </c>
      <c r="B499" t="n">
        <v>30</v>
      </c>
      <c r="C499" t="n">
        <v>7</v>
      </c>
      <c r="D499" t="n">
        <v>1145420814</v>
      </c>
      <c r="E499" t="inlineStr">
        <is>
          <t>Выборгский</t>
        </is>
      </c>
      <c r="F499" t="inlineStr">
        <is>
          <t>Энгельса пр-кт, 124к1 А</t>
        </is>
      </c>
      <c r="G499" t="n">
        <v>878</v>
      </c>
      <c r="H499" t="inlineStr">
        <is>
          <t>146 650 000</t>
        </is>
      </c>
      <c r="I499" t="inlineStr"/>
      <c r="J499" t="inlineStr"/>
      <c r="K499" t="inlineStr"/>
      <c r="L499" t="inlineStr"/>
      <c r="M499" t="inlineStr"/>
      <c r="N499" t="inlineStr">
        <is>
          <t>no</t>
        </is>
      </c>
      <c r="O499" t="inlineStr">
        <is>
          <t>none</t>
        </is>
      </c>
      <c r="P499">
        <f>HYPERLINK("https://knru.ru/catalog/pr-engelsa-d-124-k-1-1145420814/","ссылка")</f>
        <v/>
      </c>
      <c r="Q499" t="inlineStr"/>
      <c r="R499" t="inlineStr">
        <is>
          <t>Нет у нас</t>
        </is>
      </c>
      <c r="S499" t="n">
        <v>0</v>
      </c>
      <c r="T499" t="inlineStr">
        <is>
          <t>Совпадений по улице+дому не найдено</t>
        </is>
      </c>
      <c r="U499" t="n">
        <v>703</v>
      </c>
      <c r="V499" t="n">
        <v>30</v>
      </c>
      <c r="W499" t="n">
        <v>7</v>
      </c>
      <c r="X499" t="n">
        <v>146650000</v>
      </c>
      <c r="Y499" t="inlineStr"/>
      <c r="Z499" t="inlineStr"/>
      <c r="AA499" t="inlineStr">
        <is>
          <t>https://knru.ru/catalog/pr-engelsa-d-124-k-1-1145420814/</t>
        </is>
      </c>
      <c r="AB499" t="inlineStr">
        <is>
          <t>C</t>
        </is>
      </c>
    </row>
    <row r="500">
      <c r="A500" t="n">
        <v>704</v>
      </c>
      <c r="B500" t="n">
        <v>30</v>
      </c>
      <c r="C500" t="n">
        <v>8</v>
      </c>
      <c r="D500" t="n">
        <v>1</v>
      </c>
      <c r="E500" t="inlineStr">
        <is>
          <t>Выборгский</t>
        </is>
      </c>
      <c r="F500" t="inlineStr">
        <is>
          <t>Энгельса пр-кт, 124к1 А</t>
        </is>
      </c>
      <c r="G500" t="n">
        <v>871</v>
      </c>
      <c r="H500" t="inlineStr">
        <is>
          <t>136 360 000</t>
        </is>
      </c>
      <c r="I500" t="inlineStr"/>
      <c r="J500" t="inlineStr"/>
      <c r="K500" t="inlineStr"/>
      <c r="L500" t="inlineStr"/>
      <c r="M500" t="inlineStr"/>
      <c r="N500" t="inlineStr">
        <is>
          <t>no</t>
        </is>
      </c>
      <c r="O500" t="inlineStr">
        <is>
          <t>none</t>
        </is>
      </c>
      <c r="P500">
        <f>HYPERLINK("https://knru.ru/catalog/pr-engelsa-d-124-k-1/","ссылка")</f>
        <v/>
      </c>
      <c r="Q500" t="inlineStr"/>
      <c r="R500" t="inlineStr">
        <is>
          <t>Нет у нас</t>
        </is>
      </c>
      <c r="S500" t="n">
        <v>0</v>
      </c>
      <c r="T500" t="inlineStr">
        <is>
          <t>Совпадений по улице+дому не найдено</t>
        </is>
      </c>
      <c r="U500" t="n">
        <v>704</v>
      </c>
      <c r="V500" t="n">
        <v>30</v>
      </c>
      <c r="W500" t="n">
        <v>8</v>
      </c>
      <c r="X500" t="n">
        <v>136360000</v>
      </c>
      <c r="Y500" t="inlineStr"/>
      <c r="Z500" t="inlineStr"/>
      <c r="AA500" t="inlineStr">
        <is>
          <t>https://knru.ru/catalog/pr-engelsa-d-124-k-1/</t>
        </is>
      </c>
      <c r="AB500" t="inlineStr">
        <is>
          <t>C</t>
        </is>
      </c>
    </row>
    <row r="501">
      <c r="A501" t="n">
        <v>705</v>
      </c>
      <c r="B501" t="n">
        <v>30</v>
      </c>
      <c r="C501" t="n">
        <v>9</v>
      </c>
      <c r="D501" t="n">
        <v>3</v>
      </c>
      <c r="E501" t="inlineStr">
        <is>
          <t>Приморский</t>
        </is>
      </c>
      <c r="F501" t="inlineStr">
        <is>
          <t>Автобусная ул, 3</t>
        </is>
      </c>
      <c r="G501" t="n">
        <v>12000</v>
      </c>
      <c r="H501" t="inlineStr">
        <is>
          <t>379 000 000</t>
        </is>
      </c>
      <c r="I501" t="inlineStr"/>
      <c r="J501" t="inlineStr"/>
      <c r="K501" t="inlineStr"/>
      <c r="L501" t="inlineStr"/>
      <c r="M501" t="inlineStr"/>
      <c r="N501" t="inlineStr">
        <is>
          <t>no</t>
        </is>
      </c>
      <c r="O501" t="inlineStr">
        <is>
          <t>none</t>
        </is>
      </c>
      <c r="P501">
        <f>HYPERLINK("https://knru.ru/catalog/avtobusnaya-ul-3/","ссылка")</f>
        <v/>
      </c>
      <c r="Q501" t="inlineStr"/>
      <c r="R501" t="inlineStr">
        <is>
          <t>Нет у нас</t>
        </is>
      </c>
      <c r="S501" t="n">
        <v>0</v>
      </c>
      <c r="T501" t="inlineStr">
        <is>
          <t>Совпадений по улице+дому не найдено</t>
        </is>
      </c>
      <c r="U501" t="n">
        <v>705</v>
      </c>
      <c r="V501" t="n">
        <v>30</v>
      </c>
      <c r="W501" t="n">
        <v>9</v>
      </c>
      <c r="X501" t="n">
        <v>379000000</v>
      </c>
      <c r="Y501" t="inlineStr"/>
      <c r="Z501" t="inlineStr"/>
      <c r="AA501" t="inlineStr">
        <is>
          <t>https://knru.ru/catalog/avtobusnaya-ul-3/</t>
        </is>
      </c>
      <c r="AB501" t="inlineStr">
        <is>
          <t>C</t>
        </is>
      </c>
    </row>
    <row r="502">
      <c r="A502" t="n">
        <v>706</v>
      </c>
      <c r="B502" t="n">
        <v>30</v>
      </c>
      <c r="C502" t="n">
        <v>10</v>
      </c>
      <c r="D502" t="n">
        <v>5</v>
      </c>
      <c r="E502" t="inlineStr">
        <is>
          <t>Фрунзенский</t>
        </is>
      </c>
      <c r="F502" t="inlineStr">
        <is>
          <t>Нефтяная дор, 5</t>
        </is>
      </c>
      <c r="G502" t="n">
        <v>2000</v>
      </c>
      <c r="H502" t="inlineStr">
        <is>
          <t>280 000 000</t>
        </is>
      </c>
      <c r="I502" t="inlineStr"/>
      <c r="J502" t="inlineStr"/>
      <c r="K502" t="inlineStr"/>
      <c r="L502" t="inlineStr"/>
      <c r="M502" t="inlineStr"/>
      <c r="N502" t="inlineStr">
        <is>
          <t>no</t>
        </is>
      </c>
      <c r="O502" t="inlineStr">
        <is>
          <t>none</t>
        </is>
      </c>
      <c r="P502">
        <f>HYPERLINK("https://knru.ru/catalog/neftyanaya-dor-5/","ссылка")</f>
        <v/>
      </c>
      <c r="Q502" t="inlineStr"/>
      <c r="R502" t="inlineStr">
        <is>
          <t>Нет у нас</t>
        </is>
      </c>
      <c r="S502" t="n">
        <v>0</v>
      </c>
      <c r="T502" t="inlineStr">
        <is>
          <t>Совпадений по улице+дому не найдено</t>
        </is>
      </c>
      <c r="U502" t="n">
        <v>706</v>
      </c>
      <c r="V502" t="n">
        <v>30</v>
      </c>
      <c r="W502" t="n">
        <v>10</v>
      </c>
      <c r="X502" t="n">
        <v>280000000</v>
      </c>
      <c r="Y502" t="inlineStr"/>
      <c r="Z502" t="inlineStr"/>
      <c r="AA502" t="inlineStr">
        <is>
          <t>https://knru.ru/catalog/neftyanaya-dor-5/</t>
        </is>
      </c>
      <c r="AB502" t="inlineStr">
        <is>
          <t>C</t>
        </is>
      </c>
    </row>
    <row r="503">
      <c r="A503" t="n">
        <v>707</v>
      </c>
      <c r="B503" t="n">
        <v>30</v>
      </c>
      <c r="C503" t="n">
        <v>11</v>
      </c>
      <c r="D503" t="n">
        <v>25</v>
      </c>
      <c r="E503" t="inlineStr"/>
      <c r="F503" t="inlineStr">
        <is>
          <t>Раздольная, 25</t>
        </is>
      </c>
      <c r="G503" t="n">
        <v>576</v>
      </c>
      <c r="H503" t="inlineStr">
        <is>
          <t>42 000 000</t>
        </is>
      </c>
      <c r="I503" t="inlineStr"/>
      <c r="J503" t="inlineStr"/>
      <c r="K503" t="inlineStr"/>
      <c r="L503" t="inlineStr"/>
      <c r="M503" t="inlineStr"/>
      <c r="N503" t="inlineStr">
        <is>
          <t>no</t>
        </is>
      </c>
      <c r="O503" t="inlineStr">
        <is>
          <t>none</t>
        </is>
      </c>
      <c r="P503">
        <f>HYPERLINK("https://knru.ru/catalog/razdolnaya-25/","ссылка")</f>
        <v/>
      </c>
      <c r="Q503" t="inlineStr"/>
      <c r="R503" t="inlineStr">
        <is>
          <t>Нет у нас</t>
        </is>
      </c>
      <c r="S503" t="n">
        <v>0</v>
      </c>
      <c r="T503" t="inlineStr">
        <is>
          <t>Совпадений по улице+дому не найдено</t>
        </is>
      </c>
      <c r="U503" t="n">
        <v>707</v>
      </c>
      <c r="V503" t="n">
        <v>30</v>
      </c>
      <c r="W503" t="n">
        <v>11</v>
      </c>
      <c r="X503" t="n">
        <v>42000000</v>
      </c>
      <c r="Y503" t="inlineStr"/>
      <c r="Z503" t="inlineStr"/>
      <c r="AA503" t="inlineStr">
        <is>
          <t>https://knru.ru/catalog/razdolnaya-25/</t>
        </is>
      </c>
      <c r="AB503" t="inlineStr">
        <is>
          <t>C</t>
        </is>
      </c>
    </row>
    <row r="504">
      <c r="A504" t="n">
        <v>708</v>
      </c>
      <c r="B504" t="n">
        <v>30</v>
      </c>
      <c r="C504" t="n">
        <v>12</v>
      </c>
      <c r="D504" t="n">
        <v>967835409</v>
      </c>
      <c r="E504" t="inlineStr">
        <is>
          <t>Василеостровский</t>
        </is>
      </c>
      <c r="F504" t="inlineStr">
        <is>
          <t>11-я В.О. линия, 56стр1</t>
        </is>
      </c>
      <c r="G504" t="n">
        <v>98</v>
      </c>
      <c r="H504" t="inlineStr">
        <is>
          <t>34 900 000</t>
        </is>
      </c>
      <c r="I504" t="inlineStr"/>
      <c r="J504" t="inlineStr"/>
      <c r="K504" t="inlineStr"/>
      <c r="L504" t="inlineStr"/>
      <c r="M504" t="inlineStr"/>
      <c r="N504" t="inlineStr">
        <is>
          <t>no</t>
        </is>
      </c>
      <c r="O504" t="inlineStr">
        <is>
          <t>none</t>
        </is>
      </c>
      <c r="P504">
        <f>HYPERLINK("https://knru.ru/catalog/11-ya-liniya-vasilevskogo-ostrova-d-56-967835409/","ссылка")</f>
        <v/>
      </c>
      <c r="Q504" t="inlineStr"/>
      <c r="R504" t="inlineStr">
        <is>
          <t>Нет у нас</t>
        </is>
      </c>
      <c r="S504" t="n">
        <v>0</v>
      </c>
      <c r="T504" t="inlineStr">
        <is>
          <t>Совпадений по улице+дому не найдено</t>
        </is>
      </c>
      <c r="U504" t="n">
        <v>708</v>
      </c>
      <c r="V504" t="n">
        <v>30</v>
      </c>
      <c r="W504" t="n">
        <v>12</v>
      </c>
      <c r="X504" t="n">
        <v>34900000</v>
      </c>
      <c r="Y504" t="inlineStr"/>
      <c r="Z504" t="inlineStr"/>
      <c r="AA504" t="inlineStr">
        <is>
          <t>https://knru.ru/catalog/11-ya-liniya-vasilevskogo-ostrova-d-56-967835409/</t>
        </is>
      </c>
      <c r="AB504" t="inlineStr">
        <is>
          <t>C</t>
        </is>
      </c>
    </row>
    <row r="505">
      <c r="A505" t="n">
        <v>709</v>
      </c>
      <c r="B505" t="n">
        <v>30</v>
      </c>
      <c r="C505" t="n">
        <v>13</v>
      </c>
      <c r="D505" t="n">
        <v>669473094</v>
      </c>
      <c r="E505" t="inlineStr">
        <is>
          <t>Василеостровский</t>
        </is>
      </c>
      <c r="F505" t="inlineStr">
        <is>
          <t>10-11-я линии В.О., 58</t>
        </is>
      </c>
      <c r="G505" t="n">
        <v>117</v>
      </c>
      <c r="H505" t="inlineStr">
        <is>
          <t>34 070 400</t>
        </is>
      </c>
      <c r="I505" t="inlineStr"/>
      <c r="J505" t="inlineStr"/>
      <c r="K505" t="inlineStr"/>
      <c r="L505" t="inlineStr"/>
      <c r="M505" t="inlineStr"/>
      <c r="N505" t="inlineStr">
        <is>
          <t>yes</t>
        </is>
      </c>
      <c r="O505" t="inlineStr">
        <is>
          <t>pixel_heuristic</t>
        </is>
      </c>
      <c r="P505">
        <f>HYPERLINK("https://knru.ru/catalog/11-ya-liniya-vasilevskogo-ostrova-d-56-669473094/","ссылка")</f>
        <v/>
      </c>
      <c r="Q505" t="inlineStr"/>
      <c r="R505" t="inlineStr">
        <is>
          <t>Нет у нас</t>
        </is>
      </c>
      <c r="S505" t="n">
        <v>0</v>
      </c>
      <c r="T505" t="inlineStr">
        <is>
          <t>Совпадений по улице+дому не найдено</t>
        </is>
      </c>
      <c r="U505" t="n">
        <v>709</v>
      </c>
      <c r="V505" t="n">
        <v>30</v>
      </c>
      <c r="W505" t="n">
        <v>13</v>
      </c>
      <c r="X505" t="n">
        <v>34070400</v>
      </c>
      <c r="Y505" t="inlineStr"/>
      <c r="Z505" t="inlineStr"/>
      <c r="AA505" t="inlineStr">
        <is>
          <t>https://knru.ru/catalog/11-ya-liniya-vasilevskogo-ostrova-d-56-669473094/</t>
        </is>
      </c>
      <c r="AB505" t="inlineStr">
        <is>
          <t>C</t>
        </is>
      </c>
    </row>
    <row r="506">
      <c r="A506" t="n">
        <v>710</v>
      </c>
      <c r="B506" t="n">
        <v>30</v>
      </c>
      <c r="C506" t="n">
        <v>14</v>
      </c>
      <c r="D506" t="n">
        <v>56</v>
      </c>
      <c r="E506" t="inlineStr">
        <is>
          <t>Василеостровский</t>
        </is>
      </c>
      <c r="F506" t="inlineStr">
        <is>
          <t>10-11-я линии В.О., 58</t>
        </is>
      </c>
      <c r="G506" t="n">
        <v>77</v>
      </c>
      <c r="H506" t="inlineStr">
        <is>
          <t>22 509 760</t>
        </is>
      </c>
      <c r="I506" t="inlineStr"/>
      <c r="J506" t="inlineStr"/>
      <c r="K506" t="inlineStr"/>
      <c r="L506" t="inlineStr"/>
      <c r="M506" t="inlineStr"/>
      <c r="N506" t="inlineStr">
        <is>
          <t>no</t>
        </is>
      </c>
      <c r="O506" t="inlineStr">
        <is>
          <t>none</t>
        </is>
      </c>
      <c r="P506">
        <f>HYPERLINK("https://knru.ru/catalog/11-ya-liniya-vasilevskogo-ostrova-d-56/","ссылка")</f>
        <v/>
      </c>
      <c r="Q506" t="inlineStr"/>
      <c r="R506" t="inlineStr">
        <is>
          <t>Нет у нас</t>
        </is>
      </c>
      <c r="S506" t="n">
        <v>0</v>
      </c>
      <c r="T506" t="inlineStr">
        <is>
          <t>Совпадений по улице+дому не найдено</t>
        </is>
      </c>
      <c r="U506" t="n">
        <v>710</v>
      </c>
      <c r="V506" t="n">
        <v>30</v>
      </c>
      <c r="W506" t="n">
        <v>14</v>
      </c>
      <c r="X506" t="n">
        <v>22509760</v>
      </c>
      <c r="Y506" t="inlineStr"/>
      <c r="Z506" t="inlineStr"/>
      <c r="AA506" t="inlineStr">
        <is>
          <t>https://knru.ru/catalog/11-ya-liniya-vasilevskogo-ostrova-d-56/</t>
        </is>
      </c>
      <c r="AB506" t="inlineStr">
        <is>
          <t>C</t>
        </is>
      </c>
    </row>
    <row r="507">
      <c r="A507" t="n">
        <v>713</v>
      </c>
      <c r="B507" t="n">
        <v>30</v>
      </c>
      <c r="C507" t="n">
        <v>17</v>
      </c>
      <c r="D507" t="n">
        <v>1642856549</v>
      </c>
      <c r="E507" t="inlineStr">
        <is>
          <t>Василеостровский</t>
        </is>
      </c>
      <c r="F507" t="inlineStr">
        <is>
          <t>Вилькицкий б-р, 7стр1</t>
        </is>
      </c>
      <c r="G507" t="n">
        <v>539.5</v>
      </c>
      <c r="H507" t="inlineStr">
        <is>
          <t>145 665 000</t>
        </is>
      </c>
      <c r="I507" t="inlineStr"/>
      <c r="J507" t="inlineStr"/>
      <c r="K507" t="inlineStr"/>
      <c r="L507" t="inlineStr"/>
      <c r="M507" t="inlineStr"/>
      <c r="N507" t="inlineStr">
        <is>
          <t>no</t>
        </is>
      </c>
      <c r="O507" t="inlineStr">
        <is>
          <t>none</t>
        </is>
      </c>
      <c r="P507">
        <f>HYPERLINK("https://knru.ru/catalog/vilkitskiy-b-r-d-7-1642856549/","ссылка")</f>
        <v/>
      </c>
      <c r="Q507" t="inlineStr"/>
      <c r="R507" t="inlineStr">
        <is>
          <t>Нет у нас</t>
        </is>
      </c>
      <c r="S507" t="n">
        <v>0</v>
      </c>
      <c r="T507" t="inlineStr">
        <is>
          <t>Совпадений по улице+дому не найдено</t>
        </is>
      </c>
      <c r="U507" t="n">
        <v>713</v>
      </c>
      <c r="V507" t="n">
        <v>30</v>
      </c>
      <c r="W507" t="n">
        <v>17</v>
      </c>
      <c r="X507" t="n">
        <v>145665000</v>
      </c>
      <c r="Y507" t="inlineStr"/>
      <c r="Z507" t="inlineStr"/>
      <c r="AA507" t="inlineStr">
        <is>
          <t>https://knru.ru/catalog/vilkitskiy-b-r-d-7-1642856549/</t>
        </is>
      </c>
      <c r="AB507" t="inlineStr">
        <is>
          <t>C</t>
        </is>
      </c>
    </row>
    <row r="508">
      <c r="A508" t="n">
        <v>714</v>
      </c>
      <c r="B508" t="n">
        <v>30</v>
      </c>
      <c r="C508" t="n">
        <v>18</v>
      </c>
      <c r="D508" t="n">
        <v>7</v>
      </c>
      <c r="E508" t="inlineStr">
        <is>
          <t>Василеостровский</t>
        </is>
      </c>
      <c r="F508" t="inlineStr">
        <is>
          <t>Вилькицкий б-р, 7стр1</t>
        </is>
      </c>
      <c r="G508" t="n">
        <v>178.1</v>
      </c>
      <c r="H508" t="inlineStr">
        <is>
          <t>48 087 000</t>
        </is>
      </c>
      <c r="I508" t="inlineStr"/>
      <c r="J508" t="inlineStr"/>
      <c r="K508" t="inlineStr"/>
      <c r="L508" t="inlineStr"/>
      <c r="M508" t="inlineStr"/>
      <c r="N508" t="inlineStr">
        <is>
          <t>no</t>
        </is>
      </c>
      <c r="O508" t="inlineStr">
        <is>
          <t>none</t>
        </is>
      </c>
      <c r="P508">
        <f>HYPERLINK("https://knru.ru/catalog/vilkitskiy-b-r-d-7/","ссылка")</f>
        <v/>
      </c>
      <c r="Q508" t="inlineStr"/>
      <c r="R508" t="inlineStr">
        <is>
          <t>Нет у нас</t>
        </is>
      </c>
      <c r="S508" t="n">
        <v>0</v>
      </c>
      <c r="T508" t="inlineStr">
        <is>
          <t>Совпадений по улице+дому не найдено</t>
        </is>
      </c>
      <c r="U508" t="n">
        <v>714</v>
      </c>
      <c r="V508" t="n">
        <v>30</v>
      </c>
      <c r="W508" t="n">
        <v>18</v>
      </c>
      <c r="X508" t="n">
        <v>48087000</v>
      </c>
      <c r="Y508" t="inlineStr"/>
      <c r="Z508" t="inlineStr"/>
      <c r="AA508" t="inlineStr">
        <is>
          <t>https://knru.ru/catalog/vilkitskiy-b-r-d-7/</t>
        </is>
      </c>
      <c r="AB508" t="inlineStr">
        <is>
          <t>C</t>
        </is>
      </c>
    </row>
    <row r="509">
      <c r="A509" t="n">
        <v>715</v>
      </c>
      <c r="B509" t="n">
        <v>30</v>
      </c>
      <c r="C509" t="n">
        <v>19</v>
      </c>
      <c r="D509" t="n">
        <v>1</v>
      </c>
      <c r="E509" t="inlineStr">
        <is>
          <t>Василеостровский</t>
        </is>
      </c>
      <c r="F509" t="inlineStr">
        <is>
          <t>17-я В.О. линия, 52к1</t>
        </is>
      </c>
      <c r="G509" t="n">
        <v>271</v>
      </c>
      <c r="H509" t="inlineStr">
        <is>
          <t>130 000 000</t>
        </is>
      </c>
      <c r="I509" t="inlineStr"/>
      <c r="J509" t="inlineStr"/>
      <c r="K509" t="inlineStr"/>
      <c r="L509" t="inlineStr"/>
      <c r="M509" t="inlineStr"/>
      <c r="N509" t="inlineStr">
        <is>
          <t>no</t>
        </is>
      </c>
      <c r="O509" t="inlineStr">
        <is>
          <t>none</t>
        </is>
      </c>
      <c r="P509">
        <f>HYPERLINK("https://knru.ru/catalog/17-ya-liniya-v-o-k-1/","ссылка")</f>
        <v/>
      </c>
      <c r="Q509" t="inlineStr"/>
      <c r="R509" t="inlineStr">
        <is>
          <t>Нет у нас</t>
        </is>
      </c>
      <c r="S509" t="n">
        <v>0</v>
      </c>
      <c r="T509" t="inlineStr">
        <is>
          <t>Совпадений по улице+дому не найдено</t>
        </is>
      </c>
      <c r="U509" t="n">
        <v>715</v>
      </c>
      <c r="V509" t="n">
        <v>30</v>
      </c>
      <c r="W509" t="n">
        <v>19</v>
      </c>
      <c r="X509" t="n">
        <v>130000000</v>
      </c>
      <c r="Y509" t="inlineStr"/>
      <c r="Z509" t="inlineStr"/>
      <c r="AA509" t="inlineStr">
        <is>
          <t>https://knru.ru/catalog/17-ya-liniya-v-o-k-1/</t>
        </is>
      </c>
      <c r="AB509" t="inlineStr">
        <is>
          <t>C</t>
        </is>
      </c>
    </row>
    <row r="510">
      <c r="A510" t="n">
        <v>716</v>
      </c>
      <c r="B510" t="n">
        <v>30</v>
      </c>
      <c r="C510" t="n">
        <v>20</v>
      </c>
      <c r="D510" t="n">
        <v>1170051036</v>
      </c>
      <c r="E510" t="inlineStr">
        <is>
          <t>Василеостровский</t>
        </is>
      </c>
      <c r="F510" t="inlineStr">
        <is>
          <t>Головнина б-р, 4</t>
        </is>
      </c>
      <c r="G510" t="n">
        <v>273</v>
      </c>
      <c r="H510" t="inlineStr">
        <is>
          <t>95 795 000</t>
        </is>
      </c>
      <c r="I510" t="inlineStr"/>
      <c r="J510" t="inlineStr"/>
      <c r="K510" t="inlineStr"/>
      <c r="L510" t="inlineStr"/>
      <c r="M510" t="inlineStr"/>
      <c r="N510" t="inlineStr">
        <is>
          <t>no</t>
        </is>
      </c>
      <c r="O510" t="inlineStr">
        <is>
          <t>none</t>
        </is>
      </c>
      <c r="P510">
        <f>HYPERLINK("https://knru.ru/catalog/bulvar-golovnina-d-4-1170051036/","ссылка")</f>
        <v/>
      </c>
      <c r="Q510" t="inlineStr"/>
      <c r="R510" t="inlineStr">
        <is>
          <t>Нет у нас</t>
        </is>
      </c>
      <c r="S510" t="n">
        <v>0</v>
      </c>
      <c r="T510" t="inlineStr">
        <is>
          <t>Совпадений по улице+дому не найдено</t>
        </is>
      </c>
      <c r="U510" t="n">
        <v>716</v>
      </c>
      <c r="V510" t="n">
        <v>30</v>
      </c>
      <c r="W510" t="n">
        <v>20</v>
      </c>
      <c r="X510" t="n">
        <v>95795000</v>
      </c>
      <c r="Y510" t="inlineStr"/>
      <c r="Z510" t="inlineStr"/>
      <c r="AA510" t="inlineStr">
        <is>
          <t>https://knru.ru/catalog/bulvar-golovnina-d-4-1170051036/</t>
        </is>
      </c>
      <c r="AB510" t="inlineStr">
        <is>
          <t>C</t>
        </is>
      </c>
    </row>
    <row r="511">
      <c r="A511" t="n">
        <v>717</v>
      </c>
      <c r="B511" t="n">
        <v>30</v>
      </c>
      <c r="C511" t="n">
        <v>21</v>
      </c>
      <c r="D511" t="inlineStr"/>
      <c r="E511" t="inlineStr"/>
      <c r="F511" t="inlineStr">
        <is>
          <t>Октябрьская ул, 1</t>
        </is>
      </c>
      <c r="G511" t="n">
        <v>4000</v>
      </c>
      <c r="H511" t="inlineStr">
        <is>
          <t>59 000 000</t>
        </is>
      </c>
      <c r="I511" t="inlineStr"/>
      <c r="J511" t="inlineStr"/>
      <c r="K511" t="inlineStr"/>
      <c r="L511" t="inlineStr"/>
      <c r="M511" t="inlineStr"/>
      <c r="N511" t="inlineStr">
        <is>
          <t>no</t>
        </is>
      </c>
      <c r="O511" t="inlineStr">
        <is>
          <t>none</t>
        </is>
      </c>
      <c r="P511">
        <f>HYPERLINK("https://knru.ru/catalog/g-p-sverdlovo-oktyabrskaya-1a/","ссылка")</f>
        <v/>
      </c>
      <c r="Q511" t="inlineStr"/>
      <c r="R511" t="inlineStr">
        <is>
          <t>Нет у нас</t>
        </is>
      </c>
      <c r="S511" t="n">
        <v>0</v>
      </c>
      <c r="T511" t="inlineStr">
        <is>
          <t>Совпадений по улице+дому не найдено</t>
        </is>
      </c>
      <c r="U511" t="n">
        <v>717</v>
      </c>
      <c r="V511" t="n">
        <v>30</v>
      </c>
      <c r="W511" t="n">
        <v>21</v>
      </c>
      <c r="X511" t="n">
        <v>59000000</v>
      </c>
      <c r="Y511" t="inlineStr"/>
      <c r="Z511" t="inlineStr"/>
      <c r="AA511" t="inlineStr">
        <is>
          <t>https://knru.ru/catalog/g-p-sverdlovo-oktyabrskaya-1a/</t>
        </is>
      </c>
      <c r="AB511" t="inlineStr">
        <is>
          <t>C</t>
        </is>
      </c>
    </row>
    <row r="512">
      <c r="A512" t="n">
        <v>718</v>
      </c>
      <c r="B512" t="n">
        <v>30</v>
      </c>
      <c r="C512" t="n">
        <v>22</v>
      </c>
      <c r="D512" t="n">
        <v>1344780278</v>
      </c>
      <c r="E512" t="inlineStr">
        <is>
          <t>Приморский</t>
        </is>
      </c>
      <c r="F512" t="inlineStr">
        <is>
          <t>Комендантский пр-кт, 9к2 А</t>
        </is>
      </c>
      <c r="G512" t="n">
        <v>1831.9</v>
      </c>
      <c r="H512" t="inlineStr">
        <is>
          <t>310 000 000</t>
        </is>
      </c>
      <c r="I512" t="inlineStr"/>
      <c r="J512" t="inlineStr"/>
      <c r="K512" t="inlineStr"/>
      <c r="L512" t="inlineStr"/>
      <c r="M512" t="inlineStr"/>
      <c r="N512" t="inlineStr">
        <is>
          <t>no</t>
        </is>
      </c>
      <c r="O512" t="inlineStr">
        <is>
          <t>none</t>
        </is>
      </c>
      <c r="P512">
        <f>HYPERLINK("https://knru.ru/catalog/komendantskiy-pr-d-9-k-2-1344780278/","ссылка")</f>
        <v/>
      </c>
      <c r="Q512" t="inlineStr"/>
      <c r="R512" t="inlineStr">
        <is>
          <t>Нет у нас</t>
        </is>
      </c>
      <c r="S512" t="n">
        <v>0</v>
      </c>
      <c r="T512" t="inlineStr">
        <is>
          <t>Совпадений по улице+дому не найдено</t>
        </is>
      </c>
      <c r="U512" t="n">
        <v>718</v>
      </c>
      <c r="V512" t="n">
        <v>30</v>
      </c>
      <c r="W512" t="n">
        <v>22</v>
      </c>
      <c r="X512" t="n">
        <v>310000000</v>
      </c>
      <c r="Y512" t="inlineStr"/>
      <c r="Z512" t="inlineStr"/>
      <c r="AA512" t="inlineStr">
        <is>
          <t>https://knru.ru/catalog/komendantskiy-pr-d-9-k-2-1344780278/</t>
        </is>
      </c>
      <c r="AB512" t="inlineStr">
        <is>
          <t>C</t>
        </is>
      </c>
    </row>
    <row r="513">
      <c r="A513" t="n">
        <v>719</v>
      </c>
      <c r="B513" t="n">
        <v>30</v>
      </c>
      <c r="C513" t="n">
        <v>23</v>
      </c>
      <c r="D513" t="n">
        <v>2</v>
      </c>
      <c r="E513" t="inlineStr">
        <is>
          <t>Приморский</t>
        </is>
      </c>
      <c r="F513" t="inlineStr">
        <is>
          <t>Комендантский пр-кт, 9к2 А</t>
        </is>
      </c>
      <c r="G513" t="n">
        <v>867.8</v>
      </c>
      <c r="H513" t="inlineStr">
        <is>
          <t>121 492 000</t>
        </is>
      </c>
      <c r="I513" t="inlineStr"/>
      <c r="J513" t="inlineStr"/>
      <c r="K513" t="inlineStr"/>
      <c r="L513" t="inlineStr"/>
      <c r="M513" t="inlineStr"/>
      <c r="N513" t="inlineStr">
        <is>
          <t>no</t>
        </is>
      </c>
      <c r="O513" t="inlineStr">
        <is>
          <t>none</t>
        </is>
      </c>
      <c r="P513">
        <f>HYPERLINK("https://knru.ru/catalog/komendantskiy-pr-d-9-k-2/","ссылка")</f>
        <v/>
      </c>
      <c r="Q513" t="inlineStr"/>
      <c r="R513" t="inlineStr">
        <is>
          <t>Нет у нас</t>
        </is>
      </c>
      <c r="S513" t="n">
        <v>0</v>
      </c>
      <c r="T513" t="inlineStr">
        <is>
          <t>Совпадений по улице+дому не найдено</t>
        </is>
      </c>
      <c r="U513" t="n">
        <v>719</v>
      </c>
      <c r="V513" t="n">
        <v>30</v>
      </c>
      <c r="W513" t="n">
        <v>23</v>
      </c>
      <c r="X513" t="n">
        <v>121492000</v>
      </c>
      <c r="Y513" t="inlineStr"/>
      <c r="Z513" t="inlineStr"/>
      <c r="AA513" t="inlineStr">
        <is>
          <t>https://knru.ru/catalog/komendantskiy-pr-d-9-k-2/</t>
        </is>
      </c>
      <c r="AB513" t="inlineStr">
        <is>
          <t>C</t>
        </is>
      </c>
    </row>
    <row r="514">
      <c r="A514" t="n">
        <v>720</v>
      </c>
      <c r="B514" t="n">
        <v>30</v>
      </c>
      <c r="C514" t="n">
        <v>24</v>
      </c>
      <c r="D514" t="n">
        <v>1</v>
      </c>
      <c r="E514" t="inlineStr">
        <is>
          <t>Всеволожский</t>
        </is>
      </c>
      <c r="F514" t="inlineStr">
        <is>
          <t>Солнечная ул, 10к1</t>
        </is>
      </c>
      <c r="G514" t="n">
        <v>561.9</v>
      </c>
      <c r="H514" t="inlineStr">
        <is>
          <t>129 461 760</t>
        </is>
      </c>
      <c r="I514" t="inlineStr"/>
      <c r="J514" t="inlineStr"/>
      <c r="K514" t="inlineStr"/>
      <c r="L514" t="inlineStr"/>
      <c r="M514" t="inlineStr"/>
      <c r="N514" t="inlineStr">
        <is>
          <t>no</t>
        </is>
      </c>
      <c r="O514" t="inlineStr">
        <is>
          <t>none</t>
        </is>
      </c>
      <c r="P514">
        <f>HYPERLINK("https://knru.ru/catalog/ul-solnechnaya-d-10-k-1/","ссылка")</f>
        <v/>
      </c>
      <c r="Q514" t="inlineStr"/>
      <c r="R514" t="inlineStr">
        <is>
          <t>Нет у нас</t>
        </is>
      </c>
      <c r="S514" t="n">
        <v>0</v>
      </c>
      <c r="T514" t="inlineStr">
        <is>
          <t>Совпадений по улице+дому не найдено</t>
        </is>
      </c>
      <c r="U514" t="n">
        <v>720</v>
      </c>
      <c r="V514" t="n">
        <v>30</v>
      </c>
      <c r="W514" t="n">
        <v>24</v>
      </c>
      <c r="X514" t="n">
        <v>129461760</v>
      </c>
      <c r="Y514" t="inlineStr"/>
      <c r="Z514" t="inlineStr"/>
      <c r="AA514" t="inlineStr">
        <is>
          <t>https://knru.ru/catalog/ul-solnechnaya-d-10-k-1/</t>
        </is>
      </c>
      <c r="AB514" t="inlineStr">
        <is>
          <t>C</t>
        </is>
      </c>
    </row>
    <row r="515">
      <c r="A515" t="n">
        <v>728</v>
      </c>
      <c r="B515" t="n">
        <v>31</v>
      </c>
      <c r="C515" t="n">
        <v>8</v>
      </c>
      <c r="D515" t="inlineStr"/>
      <c r="E515" t="inlineStr">
        <is>
          <t>Колпинский</t>
        </is>
      </c>
      <c r="F515" t="inlineStr">
        <is>
          <t>Металлострой промзона тер</t>
        </is>
      </c>
      <c r="G515" t="n">
        <v>78483</v>
      </c>
      <c r="H515" t="inlineStr">
        <is>
          <t>420 000 000</t>
        </is>
      </c>
      <c r="I515" t="inlineStr"/>
      <c r="J515" t="inlineStr"/>
      <c r="K515" t="inlineStr"/>
      <c r="L515" t="inlineStr"/>
      <c r="M515" t="inlineStr"/>
      <c r="N515" t="inlineStr">
        <is>
          <t>no</t>
        </is>
      </c>
      <c r="O515" t="inlineStr">
        <is>
          <t>none</t>
        </is>
      </c>
      <c r="P515">
        <f>HYPERLINK("https://knru.ru/catalog/metallostroy-promzona-ter/","ссылка")</f>
        <v/>
      </c>
      <c r="Q515" t="inlineStr"/>
      <c r="R515" t="inlineStr">
        <is>
          <t>Нет у нас</t>
        </is>
      </c>
      <c r="S515" t="n">
        <v>0</v>
      </c>
      <c r="T515" t="inlineStr">
        <is>
          <t>Совпадений по улице+дому не найдено</t>
        </is>
      </c>
      <c r="U515" t="n">
        <v>728</v>
      </c>
      <c r="V515" t="n">
        <v>31</v>
      </c>
      <c r="W515" t="n">
        <v>8</v>
      </c>
      <c r="X515" t="n">
        <v>420000000</v>
      </c>
      <c r="Y515" t="inlineStr"/>
      <c r="Z515" t="inlineStr"/>
      <c r="AA515" t="inlineStr">
        <is>
          <t>https://knru.ru/catalog/metallostroy-promzona-ter/</t>
        </is>
      </c>
      <c r="AB515" t="inlineStr">
        <is>
          <t>C</t>
        </is>
      </c>
    </row>
    <row r="516">
      <c r="A516" t="n">
        <v>729</v>
      </c>
      <c r="B516" t="n">
        <v>31</v>
      </c>
      <c r="C516" t="n">
        <v>9</v>
      </c>
      <c r="D516" t="n">
        <v>7</v>
      </c>
      <c r="E516" t="inlineStr">
        <is>
          <t>Всеволожский</t>
        </is>
      </c>
      <c r="F516" t="inlineStr">
        <is>
          <t>Петровский б-р, 7</t>
        </is>
      </c>
      <c r="G516" t="n">
        <v>86</v>
      </c>
      <c r="H516" t="inlineStr">
        <is>
          <t>35 000 000</t>
        </is>
      </c>
      <c r="I516" t="inlineStr"/>
      <c r="J516" t="inlineStr"/>
      <c r="K516" t="inlineStr"/>
      <c r="L516" t="inlineStr"/>
      <c r="M516" t="inlineStr"/>
      <c r="N516" t="inlineStr">
        <is>
          <t>no</t>
        </is>
      </c>
      <c r="O516" t="inlineStr">
        <is>
          <t>none</t>
        </is>
      </c>
      <c r="P516">
        <f>HYPERLINK("https://knru.ru/catalog/murino-petrovskiy-bul-d-7/","ссылка")</f>
        <v/>
      </c>
      <c r="Q516" t="inlineStr"/>
      <c r="R516" t="inlineStr">
        <is>
          <t>Нет у нас</t>
        </is>
      </c>
      <c r="S516" t="n">
        <v>0</v>
      </c>
      <c r="T516" t="inlineStr">
        <is>
          <t>Совпадений по улице+дому не найдено</t>
        </is>
      </c>
      <c r="U516" t="n">
        <v>729</v>
      </c>
      <c r="V516" t="n">
        <v>31</v>
      </c>
      <c r="W516" t="n">
        <v>9</v>
      </c>
      <c r="X516" t="n">
        <v>35000000</v>
      </c>
      <c r="Y516" t="inlineStr"/>
      <c r="Z516" t="inlineStr"/>
      <c r="AA516" t="inlineStr">
        <is>
          <t>https://knru.ru/catalog/murino-petrovskiy-bul-d-7/</t>
        </is>
      </c>
      <c r="AB516" t="inlineStr">
        <is>
          <t>C</t>
        </is>
      </c>
    </row>
    <row r="517">
      <c r="A517" t="n">
        <v>731</v>
      </c>
      <c r="B517" t="n">
        <v>31</v>
      </c>
      <c r="C517" t="n">
        <v>11</v>
      </c>
      <c r="D517" t="n">
        <v>117</v>
      </c>
      <c r="E517" t="inlineStr">
        <is>
          <t>Красносельский</t>
        </is>
      </c>
      <c r="F517" t="inlineStr">
        <is>
          <t>Ветеранов пр-кт, 117</t>
        </is>
      </c>
      <c r="G517" t="n">
        <v>160</v>
      </c>
      <c r="H517" t="inlineStr">
        <is>
          <t>75 000 000</t>
        </is>
      </c>
      <c r="I517" t="inlineStr"/>
      <c r="J517" t="inlineStr"/>
      <c r="K517" t="inlineStr"/>
      <c r="L517" t="inlineStr"/>
      <c r="M517" t="inlineStr"/>
      <c r="N517" t="inlineStr">
        <is>
          <t>no</t>
        </is>
      </c>
      <c r="O517" t="inlineStr">
        <is>
          <t>none</t>
        </is>
      </c>
      <c r="P517">
        <f>HYPERLINK("https://knru.ru/catalog/pr-veteranov-d-117/","ссылка")</f>
        <v/>
      </c>
      <c r="Q517" t="inlineStr"/>
      <c r="R517" t="inlineStr">
        <is>
          <t>Нет у нас</t>
        </is>
      </c>
      <c r="S517" t="n">
        <v>0</v>
      </c>
      <c r="T517" t="inlineStr">
        <is>
          <t>Совпадений по улице+дому не найдено</t>
        </is>
      </c>
      <c r="U517" t="n">
        <v>731</v>
      </c>
      <c r="V517" t="n">
        <v>31</v>
      </c>
      <c r="W517" t="n">
        <v>11</v>
      </c>
      <c r="X517" t="n">
        <v>75000000</v>
      </c>
      <c r="Y517" t="inlineStr"/>
      <c r="Z517" t="inlineStr"/>
      <c r="AA517" t="inlineStr">
        <is>
          <t>https://knru.ru/catalog/pr-veteranov-d-117/</t>
        </is>
      </c>
      <c r="AB517" t="inlineStr">
        <is>
          <t>C</t>
        </is>
      </c>
    </row>
    <row r="518">
      <c r="A518" t="n">
        <v>732</v>
      </c>
      <c r="B518" t="n">
        <v>31</v>
      </c>
      <c r="C518" t="n">
        <v>12</v>
      </c>
      <c r="D518" t="n">
        <v>1633210338</v>
      </c>
      <c r="E518" t="inlineStr">
        <is>
          <t>Всеволожский</t>
        </is>
      </c>
      <c r="F518" t="inlineStr">
        <is>
          <t>Солнечная ул, 10к2</t>
        </is>
      </c>
      <c r="G518" t="n">
        <v>123.1</v>
      </c>
      <c r="H518" t="inlineStr">
        <is>
          <t>26 671 680</t>
        </is>
      </c>
      <c r="I518" t="inlineStr"/>
      <c r="J518" t="inlineStr"/>
      <c r="K518" t="inlineStr"/>
      <c r="L518" t="inlineStr"/>
      <c r="M518" t="inlineStr"/>
      <c r="N518" t="inlineStr">
        <is>
          <t>no</t>
        </is>
      </c>
      <c r="O518" t="inlineStr">
        <is>
          <t>none</t>
        </is>
      </c>
      <c r="P518">
        <f>HYPERLINK("https://knru.ru/catalog/ul-solnechnaya-d-10-k-2-1633210338/","ссылка")</f>
        <v/>
      </c>
      <c r="Q518" t="inlineStr"/>
      <c r="R518" t="inlineStr">
        <is>
          <t>Нет у нас</t>
        </is>
      </c>
      <c r="S518" t="n">
        <v>0</v>
      </c>
      <c r="T518" t="inlineStr">
        <is>
          <t>Совпадений по улице+дому не найдено</t>
        </is>
      </c>
      <c r="U518" t="n">
        <v>732</v>
      </c>
      <c r="V518" t="n">
        <v>31</v>
      </c>
      <c r="W518" t="n">
        <v>12</v>
      </c>
      <c r="X518" t="n">
        <v>26671680</v>
      </c>
      <c r="Y518" t="inlineStr"/>
      <c r="Z518" t="inlineStr"/>
      <c r="AA518" t="inlineStr">
        <is>
          <t>https://knru.ru/catalog/ul-solnechnaya-d-10-k-2-1633210338/</t>
        </is>
      </c>
      <c r="AB518" t="inlineStr">
        <is>
          <t>C</t>
        </is>
      </c>
    </row>
    <row r="519">
      <c r="A519" t="n">
        <v>733</v>
      </c>
      <c r="B519" t="n">
        <v>31</v>
      </c>
      <c r="C519" t="n">
        <v>13</v>
      </c>
      <c r="D519" t="n">
        <v>696500609</v>
      </c>
      <c r="E519" t="inlineStr">
        <is>
          <t>Всеволожский</t>
        </is>
      </c>
      <c r="F519" t="inlineStr">
        <is>
          <t>Солнечная ул, 10к2</t>
        </is>
      </c>
      <c r="G519" t="n">
        <v>102.9</v>
      </c>
      <c r="H519" t="inlineStr">
        <is>
          <t>26 671 680</t>
        </is>
      </c>
      <c r="I519" t="inlineStr"/>
      <c r="J519" t="inlineStr"/>
      <c r="K519" t="inlineStr"/>
      <c r="L519" t="inlineStr"/>
      <c r="M519" t="inlineStr"/>
      <c r="N519" t="inlineStr">
        <is>
          <t>no</t>
        </is>
      </c>
      <c r="O519" t="inlineStr">
        <is>
          <t>none</t>
        </is>
      </c>
      <c r="P519">
        <f>HYPERLINK("https://knru.ru/catalog/ul-solnechnaya-d-10-k-2-696500609/","ссылка")</f>
        <v/>
      </c>
      <c r="Q519" t="inlineStr"/>
      <c r="R519" t="inlineStr">
        <is>
          <t>Нет у нас</t>
        </is>
      </c>
      <c r="S519" t="n">
        <v>0</v>
      </c>
      <c r="T519" t="inlineStr">
        <is>
          <t>Совпадений по улице+дому не найдено</t>
        </is>
      </c>
      <c r="U519" t="n">
        <v>733</v>
      </c>
      <c r="V519" t="n">
        <v>31</v>
      </c>
      <c r="W519" t="n">
        <v>13</v>
      </c>
      <c r="X519" t="n">
        <v>26671680</v>
      </c>
      <c r="Y519" t="inlineStr"/>
      <c r="Z519" t="inlineStr"/>
      <c r="AA519" t="inlineStr">
        <is>
          <t>https://knru.ru/catalog/ul-solnechnaya-d-10-k-2-696500609/</t>
        </is>
      </c>
      <c r="AB519" t="inlineStr">
        <is>
          <t>C</t>
        </is>
      </c>
    </row>
    <row r="520">
      <c r="A520" t="n">
        <v>734</v>
      </c>
      <c r="B520" t="n">
        <v>31</v>
      </c>
      <c r="C520" t="n">
        <v>14</v>
      </c>
      <c r="D520" t="n">
        <v>2</v>
      </c>
      <c r="E520" t="inlineStr">
        <is>
          <t>Всеволожский</t>
        </is>
      </c>
      <c r="F520" t="inlineStr">
        <is>
          <t>Солнечная ул, 10к2</t>
        </is>
      </c>
      <c r="G520" t="n">
        <v>96.5</v>
      </c>
      <c r="H520" t="inlineStr">
        <is>
          <t>20 394 233</t>
        </is>
      </c>
      <c r="I520" t="inlineStr"/>
      <c r="J520" t="inlineStr"/>
      <c r="K520" t="inlineStr"/>
      <c r="L520" t="inlineStr"/>
      <c r="M520" t="inlineStr"/>
      <c r="N520" t="inlineStr">
        <is>
          <t>no</t>
        </is>
      </c>
      <c r="O520" t="inlineStr">
        <is>
          <t>none</t>
        </is>
      </c>
      <c r="P520">
        <f>HYPERLINK("https://knru.ru/catalog/ul-solnechnaya-d-10-k-2/","ссылка")</f>
        <v/>
      </c>
      <c r="Q520" t="inlineStr"/>
      <c r="R520" t="inlineStr">
        <is>
          <t>Нет у нас</t>
        </is>
      </c>
      <c r="S520" t="n">
        <v>0</v>
      </c>
      <c r="T520" t="inlineStr">
        <is>
          <t>Совпадений по улице+дому не найдено</t>
        </is>
      </c>
      <c r="U520" t="n">
        <v>734</v>
      </c>
      <c r="V520" t="n">
        <v>31</v>
      </c>
      <c r="W520" t="n">
        <v>14</v>
      </c>
      <c r="X520" t="n">
        <v>20394233</v>
      </c>
      <c r="Y520" t="inlineStr"/>
      <c r="Z520" t="inlineStr"/>
      <c r="AA520" t="inlineStr">
        <is>
          <t>https://knru.ru/catalog/ul-solnechnaya-d-10-k-2/</t>
        </is>
      </c>
      <c r="AB520" t="inlineStr">
        <is>
          <t>C</t>
        </is>
      </c>
    </row>
    <row r="521">
      <c r="A521" t="n">
        <v>735</v>
      </c>
      <c r="B521" t="n">
        <v>31</v>
      </c>
      <c r="C521" t="n">
        <v>15</v>
      </c>
      <c r="D521" t="n">
        <v>2020590398</v>
      </c>
      <c r="E521" t="inlineStr">
        <is>
          <t>Всеволожский</t>
        </is>
      </c>
      <c r="F521" t="inlineStr">
        <is>
          <t>Солнечная ул, к.1</t>
        </is>
      </c>
      <c r="G521" t="n">
        <v>118.7</v>
      </c>
      <c r="H521" t="inlineStr">
        <is>
          <t>19 177 034</t>
        </is>
      </c>
      <c r="I521" t="inlineStr"/>
      <c r="J521" t="inlineStr"/>
      <c r="K521" t="inlineStr"/>
      <c r="L521" t="inlineStr"/>
      <c r="M521" t="inlineStr"/>
      <c r="N521" t="inlineStr">
        <is>
          <t>no</t>
        </is>
      </c>
      <c r="O521" t="inlineStr">
        <is>
          <t>none</t>
        </is>
      </c>
      <c r="P521">
        <f>HYPERLINK("https://knru.ru/catalog/ul-solnechnaya-k-1-2020590398/","ссылка")</f>
        <v/>
      </c>
      <c r="Q521" t="inlineStr"/>
      <c r="R521" t="inlineStr">
        <is>
          <t>Нет у нас</t>
        </is>
      </c>
      <c r="S521" t="n">
        <v>0</v>
      </c>
      <c r="T521" t="inlineStr">
        <is>
          <t>Совпадений по улице+дому не найдено</t>
        </is>
      </c>
      <c r="U521" t="n">
        <v>735</v>
      </c>
      <c r="V521" t="n">
        <v>31</v>
      </c>
      <c r="W521" t="n">
        <v>15</v>
      </c>
      <c r="X521" t="n">
        <v>19177034</v>
      </c>
      <c r="Y521" t="inlineStr"/>
      <c r="Z521" t="inlineStr"/>
      <c r="AA521" t="inlineStr">
        <is>
          <t>https://knru.ru/catalog/ul-solnechnaya-k-1-2020590398/</t>
        </is>
      </c>
      <c r="AB521" t="inlineStr">
        <is>
          <t>C</t>
        </is>
      </c>
    </row>
    <row r="522">
      <c r="A522" t="n">
        <v>736</v>
      </c>
      <c r="B522" t="n">
        <v>31</v>
      </c>
      <c r="C522" t="n">
        <v>16</v>
      </c>
      <c r="D522" t="n">
        <v>1</v>
      </c>
      <c r="E522" t="inlineStr">
        <is>
          <t>Всеволожский</t>
        </is>
      </c>
      <c r="F522" t="inlineStr">
        <is>
          <t>Солнечная ул, к.1</t>
        </is>
      </c>
      <c r="G522" t="n">
        <v>96.8</v>
      </c>
      <c r="H522" t="inlineStr">
        <is>
          <t>15 847 808</t>
        </is>
      </c>
      <c r="I522" t="inlineStr"/>
      <c r="J522" t="inlineStr"/>
      <c r="K522" t="inlineStr"/>
      <c r="L522" t="inlineStr"/>
      <c r="M522" t="inlineStr"/>
      <c r="N522" t="inlineStr">
        <is>
          <t>no</t>
        </is>
      </c>
      <c r="O522" t="inlineStr">
        <is>
          <t>none</t>
        </is>
      </c>
      <c r="P522">
        <f>HYPERLINK("https://knru.ru/catalog/ul-solnechnaya-k-1/","ссылка")</f>
        <v/>
      </c>
      <c r="Q522" t="inlineStr"/>
      <c r="R522" t="inlineStr">
        <is>
          <t>Нет у нас</t>
        </is>
      </c>
      <c r="S522" t="n">
        <v>0</v>
      </c>
      <c r="T522" t="inlineStr">
        <is>
          <t>Совпадений по улице+дому не найдено</t>
        </is>
      </c>
      <c r="U522" t="n">
        <v>736</v>
      </c>
      <c r="V522" t="n">
        <v>31</v>
      </c>
      <c r="W522" t="n">
        <v>16</v>
      </c>
      <c r="X522" t="n">
        <v>15847808</v>
      </c>
      <c r="Y522" t="inlineStr"/>
      <c r="Z522" t="inlineStr"/>
      <c r="AA522" t="inlineStr">
        <is>
          <t>https://knru.ru/catalog/ul-solnechnaya-k-1/</t>
        </is>
      </c>
      <c r="AB522" t="inlineStr">
        <is>
          <t>C</t>
        </is>
      </c>
    </row>
    <row r="523">
      <c r="A523" t="n">
        <v>737</v>
      </c>
      <c r="B523" t="n">
        <v>31</v>
      </c>
      <c r="C523" t="n">
        <v>17</v>
      </c>
      <c r="D523" t="n">
        <v>883746955</v>
      </c>
      <c r="E523" t="inlineStr">
        <is>
          <t>Петродворцовый</t>
        </is>
      </c>
      <c r="F523" t="inlineStr">
        <is>
          <t>Буденного пр-кт, к.4.2</t>
        </is>
      </c>
      <c r="G523" t="n">
        <v>114.5</v>
      </c>
      <c r="H523" t="inlineStr">
        <is>
          <t>40 000 000</t>
        </is>
      </c>
      <c r="I523" t="inlineStr"/>
      <c r="J523" t="inlineStr"/>
      <c r="K523" t="inlineStr"/>
      <c r="L523" t="inlineStr"/>
      <c r="M523" t="inlineStr"/>
      <c r="N523" t="inlineStr">
        <is>
          <t>no</t>
        </is>
      </c>
      <c r="O523" t="inlineStr">
        <is>
          <t>none</t>
        </is>
      </c>
      <c r="P523">
        <f>HYPERLINK("https://knru.ru/catalog/p-strelna-pr-budyennogo-k-4-2-883746955/","ссылка")</f>
        <v/>
      </c>
      <c r="Q523" t="inlineStr"/>
      <c r="R523" t="inlineStr">
        <is>
          <t>Нет у нас</t>
        </is>
      </c>
      <c r="S523" t="n">
        <v>0</v>
      </c>
      <c r="T523" t="inlineStr">
        <is>
          <t>Совпадений по улице+дому не найдено</t>
        </is>
      </c>
      <c r="U523" t="n">
        <v>737</v>
      </c>
      <c r="V523" t="n">
        <v>31</v>
      </c>
      <c r="W523" t="n">
        <v>17</v>
      </c>
      <c r="X523" t="n">
        <v>40000000</v>
      </c>
      <c r="Y523" t="inlineStr"/>
      <c r="Z523" t="inlineStr"/>
      <c r="AA523" t="inlineStr">
        <is>
          <t>https://knru.ru/catalog/p-strelna-pr-budyennogo-k-4-2-883746955/</t>
        </is>
      </c>
      <c r="AB523" t="inlineStr">
        <is>
          <t>C</t>
        </is>
      </c>
    </row>
    <row r="524">
      <c r="A524" t="n">
        <v>738</v>
      </c>
      <c r="B524" t="n">
        <v>31</v>
      </c>
      <c r="C524" t="n">
        <v>18</v>
      </c>
      <c r="D524" t="n">
        <v>961504447</v>
      </c>
      <c r="E524" t="inlineStr">
        <is>
          <t>Петродворцовый</t>
        </is>
      </c>
      <c r="F524" t="inlineStr">
        <is>
          <t>Буденного пр-кт, к.4.2</t>
        </is>
      </c>
      <c r="G524" t="n">
        <v>112</v>
      </c>
      <c r="H524" t="inlineStr">
        <is>
          <t>40 000 000</t>
        </is>
      </c>
      <c r="I524" t="inlineStr"/>
      <c r="J524" t="inlineStr"/>
      <c r="K524" t="inlineStr"/>
      <c r="L524" t="inlineStr"/>
      <c r="M524" t="inlineStr"/>
      <c r="N524" t="inlineStr">
        <is>
          <t>no</t>
        </is>
      </c>
      <c r="O524" t="inlineStr">
        <is>
          <t>none</t>
        </is>
      </c>
      <c r="P524">
        <f>HYPERLINK("https://knru.ru/catalog/p-strelna-pr-budyennogo-k-4-2-961504447/","ссылка")</f>
        <v/>
      </c>
      <c r="Q524" t="inlineStr"/>
      <c r="R524" t="inlineStr">
        <is>
          <t>Нет у нас</t>
        </is>
      </c>
      <c r="S524" t="n">
        <v>0</v>
      </c>
      <c r="T524" t="inlineStr">
        <is>
          <t>Совпадений по улице+дому не найдено</t>
        </is>
      </c>
      <c r="U524" t="n">
        <v>738</v>
      </c>
      <c r="V524" t="n">
        <v>31</v>
      </c>
      <c r="W524" t="n">
        <v>18</v>
      </c>
      <c r="X524" t="n">
        <v>40000000</v>
      </c>
      <c r="Y524" t="inlineStr"/>
      <c r="Z524" t="inlineStr"/>
      <c r="AA524" t="inlineStr">
        <is>
          <t>https://knru.ru/catalog/p-strelna-pr-budyennogo-k-4-2-961504447/</t>
        </is>
      </c>
      <c r="AB524" t="inlineStr">
        <is>
          <t>C</t>
        </is>
      </c>
    </row>
    <row r="525">
      <c r="A525" t="n">
        <v>739</v>
      </c>
      <c r="B525" t="n">
        <v>31</v>
      </c>
      <c r="C525" t="n">
        <v>19</v>
      </c>
      <c r="D525" t="n">
        <v>1971648670</v>
      </c>
      <c r="E525" t="inlineStr">
        <is>
          <t>Петродворцовый</t>
        </is>
      </c>
      <c r="F525" t="inlineStr">
        <is>
          <t>Буденного пр-кт, к.4.2</t>
        </is>
      </c>
      <c r="G525" t="n">
        <v>51.9</v>
      </c>
      <c r="H525" t="inlineStr">
        <is>
          <t>18 209 880</t>
        </is>
      </c>
      <c r="I525" t="inlineStr"/>
      <c r="J525" t="inlineStr"/>
      <c r="K525" t="inlineStr"/>
      <c r="L525" t="inlineStr"/>
      <c r="M525" t="inlineStr"/>
      <c r="N525" t="inlineStr">
        <is>
          <t>no</t>
        </is>
      </c>
      <c r="O525" t="inlineStr">
        <is>
          <t>none</t>
        </is>
      </c>
      <c r="P525">
        <f>HYPERLINK("https://knru.ru/catalog/p-strelna-pr-budyennogo-k-4-2-1971648670/","ссылка")</f>
        <v/>
      </c>
      <c r="Q525" t="inlineStr"/>
      <c r="R525" t="inlineStr">
        <is>
          <t>Нет у нас</t>
        </is>
      </c>
      <c r="S525" t="n">
        <v>0</v>
      </c>
      <c r="T525" t="inlineStr">
        <is>
          <t>Совпадений по улице+дому не найдено</t>
        </is>
      </c>
      <c r="U525" t="n">
        <v>739</v>
      </c>
      <c r="V525" t="n">
        <v>31</v>
      </c>
      <c r="W525" t="n">
        <v>19</v>
      </c>
      <c r="X525" t="n">
        <v>18209880</v>
      </c>
      <c r="Y525" t="inlineStr"/>
      <c r="Z525" t="inlineStr"/>
      <c r="AA525" t="inlineStr">
        <is>
          <t>https://knru.ru/catalog/p-strelna-pr-budyennogo-k-4-2-1971648670/</t>
        </is>
      </c>
      <c r="AB525" t="inlineStr">
        <is>
          <t>C</t>
        </is>
      </c>
    </row>
    <row r="526">
      <c r="A526" t="n">
        <v>740</v>
      </c>
      <c r="B526" t="n">
        <v>31</v>
      </c>
      <c r="C526" t="n">
        <v>20</v>
      </c>
      <c r="D526" t="n">
        <v>1676499610</v>
      </c>
      <c r="E526" t="inlineStr">
        <is>
          <t>Петродворцовый</t>
        </is>
      </c>
      <c r="F526" t="inlineStr">
        <is>
          <t>Буденного пр-кт, к.4.2</t>
        </is>
      </c>
      <c r="G526" t="n">
        <v>30.1</v>
      </c>
      <c r="H526" t="inlineStr">
        <is>
          <t>10 842 200</t>
        </is>
      </c>
      <c r="I526" t="inlineStr"/>
      <c r="J526" t="inlineStr"/>
      <c r="K526" t="inlineStr"/>
      <c r="L526" t="inlineStr"/>
      <c r="M526" t="inlineStr"/>
      <c r="N526" t="inlineStr">
        <is>
          <t>no</t>
        </is>
      </c>
      <c r="O526" t="inlineStr">
        <is>
          <t>none</t>
        </is>
      </c>
      <c r="P526">
        <f>HYPERLINK("https://knru.ru/catalog/p-strelna-pr-budyennogo-k-4-2-1676499610/","ссылка")</f>
        <v/>
      </c>
      <c r="Q526" t="inlineStr"/>
      <c r="R526" t="inlineStr">
        <is>
          <t>Нет у нас</t>
        </is>
      </c>
      <c r="S526" t="n">
        <v>0</v>
      </c>
      <c r="T526" t="inlineStr">
        <is>
          <t>Совпадений по улице+дому не найдено</t>
        </is>
      </c>
      <c r="U526" t="n">
        <v>740</v>
      </c>
      <c r="V526" t="n">
        <v>31</v>
      </c>
      <c r="W526" t="n">
        <v>20</v>
      </c>
      <c r="X526" t="n">
        <v>10842200</v>
      </c>
      <c r="Y526" t="inlineStr"/>
      <c r="Z526" t="inlineStr"/>
      <c r="AA526" t="inlineStr">
        <is>
          <t>https://knru.ru/catalog/p-strelna-pr-budyennogo-k-4-2-1676499610/</t>
        </is>
      </c>
      <c r="AB526" t="inlineStr">
        <is>
          <t>C</t>
        </is>
      </c>
    </row>
    <row r="527">
      <c r="A527" t="n">
        <v>741</v>
      </c>
      <c r="B527" t="n">
        <v>31</v>
      </c>
      <c r="C527" t="n">
        <v>21</v>
      </c>
      <c r="D527" t="n">
        <v>213730116</v>
      </c>
      <c r="E527" t="inlineStr">
        <is>
          <t>Петродворцовый</t>
        </is>
      </c>
      <c r="F527" t="inlineStr">
        <is>
          <t>Буденного пр-кт, к.4.2</t>
        </is>
      </c>
      <c r="G527" t="n">
        <v>30.1</v>
      </c>
      <c r="H527" t="inlineStr">
        <is>
          <t>10 842 200</t>
        </is>
      </c>
      <c r="I527" t="inlineStr"/>
      <c r="J527" t="inlineStr"/>
      <c r="K527" t="inlineStr"/>
      <c r="L527" t="inlineStr"/>
      <c r="M527" t="inlineStr"/>
      <c r="N527" t="inlineStr">
        <is>
          <t>no</t>
        </is>
      </c>
      <c r="O527" t="inlineStr">
        <is>
          <t>none</t>
        </is>
      </c>
      <c r="P527">
        <f>HYPERLINK("https://knru.ru/catalog/p-strelna-pr-budyennogo-k-4-2-213730116/","ссылка")</f>
        <v/>
      </c>
      <c r="Q527" t="inlineStr"/>
      <c r="R527" t="inlineStr">
        <is>
          <t>Нет у нас</t>
        </is>
      </c>
      <c r="S527" t="n">
        <v>0</v>
      </c>
      <c r="T527" t="inlineStr">
        <is>
          <t>Совпадений по улице+дому не найдено</t>
        </is>
      </c>
      <c r="U527" t="n">
        <v>741</v>
      </c>
      <c r="V527" t="n">
        <v>31</v>
      </c>
      <c r="W527" t="n">
        <v>21</v>
      </c>
      <c r="X527" t="n">
        <v>10842200</v>
      </c>
      <c r="Y527" t="inlineStr"/>
      <c r="Z527" t="inlineStr"/>
      <c r="AA527" t="inlineStr">
        <is>
          <t>https://knru.ru/catalog/p-strelna-pr-budyennogo-k-4-2-213730116/</t>
        </is>
      </c>
      <c r="AB527" t="inlineStr">
        <is>
          <t>C</t>
        </is>
      </c>
    </row>
    <row r="528">
      <c r="A528" t="n">
        <v>742</v>
      </c>
      <c r="B528" t="n">
        <v>31</v>
      </c>
      <c r="C528" t="n">
        <v>22</v>
      </c>
      <c r="D528" t="n">
        <v>53667992</v>
      </c>
      <c r="E528" t="inlineStr">
        <is>
          <t>Петродворцовый</t>
        </is>
      </c>
      <c r="F528" t="inlineStr">
        <is>
          <t>Буденного пр-кт, к.4.2</t>
        </is>
      </c>
      <c r="G528" t="n">
        <v>30.4</v>
      </c>
      <c r="H528" t="inlineStr">
        <is>
          <t>10 393 380</t>
        </is>
      </c>
      <c r="I528" t="inlineStr"/>
      <c r="J528" t="inlineStr"/>
      <c r="K528" t="inlineStr"/>
      <c r="L528" t="inlineStr"/>
      <c r="M528" t="inlineStr"/>
      <c r="N528" t="inlineStr">
        <is>
          <t>no</t>
        </is>
      </c>
      <c r="O528" t="inlineStr">
        <is>
          <t>none</t>
        </is>
      </c>
      <c r="P528">
        <f>HYPERLINK("https://knru.ru/catalog/p-strelna-pr-budyennogo-k-4-2-53667992/","ссылка")</f>
        <v/>
      </c>
      <c r="Q528" t="inlineStr"/>
      <c r="R528" t="inlineStr">
        <is>
          <t>Нет у нас</t>
        </is>
      </c>
      <c r="S528" t="n">
        <v>0</v>
      </c>
      <c r="T528" t="inlineStr">
        <is>
          <t>Совпадений по улице+дому не найдено</t>
        </is>
      </c>
      <c r="U528" t="n">
        <v>742</v>
      </c>
      <c r="V528" t="n">
        <v>31</v>
      </c>
      <c r="W528" t="n">
        <v>22</v>
      </c>
      <c r="X528" t="n">
        <v>10393380</v>
      </c>
      <c r="Y528" t="inlineStr"/>
      <c r="Z528" t="inlineStr"/>
      <c r="AA528" t="inlineStr">
        <is>
          <t>https://knru.ru/catalog/p-strelna-pr-budyennogo-k-4-2-53667992/</t>
        </is>
      </c>
      <c r="AB528" t="inlineStr">
        <is>
          <t>C</t>
        </is>
      </c>
    </row>
    <row r="529">
      <c r="A529" t="n">
        <v>743</v>
      </c>
      <c r="B529" t="n">
        <v>31</v>
      </c>
      <c r="C529" t="n">
        <v>23</v>
      </c>
      <c r="D529" t="n">
        <v>2</v>
      </c>
      <c r="E529" t="inlineStr">
        <is>
          <t>Петродворцовый</t>
        </is>
      </c>
      <c r="F529" t="inlineStr">
        <is>
          <t>Буденного пр-кт, к.4.2</t>
        </is>
      </c>
      <c r="G529" t="n">
        <v>62.2</v>
      </c>
      <c r="H529" t="inlineStr">
        <is>
          <t>19 608 750</t>
        </is>
      </c>
      <c r="I529" t="inlineStr"/>
      <c r="J529" t="inlineStr"/>
      <c r="K529" t="inlineStr"/>
      <c r="L529" t="inlineStr"/>
      <c r="M529" t="inlineStr"/>
      <c r="N529" t="inlineStr">
        <is>
          <t>no</t>
        </is>
      </c>
      <c r="O529" t="inlineStr">
        <is>
          <t>none</t>
        </is>
      </c>
      <c r="P529">
        <f>HYPERLINK("https://knru.ru/catalog/p-strelna-pr-budyennogo-k-4-2/","ссылка")</f>
        <v/>
      </c>
      <c r="Q529" t="inlineStr"/>
      <c r="R529" t="inlineStr">
        <is>
          <t>Нет у нас</t>
        </is>
      </c>
      <c r="S529" t="n">
        <v>0</v>
      </c>
      <c r="T529" t="inlineStr">
        <is>
          <t>Совпадений по улице+дому не найдено</t>
        </is>
      </c>
      <c r="U529" t="n">
        <v>743</v>
      </c>
      <c r="V529" t="n">
        <v>31</v>
      </c>
      <c r="W529" t="n">
        <v>23</v>
      </c>
      <c r="X529" t="n">
        <v>19608750</v>
      </c>
      <c r="Y529" t="inlineStr"/>
      <c r="Z529" t="inlineStr"/>
      <c r="AA529" t="inlineStr">
        <is>
          <t>https://knru.ru/catalog/p-strelna-pr-budyennogo-k-4-2/</t>
        </is>
      </c>
      <c r="AB529" t="inlineStr">
        <is>
          <t>C</t>
        </is>
      </c>
    </row>
    <row r="530">
      <c r="A530" t="n">
        <v>744</v>
      </c>
      <c r="B530" t="n">
        <v>31</v>
      </c>
      <c r="C530" t="n">
        <v>24</v>
      </c>
      <c r="D530" t="n">
        <v>2</v>
      </c>
      <c r="E530" t="inlineStr">
        <is>
          <t>Московский</t>
        </is>
      </c>
      <c r="F530" t="inlineStr">
        <is>
          <t>Новоизмайловский пр-кт, 81к2</t>
        </is>
      </c>
      <c r="G530" t="n">
        <v>1130.6</v>
      </c>
      <c r="H530" t="inlineStr">
        <is>
          <t>280 000 000</t>
        </is>
      </c>
      <c r="I530" t="inlineStr"/>
      <c r="J530" t="inlineStr"/>
      <c r="K530" t="inlineStr"/>
      <c r="L530" t="inlineStr"/>
      <c r="M530" t="inlineStr"/>
      <c r="N530" t="inlineStr">
        <is>
          <t>no</t>
        </is>
      </c>
      <c r="O530" t="inlineStr">
        <is>
          <t>none</t>
        </is>
      </c>
      <c r="P530">
        <f>HYPERLINK("https://knru.ru/catalog/novoizmaylovskiy-pr-d-81-k-2/","ссылка")</f>
        <v/>
      </c>
      <c r="Q530" t="inlineStr"/>
      <c r="R530" t="inlineStr">
        <is>
          <t>Нет у нас</t>
        </is>
      </c>
      <c r="S530" t="n">
        <v>0</v>
      </c>
      <c r="T530" t="inlineStr">
        <is>
          <t>Совпадений по улице+дому не найдено</t>
        </is>
      </c>
      <c r="U530" t="n">
        <v>744</v>
      </c>
      <c r="V530" t="n">
        <v>31</v>
      </c>
      <c r="W530" t="n">
        <v>24</v>
      </c>
      <c r="X530" t="n">
        <v>280000000</v>
      </c>
      <c r="Y530" t="inlineStr"/>
      <c r="Z530" t="inlineStr"/>
      <c r="AA530" t="inlineStr">
        <is>
          <t>https://knru.ru/catalog/novoizmaylovskiy-pr-d-81-k-2/</t>
        </is>
      </c>
      <c r="AB530" t="inlineStr">
        <is>
          <t>C</t>
        </is>
      </c>
    </row>
    <row r="531">
      <c r="A531" t="n">
        <v>745</v>
      </c>
      <c r="B531" t="n">
        <v>32</v>
      </c>
      <c r="C531" t="n">
        <v>1</v>
      </c>
      <c r="D531" t="n">
        <v>1257117048</v>
      </c>
      <c r="E531" t="inlineStr">
        <is>
          <t>Адмиралтейский</t>
        </is>
      </c>
      <c r="F531" t="inlineStr">
        <is>
          <t>Измайловский б-р, 1к2 стр 1</t>
        </is>
      </c>
      <c r="G531" t="n">
        <v>107</v>
      </c>
      <c r="H531" t="inlineStr">
        <is>
          <t>53 590 000</t>
        </is>
      </c>
      <c r="I531" t="inlineStr"/>
      <c r="J531" t="inlineStr"/>
      <c r="K531" t="inlineStr"/>
      <c r="L531" t="inlineStr"/>
      <c r="M531" t="inlineStr"/>
      <c r="N531" t="inlineStr">
        <is>
          <t>no</t>
        </is>
      </c>
      <c r="O531" t="inlineStr">
        <is>
          <t>none</t>
        </is>
      </c>
      <c r="P531">
        <f>HYPERLINK("https://knru.ru/catalog/izmaylovskiy-bul-d-1-k-2-1257117048/","ссылка")</f>
        <v/>
      </c>
      <c r="Q531" t="inlineStr"/>
      <c r="R531" t="inlineStr">
        <is>
          <t>Нет у нас</t>
        </is>
      </c>
      <c r="S531" t="n">
        <v>0</v>
      </c>
      <c r="T531" t="inlineStr">
        <is>
          <t>Совпадений по улице+дому не найдено</t>
        </is>
      </c>
      <c r="U531" t="n">
        <v>745</v>
      </c>
      <c r="V531" t="n">
        <v>32</v>
      </c>
      <c r="W531" t="n">
        <v>1</v>
      </c>
      <c r="X531" t="n">
        <v>53590000</v>
      </c>
      <c r="Y531" t="inlineStr"/>
      <c r="Z531" t="inlineStr"/>
      <c r="AA531" t="inlineStr">
        <is>
          <t>https://knru.ru/catalog/izmaylovskiy-bul-d-1-k-2-1257117048/</t>
        </is>
      </c>
      <c r="AB531" t="inlineStr">
        <is>
          <t>C</t>
        </is>
      </c>
    </row>
    <row r="532">
      <c r="A532" t="n">
        <v>746</v>
      </c>
      <c r="B532" t="n">
        <v>32</v>
      </c>
      <c r="C532" t="n">
        <v>2</v>
      </c>
      <c r="D532" t="n">
        <v>409284503</v>
      </c>
      <c r="E532" t="inlineStr">
        <is>
          <t>Адмиралтейский</t>
        </is>
      </c>
      <c r="F532" t="inlineStr">
        <is>
          <t>Измайловский б-р, 1к2 стр 1</t>
        </is>
      </c>
      <c r="G532" t="n">
        <v>125.1</v>
      </c>
      <c r="H532" t="inlineStr">
        <is>
          <t>62 645 000</t>
        </is>
      </c>
      <c r="I532" t="inlineStr"/>
      <c r="J532" t="inlineStr"/>
      <c r="K532" t="inlineStr"/>
      <c r="L532" t="inlineStr"/>
      <c r="M532" t="inlineStr"/>
      <c r="N532" t="inlineStr">
        <is>
          <t>no</t>
        </is>
      </c>
      <c r="O532" t="inlineStr">
        <is>
          <t>none</t>
        </is>
      </c>
      <c r="P532">
        <f>HYPERLINK("https://knru.ru/catalog/izmaylovskiy-bul-d-1-k-2-409284503/","ссылка")</f>
        <v/>
      </c>
      <c r="Q532" t="inlineStr"/>
      <c r="R532" t="inlineStr">
        <is>
          <t>Нет у нас</t>
        </is>
      </c>
      <c r="S532" t="n">
        <v>0</v>
      </c>
      <c r="T532" t="inlineStr">
        <is>
          <t>Совпадений по улице+дому не найдено</t>
        </is>
      </c>
      <c r="U532" t="n">
        <v>746</v>
      </c>
      <c r="V532" t="n">
        <v>32</v>
      </c>
      <c r="W532" t="n">
        <v>2</v>
      </c>
      <c r="X532" t="n">
        <v>62645000</v>
      </c>
      <c r="Y532" t="inlineStr"/>
      <c r="Z532" t="inlineStr"/>
      <c r="AA532" t="inlineStr">
        <is>
          <t>https://knru.ru/catalog/izmaylovskiy-bul-d-1-k-2-409284503/</t>
        </is>
      </c>
      <c r="AB532" t="inlineStr">
        <is>
          <t>C</t>
        </is>
      </c>
    </row>
    <row r="533">
      <c r="A533" t="n">
        <v>747</v>
      </c>
      <c r="B533" t="n">
        <v>32</v>
      </c>
      <c r="C533" t="n">
        <v>3</v>
      </c>
      <c r="D533" t="n">
        <v>1231386918</v>
      </c>
      <c r="E533" t="inlineStr">
        <is>
          <t>Адмиралтейский</t>
        </is>
      </c>
      <c r="F533" t="inlineStr">
        <is>
          <t>Измайловский б-р, 1к2 стр 1</t>
        </is>
      </c>
      <c r="G533" t="n">
        <v>131.5</v>
      </c>
      <c r="H533" t="inlineStr">
        <is>
          <t>78 924 000</t>
        </is>
      </c>
      <c r="I533" t="inlineStr"/>
      <c r="J533" t="inlineStr"/>
      <c r="K533" t="inlineStr"/>
      <c r="L533" t="inlineStr"/>
      <c r="M533" t="inlineStr"/>
      <c r="N533" t="inlineStr">
        <is>
          <t>no</t>
        </is>
      </c>
      <c r="O533" t="inlineStr">
        <is>
          <t>none</t>
        </is>
      </c>
      <c r="P533">
        <f>HYPERLINK("https://knru.ru/catalog/izmaylovskiy-bul-d-1-k-2-1231386918/","ссылка")</f>
        <v/>
      </c>
      <c r="Q533" t="inlineStr"/>
      <c r="R533" t="inlineStr">
        <is>
          <t>Нет у нас</t>
        </is>
      </c>
      <c r="S533" t="n">
        <v>0</v>
      </c>
      <c r="T533" t="inlineStr">
        <is>
          <t>Совпадений по улице+дому не найдено</t>
        </is>
      </c>
      <c r="U533" t="n">
        <v>747</v>
      </c>
      <c r="V533" t="n">
        <v>32</v>
      </c>
      <c r="W533" t="n">
        <v>3</v>
      </c>
      <c r="X533" t="n">
        <v>78924000</v>
      </c>
      <c r="Y533" t="inlineStr"/>
      <c r="Z533" t="inlineStr"/>
      <c r="AA533" t="inlineStr">
        <is>
          <t>https://knru.ru/catalog/izmaylovskiy-bul-d-1-k-2-1231386918/</t>
        </is>
      </c>
      <c r="AB533" t="inlineStr">
        <is>
          <t>C</t>
        </is>
      </c>
    </row>
    <row r="534">
      <c r="A534" t="n">
        <v>748</v>
      </c>
      <c r="B534" t="n">
        <v>32</v>
      </c>
      <c r="C534" t="n">
        <v>4</v>
      </c>
      <c r="D534" t="n">
        <v>673057440</v>
      </c>
      <c r="E534" t="inlineStr">
        <is>
          <t>Адмиралтейский</t>
        </is>
      </c>
      <c r="F534" t="inlineStr">
        <is>
          <t>Измайловский б-р, 1к2 стр 1</t>
        </is>
      </c>
      <c r="G534" t="n">
        <v>90.2</v>
      </c>
      <c r="H534" t="inlineStr">
        <is>
          <t>63 147 000</t>
        </is>
      </c>
      <c r="I534" t="inlineStr"/>
      <c r="J534" t="inlineStr"/>
      <c r="K534" t="inlineStr"/>
      <c r="L534" t="inlineStr"/>
      <c r="M534" t="inlineStr"/>
      <c r="N534" t="inlineStr">
        <is>
          <t>no</t>
        </is>
      </c>
      <c r="O534" t="inlineStr">
        <is>
          <t>none</t>
        </is>
      </c>
      <c r="P534">
        <f>HYPERLINK("https://knru.ru/catalog/izmaylovskiy-bul-d-1-k-2-673057440/","ссылка")</f>
        <v/>
      </c>
      <c r="Q534" t="inlineStr"/>
      <c r="R534" t="inlineStr">
        <is>
          <t>Нет у нас</t>
        </is>
      </c>
      <c r="S534" t="n">
        <v>0</v>
      </c>
      <c r="T534" t="inlineStr">
        <is>
          <t>Совпадений по улице+дому не найдено</t>
        </is>
      </c>
      <c r="U534" t="n">
        <v>748</v>
      </c>
      <c r="V534" t="n">
        <v>32</v>
      </c>
      <c r="W534" t="n">
        <v>4</v>
      </c>
      <c r="X534" t="n">
        <v>63147000</v>
      </c>
      <c r="Y534" t="inlineStr"/>
      <c r="Z534" t="inlineStr"/>
      <c r="AA534" t="inlineStr">
        <is>
          <t>https://knru.ru/catalog/izmaylovskiy-bul-d-1-k-2-673057440/</t>
        </is>
      </c>
      <c r="AB534" t="inlineStr">
        <is>
          <t>C</t>
        </is>
      </c>
    </row>
    <row r="535">
      <c r="A535" t="n">
        <v>749</v>
      </c>
      <c r="B535" t="n">
        <v>32</v>
      </c>
      <c r="C535" t="n">
        <v>5</v>
      </c>
      <c r="D535" t="n">
        <v>2</v>
      </c>
      <c r="E535" t="inlineStr">
        <is>
          <t>Адмиралтейский</t>
        </is>
      </c>
      <c r="F535" t="inlineStr">
        <is>
          <t>Измайловский б-р, 1к2 стр 1</t>
        </is>
      </c>
      <c r="G535" t="n">
        <v>156.4</v>
      </c>
      <c r="H535" t="inlineStr">
        <is>
          <t>109 494 000</t>
        </is>
      </c>
      <c r="I535" t="inlineStr"/>
      <c r="J535" t="inlineStr"/>
      <c r="K535" t="inlineStr"/>
      <c r="L535" t="inlineStr"/>
      <c r="M535" t="inlineStr"/>
      <c r="N535" t="inlineStr">
        <is>
          <t>no</t>
        </is>
      </c>
      <c r="O535" t="inlineStr">
        <is>
          <t>none</t>
        </is>
      </c>
      <c r="P535">
        <f>HYPERLINK("https://knru.ru/catalog/izmaylovskiy-bul-d-1-k-2/","ссылка")</f>
        <v/>
      </c>
      <c r="Q535" t="inlineStr"/>
      <c r="R535" t="inlineStr">
        <is>
          <t>Нет у нас</t>
        </is>
      </c>
      <c r="S535" t="n">
        <v>0</v>
      </c>
      <c r="T535" t="inlineStr">
        <is>
          <t>Совпадений по улице+дому не найдено</t>
        </is>
      </c>
      <c r="U535" t="n">
        <v>749</v>
      </c>
      <c r="V535" t="n">
        <v>32</v>
      </c>
      <c r="W535" t="n">
        <v>5</v>
      </c>
      <c r="X535" t="n">
        <v>109494000</v>
      </c>
      <c r="Y535" t="inlineStr"/>
      <c r="Z535" t="inlineStr"/>
      <c r="AA535" t="inlineStr">
        <is>
          <t>https://knru.ru/catalog/izmaylovskiy-bul-d-1-k-2/</t>
        </is>
      </c>
      <c r="AB535" t="inlineStr">
        <is>
          <t>C</t>
        </is>
      </c>
    </row>
    <row r="536">
      <c r="A536" t="n">
        <v>750</v>
      </c>
      <c r="B536" t="n">
        <v>32</v>
      </c>
      <c r="C536" t="n">
        <v>6</v>
      </c>
      <c r="D536" t="n">
        <v>1629824113</v>
      </c>
      <c r="E536" t="inlineStr">
        <is>
          <t>Петродворцовый</t>
        </is>
      </c>
      <c r="F536" t="inlineStr">
        <is>
          <t>Буденного пр-кт, к.4.2</t>
        </is>
      </c>
      <c r="G536" t="n">
        <v>82.3</v>
      </c>
      <c r="H536" t="inlineStr">
        <is>
          <t>20 737 080</t>
        </is>
      </c>
      <c r="I536" t="inlineStr"/>
      <c r="J536" t="inlineStr"/>
      <c r="K536" t="inlineStr"/>
      <c r="L536" t="inlineStr"/>
      <c r="M536" t="inlineStr"/>
      <c r="N536" t="inlineStr">
        <is>
          <t>no</t>
        </is>
      </c>
      <c r="O536" t="inlineStr">
        <is>
          <t>none</t>
        </is>
      </c>
      <c r="P536">
        <f>HYPERLINK("https://knru.ru/catalog/p-strelna-pr-budyennogo-d-20-k-1-1629824113/","ссылка")</f>
        <v/>
      </c>
      <c r="Q536" t="inlineStr"/>
      <c r="R536" t="inlineStr">
        <is>
          <t>Нет у нас</t>
        </is>
      </c>
      <c r="S536" t="n">
        <v>0</v>
      </c>
      <c r="T536" t="inlineStr">
        <is>
          <t>Совпадений по улице+дому не найдено</t>
        </is>
      </c>
      <c r="U536" t="n">
        <v>750</v>
      </c>
      <c r="V536" t="n">
        <v>32</v>
      </c>
      <c r="W536" t="n">
        <v>6</v>
      </c>
      <c r="X536" t="n">
        <v>20737080</v>
      </c>
      <c r="Y536" t="inlineStr"/>
      <c r="Z536" t="inlineStr"/>
      <c r="AA536" t="inlineStr">
        <is>
          <t>https://knru.ru/catalog/p-strelna-pr-budyennogo-d-20-k-1-1629824113/</t>
        </is>
      </c>
      <c r="AB536" t="inlineStr">
        <is>
          <t>C</t>
        </is>
      </c>
    </row>
    <row r="537">
      <c r="A537" t="n">
        <v>753</v>
      </c>
      <c r="B537" t="n">
        <v>32</v>
      </c>
      <c r="C537" t="n">
        <v>9</v>
      </c>
      <c r="D537" t="n">
        <v>654895529</v>
      </c>
      <c r="E537" t="inlineStr">
        <is>
          <t>Московский</t>
        </is>
      </c>
      <c r="F537" t="inlineStr">
        <is>
          <t>Кубинская ул, 76к4 литА</t>
        </is>
      </c>
      <c r="G537" t="n">
        <v>47</v>
      </c>
      <c r="H537" t="inlineStr">
        <is>
          <t>19 047 150</t>
        </is>
      </c>
      <c r="I537" t="inlineStr"/>
      <c r="J537" t="inlineStr"/>
      <c r="K537" t="inlineStr"/>
      <c r="L537" t="inlineStr"/>
      <c r="M537" t="inlineStr"/>
      <c r="N537" t="inlineStr">
        <is>
          <t>no</t>
        </is>
      </c>
      <c r="O537" t="inlineStr">
        <is>
          <t>none</t>
        </is>
      </c>
      <c r="P537">
        <f>HYPERLINK("https://knru.ru/catalog/kubinskaya-ulitsa-d-76-k-1-654895529/","ссылка")</f>
        <v/>
      </c>
      <c r="Q537" t="inlineStr"/>
      <c r="R537" t="inlineStr">
        <is>
          <t>Нет у нас</t>
        </is>
      </c>
      <c r="S537" t="n">
        <v>0</v>
      </c>
      <c r="T537" t="inlineStr">
        <is>
          <t>Совпадений по улице+дому не найдено</t>
        </is>
      </c>
      <c r="U537" t="n">
        <v>753</v>
      </c>
      <c r="V537" t="n">
        <v>32</v>
      </c>
      <c r="W537" t="n">
        <v>9</v>
      </c>
      <c r="X537" t="n">
        <v>19047150</v>
      </c>
      <c r="Y537" t="inlineStr"/>
      <c r="Z537" t="inlineStr"/>
      <c r="AA537" t="inlineStr">
        <is>
          <t>https://knru.ru/catalog/kubinskaya-ulitsa-d-76-k-1-654895529/</t>
        </is>
      </c>
      <c r="AB537" t="inlineStr">
        <is>
          <t>C</t>
        </is>
      </c>
    </row>
    <row r="538">
      <c r="A538" t="n">
        <v>754</v>
      </c>
      <c r="B538" t="n">
        <v>32</v>
      </c>
      <c r="C538" t="n">
        <v>10</v>
      </c>
      <c r="D538" t="n">
        <v>176788266</v>
      </c>
      <c r="E538" t="inlineStr">
        <is>
          <t>Московский</t>
        </is>
      </c>
      <c r="F538" t="inlineStr">
        <is>
          <t>Кубинская ул, 76к4 литА</t>
        </is>
      </c>
      <c r="G538" t="n">
        <v>140.2</v>
      </c>
      <c r="H538" t="inlineStr">
        <is>
          <t>42 916 500</t>
        </is>
      </c>
      <c r="I538" t="inlineStr"/>
      <c r="J538" t="inlineStr"/>
      <c r="K538" t="inlineStr"/>
      <c r="L538" t="inlineStr"/>
      <c r="M538" t="inlineStr"/>
      <c r="N538" t="inlineStr">
        <is>
          <t>no</t>
        </is>
      </c>
      <c r="O538" t="inlineStr">
        <is>
          <t>none</t>
        </is>
      </c>
      <c r="P538">
        <f>HYPERLINK("https://knru.ru/catalog/kubinskaya-ulitsa-d-76-k-1-176788266/","ссылка")</f>
        <v/>
      </c>
      <c r="Q538" t="inlineStr"/>
      <c r="R538" t="inlineStr">
        <is>
          <t>Нет у нас</t>
        </is>
      </c>
      <c r="S538" t="n">
        <v>0</v>
      </c>
      <c r="T538" t="inlineStr">
        <is>
          <t>Совпадений по улице+дому не найдено</t>
        </is>
      </c>
      <c r="U538" t="n">
        <v>754</v>
      </c>
      <c r="V538" t="n">
        <v>32</v>
      </c>
      <c r="W538" t="n">
        <v>10</v>
      </c>
      <c r="X538" t="n">
        <v>42916500</v>
      </c>
      <c r="Y538" t="inlineStr"/>
      <c r="Z538" t="inlineStr"/>
      <c r="AA538" t="inlineStr">
        <is>
          <t>https://knru.ru/catalog/kubinskaya-ulitsa-d-76-k-1-176788266/</t>
        </is>
      </c>
      <c r="AB538" t="inlineStr">
        <is>
          <t>C</t>
        </is>
      </c>
    </row>
    <row r="539">
      <c r="A539" t="n">
        <v>755</v>
      </c>
      <c r="B539" t="n">
        <v>32</v>
      </c>
      <c r="C539" t="n">
        <v>11</v>
      </c>
      <c r="D539" t="n">
        <v>1637894276</v>
      </c>
      <c r="E539" t="inlineStr">
        <is>
          <t>Московский</t>
        </is>
      </c>
      <c r="F539" t="inlineStr">
        <is>
          <t>Кубинская ул, 76к4 литА</t>
        </is>
      </c>
      <c r="G539" t="n">
        <v>62.8</v>
      </c>
      <c r="H539" t="inlineStr">
        <is>
          <t>24 311 340</t>
        </is>
      </c>
      <c r="I539" t="inlineStr"/>
      <c r="J539" t="inlineStr"/>
      <c r="K539" t="inlineStr"/>
      <c r="L539" t="inlineStr"/>
      <c r="M539" t="inlineStr"/>
      <c r="N539" t="inlineStr">
        <is>
          <t>no</t>
        </is>
      </c>
      <c r="O539" t="inlineStr">
        <is>
          <t>none</t>
        </is>
      </c>
      <c r="P539">
        <f>HYPERLINK("https://knru.ru/catalog/kubinskaya-ulitsa-d-76-k-1-1637894276/","ссылка")</f>
        <v/>
      </c>
      <c r="Q539" t="inlineStr"/>
      <c r="R539" t="inlineStr">
        <is>
          <t>Нет у нас</t>
        </is>
      </c>
      <c r="S539" t="n">
        <v>0</v>
      </c>
      <c r="T539" t="inlineStr">
        <is>
          <t>Совпадений по улице+дому не найдено</t>
        </is>
      </c>
      <c r="U539" t="n">
        <v>755</v>
      </c>
      <c r="V539" t="n">
        <v>32</v>
      </c>
      <c r="W539" t="n">
        <v>11</v>
      </c>
      <c r="X539" t="n">
        <v>24311340</v>
      </c>
      <c r="Y539" t="inlineStr"/>
      <c r="Z539" t="inlineStr"/>
      <c r="AA539" t="inlineStr">
        <is>
          <t>https://knru.ru/catalog/kubinskaya-ulitsa-d-76-k-1-1637894276/</t>
        </is>
      </c>
      <c r="AB539" t="inlineStr">
        <is>
          <t>C</t>
        </is>
      </c>
    </row>
    <row r="540">
      <c r="A540" t="n">
        <v>756</v>
      </c>
      <c r="B540" t="n">
        <v>32</v>
      </c>
      <c r="C540" t="n">
        <v>12</v>
      </c>
      <c r="D540" t="n">
        <v>820668287</v>
      </c>
      <c r="E540" t="inlineStr">
        <is>
          <t>Василеостровский</t>
        </is>
      </c>
      <c r="F540" t="inlineStr">
        <is>
          <t>Масляный канал ул, 2</t>
        </is>
      </c>
      <c r="G540" t="n">
        <v>46.4</v>
      </c>
      <c r="H540" t="inlineStr">
        <is>
          <t>22 142 340</t>
        </is>
      </c>
      <c r="I540" t="inlineStr"/>
      <c r="J540" t="inlineStr"/>
      <c r="K540" t="inlineStr"/>
      <c r="L540" t="inlineStr"/>
      <c r="M540" t="inlineStr"/>
      <c r="N540" t="inlineStr">
        <is>
          <t>no</t>
        </is>
      </c>
      <c r="O540" t="inlineStr">
        <is>
          <t>none</t>
        </is>
      </c>
      <c r="P540">
        <f>HYPERLINK("https://knru.ru/catalog/maslyanyy-kanal-820668287/","ссылка")</f>
        <v/>
      </c>
      <c r="Q540" t="inlineStr"/>
      <c r="R540" t="inlineStr">
        <is>
          <t>Нет у нас</t>
        </is>
      </c>
      <c r="S540" t="n">
        <v>0</v>
      </c>
      <c r="T540" t="inlineStr">
        <is>
          <t>Совпадений по улице+дому не найдено</t>
        </is>
      </c>
      <c r="U540" t="n">
        <v>756</v>
      </c>
      <c r="V540" t="n">
        <v>32</v>
      </c>
      <c r="W540" t="n">
        <v>12</v>
      </c>
      <c r="X540" t="n">
        <v>22142340</v>
      </c>
      <c r="Y540" t="inlineStr"/>
      <c r="Z540" t="inlineStr"/>
      <c r="AA540" t="inlineStr">
        <is>
          <t>https://knru.ru/catalog/maslyanyy-kanal-820668287/</t>
        </is>
      </c>
      <c r="AB540" t="inlineStr">
        <is>
          <t>C</t>
        </is>
      </c>
    </row>
    <row r="541">
      <c r="A541" t="n">
        <v>757</v>
      </c>
      <c r="B541" t="n">
        <v>32</v>
      </c>
      <c r="C541" t="n">
        <v>13</v>
      </c>
      <c r="D541" t="n">
        <v>1852710681</v>
      </c>
      <c r="E541" t="inlineStr">
        <is>
          <t>Василеостровский</t>
        </is>
      </c>
      <c r="F541" t="inlineStr">
        <is>
          <t>Масляный канал ул, 2</t>
        </is>
      </c>
      <c r="G541" t="n">
        <v>43.2</v>
      </c>
      <c r="H541" t="inlineStr">
        <is>
          <t>20 601 630</t>
        </is>
      </c>
      <c r="I541" t="inlineStr"/>
      <c r="J541" t="inlineStr"/>
      <c r="K541" t="inlineStr"/>
      <c r="L541" t="inlineStr"/>
      <c r="M541" t="inlineStr"/>
      <c r="N541" t="inlineStr">
        <is>
          <t>no</t>
        </is>
      </c>
      <c r="O541" t="inlineStr">
        <is>
          <t>none</t>
        </is>
      </c>
      <c r="P541">
        <f>HYPERLINK("https://knru.ru/catalog/maslyanyy-kanal-1852710681/","ссылка")</f>
        <v/>
      </c>
      <c r="Q541" t="inlineStr"/>
      <c r="R541" t="inlineStr">
        <is>
          <t>Нет у нас</t>
        </is>
      </c>
      <c r="S541" t="n">
        <v>0</v>
      </c>
      <c r="T541" t="inlineStr">
        <is>
          <t>Совпадений по улице+дому не найдено</t>
        </is>
      </c>
      <c r="U541" t="n">
        <v>757</v>
      </c>
      <c r="V541" t="n">
        <v>32</v>
      </c>
      <c r="W541" t="n">
        <v>13</v>
      </c>
      <c r="X541" t="n">
        <v>20601630</v>
      </c>
      <c r="Y541" t="inlineStr"/>
      <c r="Z541" t="inlineStr"/>
      <c r="AA541" t="inlineStr">
        <is>
          <t>https://knru.ru/catalog/maslyanyy-kanal-1852710681/</t>
        </is>
      </c>
      <c r="AB541" t="inlineStr">
        <is>
          <t>C</t>
        </is>
      </c>
    </row>
    <row r="542">
      <c r="A542" t="n">
        <v>758</v>
      </c>
      <c r="B542" t="n">
        <v>32</v>
      </c>
      <c r="C542" t="n">
        <v>14</v>
      </c>
      <c r="D542" t="n">
        <v>1736231938</v>
      </c>
      <c r="E542" t="inlineStr">
        <is>
          <t>Московский</t>
        </is>
      </c>
      <c r="F542" t="inlineStr">
        <is>
          <t>Московский пр-кт, 65 Э</t>
        </is>
      </c>
      <c r="G542" t="n">
        <v>235</v>
      </c>
      <c r="H542" t="inlineStr">
        <is>
          <t>92 587 900</t>
        </is>
      </c>
      <c r="I542" t="inlineStr"/>
      <c r="J542" t="inlineStr"/>
      <c r="K542" t="inlineStr"/>
      <c r="L542" t="inlineStr"/>
      <c r="M542" t="inlineStr"/>
      <c r="N542" t="inlineStr">
        <is>
          <t>no</t>
        </is>
      </c>
      <c r="O542" t="inlineStr">
        <is>
          <t>none</t>
        </is>
      </c>
      <c r="P542">
        <f>HYPERLINK("https://knru.ru/catalog/pr-kt-moskovskiy-d-65-lit-e-1736231938/","ссылка")</f>
        <v/>
      </c>
      <c r="Q542" t="inlineStr"/>
      <c r="R542" t="inlineStr">
        <is>
          <t>Нет у нас</t>
        </is>
      </c>
      <c r="S542" t="n">
        <v>0</v>
      </c>
      <c r="T542" t="inlineStr">
        <is>
          <t>Совпадений по улице+дому не найдено</t>
        </is>
      </c>
      <c r="U542" t="n">
        <v>758</v>
      </c>
      <c r="V542" t="n">
        <v>32</v>
      </c>
      <c r="W542" t="n">
        <v>14</v>
      </c>
      <c r="X542" t="n">
        <v>92587900</v>
      </c>
      <c r="Y542" t="inlineStr"/>
      <c r="Z542" t="inlineStr"/>
      <c r="AA542" t="inlineStr">
        <is>
          <t>https://knru.ru/catalog/pr-kt-moskovskiy-d-65-lit-e-1736231938/</t>
        </is>
      </c>
      <c r="AB542" t="inlineStr">
        <is>
          <t>C</t>
        </is>
      </c>
    </row>
    <row r="543">
      <c r="A543" t="n">
        <v>759</v>
      </c>
      <c r="B543" t="n">
        <v>32</v>
      </c>
      <c r="C543" t="n">
        <v>15</v>
      </c>
      <c r="D543" t="n">
        <v>95347776</v>
      </c>
      <c r="E543" t="inlineStr">
        <is>
          <t>Московский</t>
        </is>
      </c>
      <c r="F543" t="inlineStr">
        <is>
          <t>Московский пр-кт, 65 Э</t>
        </is>
      </c>
      <c r="G543" t="n">
        <v>104</v>
      </c>
      <c r="H543" t="inlineStr">
        <is>
          <t>40 507 445</t>
        </is>
      </c>
      <c r="I543" t="inlineStr"/>
      <c r="J543" t="inlineStr"/>
      <c r="K543" t="inlineStr"/>
      <c r="L543" t="inlineStr"/>
      <c r="M543" t="inlineStr"/>
      <c r="N543" t="inlineStr">
        <is>
          <t>no</t>
        </is>
      </c>
      <c r="O543" t="inlineStr">
        <is>
          <t>none</t>
        </is>
      </c>
      <c r="P543">
        <f>HYPERLINK("https://knru.ru/catalog/pr-kt-moskovskiy-d-65-lit-e-95347776/","ссылка")</f>
        <v/>
      </c>
      <c r="Q543" t="inlineStr"/>
      <c r="R543" t="inlineStr">
        <is>
          <t>Нет у нас</t>
        </is>
      </c>
      <c r="S543" t="n">
        <v>0</v>
      </c>
      <c r="T543" t="inlineStr">
        <is>
          <t>Совпадений по улице+дому не найдено</t>
        </is>
      </c>
      <c r="U543" t="n">
        <v>759</v>
      </c>
      <c r="V543" t="n">
        <v>32</v>
      </c>
      <c r="W543" t="n">
        <v>15</v>
      </c>
      <c r="X543" t="n">
        <v>40507445</v>
      </c>
      <c r="Y543" t="inlineStr"/>
      <c r="Z543" t="inlineStr"/>
      <c r="AA543" t="inlineStr">
        <is>
          <t>https://knru.ru/catalog/pr-kt-moskovskiy-d-65-lit-e-95347776/</t>
        </is>
      </c>
      <c r="AB543" t="inlineStr">
        <is>
          <t>C</t>
        </is>
      </c>
    </row>
    <row r="544">
      <c r="A544" t="n">
        <v>760</v>
      </c>
      <c r="B544" t="n">
        <v>32</v>
      </c>
      <c r="C544" t="n">
        <v>16</v>
      </c>
      <c r="D544" t="inlineStr"/>
      <c r="E544" t="inlineStr">
        <is>
          <t>Московский</t>
        </is>
      </c>
      <c r="F544" t="inlineStr">
        <is>
          <t>Московский пр-кт, 65 Э</t>
        </is>
      </c>
      <c r="G544" t="n">
        <v>59</v>
      </c>
      <c r="H544" t="inlineStr">
        <is>
          <t>22 296 325</t>
        </is>
      </c>
      <c r="I544" t="inlineStr"/>
      <c r="J544" t="inlineStr"/>
      <c r="K544" t="inlineStr"/>
      <c r="L544" t="inlineStr"/>
      <c r="M544" t="inlineStr"/>
      <c r="N544" t="inlineStr">
        <is>
          <t>no</t>
        </is>
      </c>
      <c r="O544" t="inlineStr">
        <is>
          <t>none</t>
        </is>
      </c>
      <c r="P544">
        <f>HYPERLINK("https://knru.ru/catalog/pr-kt-moskovskiy-d-65-lit-e/","ссылка")</f>
        <v/>
      </c>
      <c r="Q544" t="inlineStr"/>
      <c r="R544" t="inlineStr">
        <is>
          <t>Нет у нас</t>
        </is>
      </c>
      <c r="S544" t="n">
        <v>0</v>
      </c>
      <c r="T544" t="inlineStr">
        <is>
          <t>Совпадений по улице+дому не найдено</t>
        </is>
      </c>
      <c r="U544" t="n">
        <v>760</v>
      </c>
      <c r="V544" t="n">
        <v>32</v>
      </c>
      <c r="W544" t="n">
        <v>16</v>
      </c>
      <c r="X544" t="n">
        <v>22296325</v>
      </c>
      <c r="Y544" t="inlineStr"/>
      <c r="Z544" t="inlineStr"/>
      <c r="AA544" t="inlineStr">
        <is>
          <t>https://knru.ru/catalog/pr-kt-moskovskiy-d-65-lit-e/</t>
        </is>
      </c>
      <c r="AB544" t="inlineStr">
        <is>
          <t>C</t>
        </is>
      </c>
    </row>
    <row r="545">
      <c r="A545" t="n">
        <v>765</v>
      </c>
      <c r="B545" t="n">
        <v>32</v>
      </c>
      <c r="C545" t="n">
        <v>21</v>
      </c>
      <c r="D545" t="n">
        <v>419056949</v>
      </c>
      <c r="E545" t="inlineStr">
        <is>
          <t>Всеволожский</t>
        </is>
      </c>
      <c r="F545" t="inlineStr">
        <is>
          <t>Индустриальная ул, 12/4</t>
        </is>
      </c>
      <c r="G545" t="n">
        <v>4794</v>
      </c>
      <c r="H545" t="inlineStr">
        <is>
          <t>23 970 000</t>
        </is>
      </c>
      <c r="I545" t="inlineStr"/>
      <c r="J545" t="inlineStr"/>
      <c r="K545" t="inlineStr"/>
      <c r="L545" t="inlineStr"/>
      <c r="M545" t="inlineStr"/>
      <c r="N545" t="inlineStr">
        <is>
          <t>no</t>
        </is>
      </c>
      <c r="O545" t="inlineStr">
        <is>
          <t>none</t>
        </is>
      </c>
      <c r="P545">
        <f>HYPERLINK("https://knru.ru/catalog/industrialnaya-ul-12-4-419056949/","ссылка")</f>
        <v/>
      </c>
      <c r="Q545" t="inlineStr"/>
      <c r="R545" t="inlineStr">
        <is>
          <t>Нет у нас</t>
        </is>
      </c>
      <c r="S545" t="n">
        <v>0</v>
      </c>
      <c r="T545" t="inlineStr">
        <is>
          <t>Совпадений по улице+дому не найдено</t>
        </is>
      </c>
      <c r="U545" t="n">
        <v>765</v>
      </c>
      <c r="V545" t="n">
        <v>32</v>
      </c>
      <c r="W545" t="n">
        <v>21</v>
      </c>
      <c r="X545" t="n">
        <v>23970000</v>
      </c>
      <c r="Y545" t="inlineStr"/>
      <c r="Z545" t="inlineStr"/>
      <c r="AA545" t="inlineStr">
        <is>
          <t>https://knru.ru/catalog/industrialnaya-ul-12-4-419056949/</t>
        </is>
      </c>
      <c r="AB545" t="inlineStr">
        <is>
          <t>C</t>
        </is>
      </c>
    </row>
    <row r="546">
      <c r="A546" t="n">
        <v>766</v>
      </c>
      <c r="B546" t="n">
        <v>32</v>
      </c>
      <c r="C546" t="n">
        <v>22</v>
      </c>
      <c r="D546" t="n">
        <v>2089805111</v>
      </c>
      <c r="E546" t="inlineStr">
        <is>
          <t>Всеволожский</t>
        </is>
      </c>
      <c r="F546" t="inlineStr">
        <is>
          <t>Индустриальная ул, 12/4</t>
        </is>
      </c>
      <c r="G546" t="n">
        <v>2948</v>
      </c>
      <c r="H546" t="inlineStr">
        <is>
          <t>13 266 000</t>
        </is>
      </c>
      <c r="I546" t="inlineStr"/>
      <c r="J546" t="inlineStr"/>
      <c r="K546" t="inlineStr"/>
      <c r="L546" t="inlineStr"/>
      <c r="M546" t="inlineStr"/>
      <c r="N546" t="inlineStr">
        <is>
          <t>no</t>
        </is>
      </c>
      <c r="O546" t="inlineStr">
        <is>
          <t>none</t>
        </is>
      </c>
      <c r="P546">
        <f>HYPERLINK("https://knru.ru/catalog/industrialnaya-ul-12-4-2089805111/","ссылка")</f>
        <v/>
      </c>
      <c r="Q546" t="inlineStr"/>
      <c r="R546" t="inlineStr">
        <is>
          <t>Нет у нас</t>
        </is>
      </c>
      <c r="S546" t="n">
        <v>0</v>
      </c>
      <c r="T546" t="inlineStr">
        <is>
          <t>Совпадений по улице+дому не найдено</t>
        </is>
      </c>
      <c r="U546" t="n">
        <v>766</v>
      </c>
      <c r="V546" t="n">
        <v>32</v>
      </c>
      <c r="W546" t="n">
        <v>22</v>
      </c>
      <c r="X546" t="n">
        <v>13266000</v>
      </c>
      <c r="Y546" t="inlineStr"/>
      <c r="Z546" t="inlineStr"/>
      <c r="AA546" t="inlineStr">
        <is>
          <t>https://knru.ru/catalog/industrialnaya-ul-12-4-2089805111/</t>
        </is>
      </c>
      <c r="AB546" t="inlineStr">
        <is>
          <t>C</t>
        </is>
      </c>
    </row>
    <row r="547">
      <c r="A547" t="n">
        <v>767</v>
      </c>
      <c r="B547" t="n">
        <v>32</v>
      </c>
      <c r="C547" t="n">
        <v>23</v>
      </c>
      <c r="D547" t="n">
        <v>4</v>
      </c>
      <c r="E547" t="inlineStr">
        <is>
          <t>Всеволожский</t>
        </is>
      </c>
      <c r="F547" t="inlineStr">
        <is>
          <t>Индустриальная ул, 12/4</t>
        </is>
      </c>
      <c r="G547" t="n">
        <v>4999</v>
      </c>
      <c r="H547" t="inlineStr">
        <is>
          <t>22 495 000</t>
        </is>
      </c>
      <c r="I547" t="inlineStr"/>
      <c r="J547" t="inlineStr"/>
      <c r="K547" t="inlineStr"/>
      <c r="L547" t="inlineStr"/>
      <c r="M547" t="inlineStr"/>
      <c r="N547" t="inlineStr">
        <is>
          <t>no</t>
        </is>
      </c>
      <c r="O547" t="inlineStr">
        <is>
          <t>none</t>
        </is>
      </c>
      <c r="P547">
        <f>HYPERLINK("https://knru.ru/catalog/industrialnaya-ul-12-4/","ссылка")</f>
        <v/>
      </c>
      <c r="Q547" t="inlineStr"/>
      <c r="R547" t="inlineStr">
        <is>
          <t>Нет у нас</t>
        </is>
      </c>
      <c r="S547" t="n">
        <v>0</v>
      </c>
      <c r="T547" t="inlineStr">
        <is>
          <t>Совпадений по улице+дому не найдено</t>
        </is>
      </c>
      <c r="U547" t="n">
        <v>767</v>
      </c>
      <c r="V547" t="n">
        <v>32</v>
      </c>
      <c r="W547" t="n">
        <v>23</v>
      </c>
      <c r="X547" t="n">
        <v>22495000</v>
      </c>
      <c r="Y547" t="inlineStr"/>
      <c r="Z547" t="inlineStr"/>
      <c r="AA547" t="inlineStr">
        <is>
          <t>https://knru.ru/catalog/industrialnaya-ul-12-4/</t>
        </is>
      </c>
      <c r="AB547" t="inlineStr">
        <is>
          <t>C</t>
        </is>
      </c>
    </row>
    <row r="548">
      <c r="A548" t="n">
        <v>768</v>
      </c>
      <c r="B548" t="n">
        <v>32</v>
      </c>
      <c r="C548" t="n">
        <v>24</v>
      </c>
      <c r="D548" t="n">
        <v>1351124461</v>
      </c>
      <c r="E548" t="inlineStr">
        <is>
          <t>Пушкинский</t>
        </is>
      </c>
      <c r="F548" t="inlineStr">
        <is>
          <t>Старорусский пр-кт, null</t>
        </is>
      </c>
      <c r="G548" t="n">
        <v>108.5</v>
      </c>
      <c r="H548" t="inlineStr">
        <is>
          <t>19 780 198</t>
        </is>
      </c>
      <c r="I548" t="inlineStr"/>
      <c r="J548" t="inlineStr"/>
      <c r="K548" t="inlineStr"/>
      <c r="L548" t="inlineStr"/>
      <c r="M548" t="inlineStr"/>
      <c r="N548" t="inlineStr">
        <is>
          <t>no</t>
        </is>
      </c>
      <c r="O548" t="inlineStr">
        <is>
          <t>none</t>
        </is>
      </c>
      <c r="P548">
        <f>HYPERLINK("https://knru.ru/catalog/p-shushary-starorusskiy-pr-kt-zhk-akvilon-all-in-3-0-1351124461/","ссылка")</f>
        <v/>
      </c>
      <c r="Q548" t="inlineStr"/>
      <c r="R548" t="inlineStr">
        <is>
          <t>Нет у нас</t>
        </is>
      </c>
      <c r="S548" t="n">
        <v>0</v>
      </c>
      <c r="T548" t="inlineStr">
        <is>
          <t>Совпадений по улице+дому не найдено</t>
        </is>
      </c>
      <c r="U548" t="n">
        <v>768</v>
      </c>
      <c r="V548" t="n">
        <v>32</v>
      </c>
      <c r="W548" t="n">
        <v>24</v>
      </c>
      <c r="X548" t="n">
        <v>19780198</v>
      </c>
      <c r="Y548" t="inlineStr"/>
      <c r="Z548" t="inlineStr"/>
      <c r="AA548" t="inlineStr">
        <is>
          <t>https://knru.ru/catalog/p-shushary-starorusskiy-pr-kt-zhk-akvilon-all-in-3-0-1351124461/</t>
        </is>
      </c>
      <c r="AB548" t="inlineStr">
        <is>
          <t>C</t>
        </is>
      </c>
    </row>
    <row r="549">
      <c r="A549" t="n">
        <v>769</v>
      </c>
      <c r="B549" t="n">
        <v>33</v>
      </c>
      <c r="C549" t="n">
        <v>1</v>
      </c>
      <c r="D549" t="n">
        <v>0</v>
      </c>
      <c r="E549" t="inlineStr">
        <is>
          <t>Пушкинский</t>
        </is>
      </c>
      <c r="F549" t="inlineStr">
        <is>
          <t>Старорусский пр-кт, null</t>
        </is>
      </c>
      <c r="G549" t="n">
        <v>99.59999999999999</v>
      </c>
      <c r="H549" t="inlineStr">
        <is>
          <t>18 631 408</t>
        </is>
      </c>
      <c r="I549" t="inlineStr"/>
      <c r="J549" t="inlineStr"/>
      <c r="K549" t="inlineStr"/>
      <c r="L549" t="inlineStr"/>
      <c r="M549" t="inlineStr"/>
      <c r="N549" t="inlineStr">
        <is>
          <t>no</t>
        </is>
      </c>
      <c r="O549" t="inlineStr">
        <is>
          <t>none</t>
        </is>
      </c>
      <c r="P549">
        <f>HYPERLINK("https://knru.ru/catalog/p-shushary-starorusskiy-pr-kt-zhk-akvilon-all-in-3-0/","ссылка")</f>
        <v/>
      </c>
      <c r="Q549" t="inlineStr"/>
      <c r="R549" t="inlineStr">
        <is>
          <t>Нет у нас</t>
        </is>
      </c>
      <c r="S549" t="n">
        <v>0</v>
      </c>
      <c r="T549" t="inlineStr">
        <is>
          <t>Совпадений по улице+дому не найдено</t>
        </is>
      </c>
      <c r="U549" t="n">
        <v>769</v>
      </c>
      <c r="V549" t="n">
        <v>33</v>
      </c>
      <c r="W549" t="n">
        <v>1</v>
      </c>
      <c r="X549" t="n">
        <v>18631408</v>
      </c>
      <c r="Y549" t="inlineStr"/>
      <c r="Z549" t="inlineStr"/>
      <c r="AA549" t="inlineStr">
        <is>
          <t>https://knru.ru/catalog/p-shushary-starorusskiy-pr-kt-zhk-akvilon-all-in-3-0/</t>
        </is>
      </c>
      <c r="AB549" t="inlineStr">
        <is>
          <t>C</t>
        </is>
      </c>
    </row>
    <row r="550">
      <c r="A550" t="n">
        <v>771</v>
      </c>
      <c r="B550" t="n">
        <v>33</v>
      </c>
      <c r="C550" t="n">
        <v>3</v>
      </c>
      <c r="D550" t="n">
        <v>28</v>
      </c>
      <c r="E550" t="inlineStr">
        <is>
          <t>Кировский</t>
        </is>
      </c>
      <c r="F550" t="inlineStr">
        <is>
          <t>Морской Пехоты ул, 28</t>
        </is>
      </c>
      <c r="G550" t="n">
        <v>350.7</v>
      </c>
      <c r="H550" t="inlineStr">
        <is>
          <t>52 464 720</t>
        </is>
      </c>
      <c r="I550" t="inlineStr"/>
      <c r="J550" t="inlineStr"/>
      <c r="K550" t="inlineStr"/>
      <c r="L550" t="inlineStr"/>
      <c r="M550" t="inlineStr"/>
      <c r="N550" t="inlineStr">
        <is>
          <t>no</t>
        </is>
      </c>
      <c r="O550" t="inlineStr">
        <is>
          <t>none</t>
        </is>
      </c>
      <c r="P550">
        <f>HYPERLINK("https://knru.ru/catalog/ul-morskoy-pekhoty-d-28/","ссылка")</f>
        <v/>
      </c>
      <c r="Q550" t="inlineStr"/>
      <c r="R550" t="inlineStr">
        <is>
          <t>Нет у нас</t>
        </is>
      </c>
      <c r="S550" t="n">
        <v>0</v>
      </c>
      <c r="T550" t="inlineStr">
        <is>
          <t>Совпадений по улице+дому не найдено</t>
        </is>
      </c>
      <c r="U550" t="n">
        <v>771</v>
      </c>
      <c r="V550" t="n">
        <v>33</v>
      </c>
      <c r="W550" t="n">
        <v>3</v>
      </c>
      <c r="X550" t="n">
        <v>52464720</v>
      </c>
      <c r="Y550" t="inlineStr"/>
      <c r="Z550" t="inlineStr"/>
      <c r="AA550" t="inlineStr">
        <is>
          <t>https://knru.ru/catalog/ul-morskoy-pekhoty-d-28/</t>
        </is>
      </c>
      <c r="AB550" t="inlineStr">
        <is>
          <t>C</t>
        </is>
      </c>
    </row>
    <row r="551">
      <c r="A551" t="n">
        <v>772</v>
      </c>
      <c r="B551" t="n">
        <v>33</v>
      </c>
      <c r="C551" t="n">
        <v>4</v>
      </c>
      <c r="D551" t="n">
        <v>57</v>
      </c>
      <c r="E551" t="inlineStr">
        <is>
          <t>Красносельский</t>
        </is>
      </c>
      <c r="F551" t="inlineStr">
        <is>
          <t>Петергофское ш, 57 А</t>
        </is>
      </c>
      <c r="G551" t="n">
        <v>352</v>
      </c>
      <c r="H551" t="inlineStr">
        <is>
          <t>45 000 000</t>
        </is>
      </c>
      <c r="I551" t="inlineStr"/>
      <c r="J551" t="inlineStr"/>
      <c r="K551" t="inlineStr"/>
      <c r="L551" t="inlineStr"/>
      <c r="M551" t="inlineStr"/>
      <c r="N551" t="inlineStr">
        <is>
          <t>no</t>
        </is>
      </c>
      <c r="O551" t="inlineStr">
        <is>
          <t>none</t>
        </is>
      </c>
      <c r="P551">
        <f>HYPERLINK("https://knru.ru/catalog/petergofskoe-sh-d-57/","ссылка")</f>
        <v/>
      </c>
      <c r="Q551" t="inlineStr"/>
      <c r="R551" t="inlineStr">
        <is>
          <t>Нет у нас</t>
        </is>
      </c>
      <c r="S551" t="n">
        <v>0</v>
      </c>
      <c r="T551" t="inlineStr">
        <is>
          <t>Совпадений по улице+дому не найдено</t>
        </is>
      </c>
      <c r="U551" t="n">
        <v>772</v>
      </c>
      <c r="V551" t="n">
        <v>33</v>
      </c>
      <c r="W551" t="n">
        <v>4</v>
      </c>
      <c r="X551" t="n">
        <v>45000000</v>
      </c>
      <c r="Y551" t="inlineStr"/>
      <c r="Z551" t="inlineStr"/>
      <c r="AA551" t="inlineStr">
        <is>
          <t>https://knru.ru/catalog/petergofskoe-sh-d-57/</t>
        </is>
      </c>
      <c r="AB551" t="inlineStr">
        <is>
          <t>C</t>
        </is>
      </c>
    </row>
    <row r="552">
      <c r="A552" t="n">
        <v>773</v>
      </c>
      <c r="B552" t="n">
        <v>33</v>
      </c>
      <c r="C552" t="n">
        <v>5</v>
      </c>
      <c r="D552" t="n">
        <v>1</v>
      </c>
      <c r="E552" t="inlineStr">
        <is>
          <t>Василеостровский</t>
        </is>
      </c>
      <c r="F552" t="inlineStr">
        <is>
          <t>17-я В.О. линия, 52</t>
        </is>
      </c>
      <c r="G552" t="n">
        <v>246.2</v>
      </c>
      <c r="H552" t="inlineStr">
        <is>
          <t>130 000 000</t>
        </is>
      </c>
      <c r="I552" t="inlineStr"/>
      <c r="J552" t="inlineStr"/>
      <c r="K552" t="inlineStr"/>
      <c r="L552" t="inlineStr"/>
      <c r="M552" t="inlineStr"/>
      <c r="N552" t="inlineStr">
        <is>
          <t>no</t>
        </is>
      </c>
      <c r="O552" t="inlineStr">
        <is>
          <t>none</t>
        </is>
      </c>
      <c r="P552">
        <f>HYPERLINK("https://knru.ru/catalog/17-ya-liniya-vasilevskogo-ostrova-d-52-k-1/","ссылка")</f>
        <v/>
      </c>
      <c r="Q552" t="inlineStr"/>
      <c r="R552" t="inlineStr">
        <is>
          <t>Нет у нас</t>
        </is>
      </c>
      <c r="S552" t="n">
        <v>0</v>
      </c>
      <c r="T552" t="inlineStr">
        <is>
          <t>Совпадений по улице+дому не найдено</t>
        </is>
      </c>
      <c r="U552" t="n">
        <v>773</v>
      </c>
      <c r="V552" t="n">
        <v>33</v>
      </c>
      <c r="W552" t="n">
        <v>5</v>
      </c>
      <c r="X552" t="n">
        <v>130000000</v>
      </c>
      <c r="Y552" t="inlineStr"/>
      <c r="Z552" t="inlineStr"/>
      <c r="AA552" t="inlineStr">
        <is>
          <t>https://knru.ru/catalog/17-ya-liniya-vasilevskogo-ostrova-d-52-k-1/</t>
        </is>
      </c>
      <c r="AB552" t="inlineStr">
        <is>
          <t>C</t>
        </is>
      </c>
    </row>
    <row r="553">
      <c r="A553" t="n">
        <v>775</v>
      </c>
      <c r="B553" t="n">
        <v>33</v>
      </c>
      <c r="C553" t="n">
        <v>7</v>
      </c>
      <c r="D553" t="n">
        <v>859924528</v>
      </c>
      <c r="E553" t="inlineStr">
        <is>
          <t>Всеволожский р-н</t>
        </is>
      </c>
      <c r="F553" t="inlineStr">
        <is>
          <t>1-й проезд, 12/4</t>
        </is>
      </c>
      <c r="G553" t="n">
        <v>4794</v>
      </c>
      <c r="H553" t="inlineStr">
        <is>
          <t>23 970 000</t>
        </is>
      </c>
      <c r="I553" t="inlineStr"/>
      <c r="J553" t="inlineStr"/>
      <c r="K553" t="inlineStr"/>
      <c r="L553" t="inlineStr"/>
      <c r="M553" t="inlineStr"/>
      <c r="N553" t="inlineStr">
        <is>
          <t>no</t>
        </is>
      </c>
      <c r="O553" t="inlineStr">
        <is>
          <t>none</t>
        </is>
      </c>
      <c r="P553">
        <f>HYPERLINK("https://knru.ru/catalog/ter-sorzha-staraya-9-y-proezd-859924528/","ссылка")</f>
        <v/>
      </c>
      <c r="Q553" t="inlineStr"/>
      <c r="R553" t="inlineStr">
        <is>
          <t>Нет у нас</t>
        </is>
      </c>
      <c r="S553" t="n">
        <v>0</v>
      </c>
      <c r="T553" t="inlineStr">
        <is>
          <t>Совпадений по улице+дому не найдено</t>
        </is>
      </c>
      <c r="U553" t="n">
        <v>775</v>
      </c>
      <c r="V553" t="n">
        <v>33</v>
      </c>
      <c r="W553" t="n">
        <v>7</v>
      </c>
      <c r="X553" t="n">
        <v>23970000</v>
      </c>
      <c r="Y553" t="inlineStr"/>
      <c r="Z553" t="inlineStr"/>
      <c r="AA553" t="inlineStr">
        <is>
          <t>https://knru.ru/catalog/ter-sorzha-staraya-9-y-proezd-859924528/</t>
        </is>
      </c>
      <c r="AB553" t="inlineStr">
        <is>
          <t>C</t>
        </is>
      </c>
    </row>
    <row r="554">
      <c r="A554" t="n">
        <v>776</v>
      </c>
      <c r="B554" t="n">
        <v>33</v>
      </c>
      <c r="C554" t="n">
        <v>8</v>
      </c>
      <c r="D554" t="n">
        <v>1710440041</v>
      </c>
      <c r="E554" t="inlineStr">
        <is>
          <t>Всеволожский р-н</t>
        </is>
      </c>
      <c r="F554" t="inlineStr">
        <is>
          <t>1-й проезд, 12/4</t>
        </is>
      </c>
      <c r="G554" t="n">
        <v>2948</v>
      </c>
      <c r="H554" t="inlineStr">
        <is>
          <t>13 266 000</t>
        </is>
      </c>
      <c r="I554" t="inlineStr"/>
      <c r="J554" t="inlineStr"/>
      <c r="K554" t="inlineStr"/>
      <c r="L554" t="inlineStr"/>
      <c r="M554" t="inlineStr"/>
      <c r="N554" t="inlineStr">
        <is>
          <t>no</t>
        </is>
      </c>
      <c r="O554" t="inlineStr">
        <is>
          <t>none</t>
        </is>
      </c>
      <c r="P554">
        <f>HYPERLINK("https://knru.ru/catalog/ter-sorzha-staraya-9-y-proezd-1710440041/","ссылка")</f>
        <v/>
      </c>
      <c r="Q554" t="inlineStr"/>
      <c r="R554" t="inlineStr">
        <is>
          <t>Нет у нас</t>
        </is>
      </c>
      <c r="S554" t="n">
        <v>0</v>
      </c>
      <c r="T554" t="inlineStr">
        <is>
          <t>Совпадений по улице+дому не найдено</t>
        </is>
      </c>
      <c r="U554" t="n">
        <v>776</v>
      </c>
      <c r="V554" t="n">
        <v>33</v>
      </c>
      <c r="W554" t="n">
        <v>8</v>
      </c>
      <c r="X554" t="n">
        <v>13266000</v>
      </c>
      <c r="Y554" t="inlineStr"/>
      <c r="Z554" t="inlineStr"/>
      <c r="AA554" t="inlineStr">
        <is>
          <t>https://knru.ru/catalog/ter-sorzha-staraya-9-y-proezd-1710440041/</t>
        </is>
      </c>
      <c r="AB554" t="inlineStr">
        <is>
          <t>C</t>
        </is>
      </c>
    </row>
    <row r="555">
      <c r="A555" t="n">
        <v>777</v>
      </c>
      <c r="B555" t="n">
        <v>33</v>
      </c>
      <c r="C555" t="n">
        <v>9</v>
      </c>
      <c r="D555" t="inlineStr"/>
      <c r="E555" t="inlineStr">
        <is>
          <t>Всеволожский р-н</t>
        </is>
      </c>
      <c r="F555" t="inlineStr">
        <is>
          <t>1-й проезд, 12/4</t>
        </is>
      </c>
      <c r="G555" t="n">
        <v>4999</v>
      </c>
      <c r="H555" t="inlineStr">
        <is>
          <t>22 495 000</t>
        </is>
      </c>
      <c r="I555" t="inlineStr"/>
      <c r="J555" t="inlineStr"/>
      <c r="K555" t="inlineStr"/>
      <c r="L555" t="inlineStr"/>
      <c r="M555" t="inlineStr"/>
      <c r="N555" t="inlineStr">
        <is>
          <t>no</t>
        </is>
      </c>
      <c r="O555" t="inlineStr">
        <is>
          <t>none</t>
        </is>
      </c>
      <c r="P555">
        <f>HYPERLINK("https://knru.ru/catalog/ter-sorzha-staraya-9-y-proezd/","ссылка")</f>
        <v/>
      </c>
      <c r="Q555" t="inlineStr"/>
      <c r="R555" t="inlineStr">
        <is>
          <t>Нет у нас</t>
        </is>
      </c>
      <c r="S555" t="n">
        <v>0</v>
      </c>
      <c r="T555" t="inlineStr">
        <is>
          <t>Совпадений по улице+дому не найдено</t>
        </is>
      </c>
      <c r="U555" t="n">
        <v>777</v>
      </c>
      <c r="V555" t="n">
        <v>33</v>
      </c>
      <c r="W555" t="n">
        <v>9</v>
      </c>
      <c r="X555" t="n">
        <v>22495000</v>
      </c>
      <c r="Y555" t="inlineStr"/>
      <c r="Z555" t="inlineStr"/>
      <c r="AA555" t="inlineStr">
        <is>
          <t>https://knru.ru/catalog/ter-sorzha-staraya-9-y-proezd/</t>
        </is>
      </c>
      <c r="AB555" t="inlineStr">
        <is>
          <t>C</t>
        </is>
      </c>
    </row>
    <row r="556">
      <c r="A556" t="n">
        <v>778</v>
      </c>
      <c r="B556" t="n">
        <v>33</v>
      </c>
      <c r="C556" t="n">
        <v>10</v>
      </c>
      <c r="D556" t="n">
        <v>61</v>
      </c>
      <c r="E556" t="inlineStr">
        <is>
          <t>Всеволожский</t>
        </is>
      </c>
      <c r="F556" t="inlineStr">
        <is>
          <t>Всеволожский пр-кт, 61</t>
        </is>
      </c>
      <c r="G556" t="n">
        <v>1983</v>
      </c>
      <c r="H556" t="inlineStr">
        <is>
          <t>139 000 000</t>
        </is>
      </c>
      <c r="I556" t="inlineStr"/>
      <c r="J556" t="inlineStr"/>
      <c r="K556" t="inlineStr"/>
      <c r="L556" t="inlineStr"/>
      <c r="M556" t="inlineStr"/>
      <c r="N556" t="inlineStr">
        <is>
          <t>no</t>
        </is>
      </c>
      <c r="O556" t="inlineStr">
        <is>
          <t>none</t>
        </is>
      </c>
      <c r="P556">
        <f>HYPERLINK("https://knru.ru/catalog/len-oblast-g-vsevolozhsk-vsevolozhskiy-pr-d-61/","ссылка")</f>
        <v/>
      </c>
      <c r="Q556" t="inlineStr"/>
      <c r="R556" t="inlineStr">
        <is>
          <t>Нет у нас</t>
        </is>
      </c>
      <c r="S556" t="n">
        <v>0</v>
      </c>
      <c r="T556" t="inlineStr">
        <is>
          <t>Совпадений по улице+дому не найдено</t>
        </is>
      </c>
      <c r="U556" t="n">
        <v>778</v>
      </c>
      <c r="V556" t="n">
        <v>33</v>
      </c>
      <c r="W556" t="n">
        <v>10</v>
      </c>
      <c r="X556" t="n">
        <v>139000000</v>
      </c>
      <c r="Y556" t="inlineStr"/>
      <c r="Z556" t="inlineStr"/>
      <c r="AA556" t="inlineStr">
        <is>
          <t>https://knru.ru/catalog/len-oblast-g-vsevolozhsk-vsevolozhskiy-pr-d-61/</t>
        </is>
      </c>
      <c r="AB556" t="inlineStr">
        <is>
          <t>C</t>
        </is>
      </c>
    </row>
    <row r="557">
      <c r="A557" t="n">
        <v>779</v>
      </c>
      <c r="B557" t="n">
        <v>33</v>
      </c>
      <c r="C557" t="n">
        <v>11</v>
      </c>
      <c r="D557" t="n">
        <v>34</v>
      </c>
      <c r="E557" t="inlineStr">
        <is>
          <t>Адмиралтейский</t>
        </is>
      </c>
      <c r="F557" t="inlineStr">
        <is>
          <t>Большая Морская ул, 34 А</t>
        </is>
      </c>
      <c r="G557" t="n">
        <v>250</v>
      </c>
      <c r="H557" t="inlineStr">
        <is>
          <t>20 000 000</t>
        </is>
      </c>
      <c r="I557" t="inlineStr"/>
      <c r="J557" t="inlineStr"/>
      <c r="K557" t="inlineStr"/>
      <c r="L557" t="inlineStr"/>
      <c r="M557" t="inlineStr"/>
      <c r="N557" t="inlineStr">
        <is>
          <t>no</t>
        </is>
      </c>
      <c r="O557" t="inlineStr">
        <is>
          <t>none</t>
        </is>
      </c>
      <c r="P557">
        <f>HYPERLINK("https://knru.ru/catalog/bolshaya-morskaya-d-34/","ссылка")</f>
        <v/>
      </c>
      <c r="Q557" t="inlineStr"/>
      <c r="R557" t="inlineStr">
        <is>
          <t>Нет у нас</t>
        </is>
      </c>
      <c r="S557" t="n">
        <v>0</v>
      </c>
      <c r="T557" t="inlineStr">
        <is>
          <t>Совпадений по улице+дому не найдено</t>
        </is>
      </c>
      <c r="U557" t="n">
        <v>779</v>
      </c>
      <c r="V557" t="n">
        <v>33</v>
      </c>
      <c r="W557" t="n">
        <v>11</v>
      </c>
      <c r="X557" t="n">
        <v>20000000</v>
      </c>
      <c r="Y557" t="inlineStr"/>
      <c r="Z557" t="inlineStr"/>
      <c r="AA557" t="inlineStr">
        <is>
          <t>https://knru.ru/catalog/bolshaya-morskaya-d-34/</t>
        </is>
      </c>
      <c r="AB557" t="inlineStr">
        <is>
          <t>C</t>
        </is>
      </c>
    </row>
    <row r="558">
      <c r="A558" t="n">
        <v>780</v>
      </c>
      <c r="B558" t="n">
        <v>33</v>
      </c>
      <c r="C558" t="n">
        <v>12</v>
      </c>
      <c r="D558" t="n">
        <v>3</v>
      </c>
      <c r="E558" t="inlineStr">
        <is>
          <t>ЖК Ромашки</t>
        </is>
      </c>
      <c r="F558" t="inlineStr">
        <is>
          <t>Шоссе в Лаврики ул, 64к3</t>
        </is>
      </c>
      <c r="G558" t="n">
        <v>150</v>
      </c>
      <c r="H558" t="inlineStr">
        <is>
          <t>21 750 000</t>
        </is>
      </c>
      <c r="I558" t="inlineStr"/>
      <c r="J558" t="inlineStr"/>
      <c r="K558" t="inlineStr"/>
      <c r="L558" t="inlineStr"/>
      <c r="M558" t="inlineStr"/>
      <c r="N558" t="inlineStr">
        <is>
          <t>no</t>
        </is>
      </c>
      <c r="O558" t="inlineStr">
        <is>
          <t>none</t>
        </is>
      </c>
      <c r="P558">
        <f>HYPERLINK("https://knru.ru/catalog/p-murino-ul-shosse-v-lavriki-d-64-k-3/","ссылка")</f>
        <v/>
      </c>
      <c r="Q558" t="inlineStr"/>
      <c r="R558" t="inlineStr">
        <is>
          <t>Нет у нас</t>
        </is>
      </c>
      <c r="S558" t="n">
        <v>0</v>
      </c>
      <c r="T558" t="inlineStr">
        <is>
          <t>Совпадений по улице+дому не найдено</t>
        </is>
      </c>
      <c r="U558" t="n">
        <v>780</v>
      </c>
      <c r="V558" t="n">
        <v>33</v>
      </c>
      <c r="W558" t="n">
        <v>12</v>
      </c>
      <c r="X558" t="n">
        <v>21750000</v>
      </c>
      <c r="Y558" t="inlineStr"/>
      <c r="Z558" t="inlineStr"/>
      <c r="AA558" t="inlineStr">
        <is>
          <t>https://knru.ru/catalog/p-murino-ul-shosse-v-lavriki-d-64-k-3/</t>
        </is>
      </c>
      <c r="AB558" t="inlineStr">
        <is>
          <t>C</t>
        </is>
      </c>
    </row>
    <row r="559">
      <c r="A559" t="n">
        <v>783</v>
      </c>
      <c r="B559" t="n">
        <v>33</v>
      </c>
      <c r="C559" t="n">
        <v>15</v>
      </c>
      <c r="D559" t="n">
        <v>25</v>
      </c>
      <c r="E559" t="inlineStr">
        <is>
          <t>Кировский</t>
        </is>
      </c>
      <c r="F559" t="inlineStr">
        <is>
          <t>Краснопутиловская ул, 25</t>
        </is>
      </c>
      <c r="G559" t="n">
        <v>127.5</v>
      </c>
      <c r="H559" t="inlineStr">
        <is>
          <t>11 200 000</t>
        </is>
      </c>
      <c r="I559" t="inlineStr"/>
      <c r="J559" t="inlineStr"/>
      <c r="K559" t="inlineStr"/>
      <c r="L559" t="inlineStr"/>
      <c r="M559" t="inlineStr"/>
      <c r="N559" t="inlineStr">
        <is>
          <t>no</t>
        </is>
      </c>
      <c r="O559" t="inlineStr">
        <is>
          <t>none</t>
        </is>
      </c>
      <c r="P559">
        <f>HYPERLINK("https://knru.ru/catalog/krasnoputilovskaya-ul-d-25/","ссылка")</f>
        <v/>
      </c>
      <c r="Q559" t="inlineStr"/>
      <c r="R559" t="inlineStr">
        <is>
          <t>Нет у нас</t>
        </is>
      </c>
      <c r="S559" t="n">
        <v>0</v>
      </c>
      <c r="T559" t="inlineStr">
        <is>
          <t>Совпадений по улице+дому не найдено</t>
        </is>
      </c>
      <c r="U559" t="n">
        <v>783</v>
      </c>
      <c r="V559" t="n">
        <v>33</v>
      </c>
      <c r="W559" t="n">
        <v>15</v>
      </c>
      <c r="X559" t="n">
        <v>11200000</v>
      </c>
      <c r="Y559" t="inlineStr"/>
      <c r="Z559" t="inlineStr"/>
      <c r="AA559" t="inlineStr">
        <is>
          <t>https://knru.ru/catalog/krasnoputilovskaya-ul-d-25/</t>
        </is>
      </c>
      <c r="AB559" t="inlineStr">
        <is>
          <t>C</t>
        </is>
      </c>
    </row>
    <row r="560">
      <c r="A560" t="n">
        <v>784</v>
      </c>
      <c r="B560" t="n">
        <v>33</v>
      </c>
      <c r="C560" t="n">
        <v>16</v>
      </c>
      <c r="D560" t="n">
        <v>123213246</v>
      </c>
      <c r="E560" t="inlineStr">
        <is>
          <t>Красносельский</t>
        </is>
      </c>
      <c r="F560" t="inlineStr">
        <is>
          <t>Будённого пр-кт, 19к1стр1</t>
        </is>
      </c>
      <c r="G560" t="n">
        <v>120.8</v>
      </c>
      <c r="H560" t="inlineStr">
        <is>
          <t>29 418 636</t>
        </is>
      </c>
      <c r="I560" t="inlineStr"/>
      <c r="J560" t="inlineStr"/>
      <c r="K560" t="inlineStr"/>
      <c r="L560" t="inlineStr"/>
      <c r="M560" t="inlineStr"/>
      <c r="N560" t="inlineStr">
        <is>
          <t>no</t>
        </is>
      </c>
      <c r="O560" t="inlineStr">
        <is>
          <t>none</t>
        </is>
      </c>
      <c r="P560">
        <f>HYPERLINK("https://knru.ru/catalog/pr-budennogo-d-19-k-1-123213246/","ссылка")</f>
        <v/>
      </c>
      <c r="Q560" t="inlineStr"/>
      <c r="R560" t="inlineStr">
        <is>
          <t>Нет у нас</t>
        </is>
      </c>
      <c r="S560" t="n">
        <v>0</v>
      </c>
      <c r="T560" t="inlineStr">
        <is>
          <t>Совпадений по улице+дому не найдено</t>
        </is>
      </c>
      <c r="U560" t="n">
        <v>784</v>
      </c>
      <c r="V560" t="n">
        <v>33</v>
      </c>
      <c r="W560" t="n">
        <v>16</v>
      </c>
      <c r="X560" t="n">
        <v>29418636</v>
      </c>
      <c r="Y560" t="inlineStr"/>
      <c r="Z560" t="inlineStr"/>
      <c r="AA560" t="inlineStr">
        <is>
          <t>https://knru.ru/catalog/pr-budennogo-d-19-k-1-123213246/</t>
        </is>
      </c>
      <c r="AB560" t="inlineStr">
        <is>
          <t>C</t>
        </is>
      </c>
    </row>
    <row r="561">
      <c r="A561" t="n">
        <v>785</v>
      </c>
      <c r="B561" t="n">
        <v>33</v>
      </c>
      <c r="C561" t="n">
        <v>17</v>
      </c>
      <c r="D561" t="n">
        <v>512604749</v>
      </c>
      <c r="E561" t="inlineStr">
        <is>
          <t>Красносельский</t>
        </is>
      </c>
      <c r="F561" t="inlineStr">
        <is>
          <t>Будённого пр-кт, 19к1стр1</t>
        </is>
      </c>
      <c r="G561" t="n">
        <v>135.7</v>
      </c>
      <c r="H561" t="inlineStr">
        <is>
          <t>33 026 284</t>
        </is>
      </c>
      <c r="I561" t="inlineStr"/>
      <c r="J561" t="inlineStr"/>
      <c r="K561" t="inlineStr"/>
      <c r="L561" t="inlineStr"/>
      <c r="M561" t="inlineStr"/>
      <c r="N561" t="inlineStr">
        <is>
          <t>no</t>
        </is>
      </c>
      <c r="O561" t="inlineStr">
        <is>
          <t>none</t>
        </is>
      </c>
      <c r="P561">
        <f>HYPERLINK("https://knru.ru/catalog/pr-budennogo-d-19-k-1-512604749/","ссылка")</f>
        <v/>
      </c>
      <c r="Q561" t="inlineStr"/>
      <c r="R561" t="inlineStr">
        <is>
          <t>Нет у нас</t>
        </is>
      </c>
      <c r="S561" t="n">
        <v>0</v>
      </c>
      <c r="T561" t="inlineStr">
        <is>
          <t>Совпадений по улице+дому не найдено</t>
        </is>
      </c>
      <c r="U561" t="n">
        <v>785</v>
      </c>
      <c r="V561" t="n">
        <v>33</v>
      </c>
      <c r="W561" t="n">
        <v>17</v>
      </c>
      <c r="X561" t="n">
        <v>33026284</v>
      </c>
      <c r="Y561" t="inlineStr"/>
      <c r="Z561" t="inlineStr"/>
      <c r="AA561" t="inlineStr">
        <is>
          <t>https://knru.ru/catalog/pr-budennogo-d-19-k-1-512604749/</t>
        </is>
      </c>
      <c r="AB561" t="inlineStr">
        <is>
          <t>C</t>
        </is>
      </c>
    </row>
    <row r="562">
      <c r="A562" t="n">
        <v>789</v>
      </c>
      <c r="B562" t="n">
        <v>33</v>
      </c>
      <c r="C562" t="n">
        <v>21</v>
      </c>
      <c r="D562" t="n">
        <v>1108803886</v>
      </c>
      <c r="E562" t="inlineStr">
        <is>
          <t>Московский</t>
        </is>
      </c>
      <c r="F562" t="inlineStr">
        <is>
          <t>Заставская ул, 33стр3</t>
        </is>
      </c>
      <c r="G562" t="n">
        <v>12.1</v>
      </c>
      <c r="H562" t="inlineStr">
        <is>
          <t>4 537 500</t>
        </is>
      </c>
      <c r="I562" t="inlineStr"/>
      <c r="J562" t="inlineStr"/>
      <c r="K562" t="inlineStr"/>
      <c r="L562" t="inlineStr"/>
      <c r="M562" t="inlineStr"/>
      <c r="N562" t="inlineStr">
        <is>
          <t>no</t>
        </is>
      </c>
      <c r="O562" t="inlineStr">
        <is>
          <t>none</t>
        </is>
      </c>
      <c r="P562">
        <f>HYPERLINK("https://knru.ru/catalog/ul-zastavskaya-33-str-3-1108803886/","ссылка")</f>
        <v/>
      </c>
      <c r="Q562" t="inlineStr"/>
      <c r="R562" t="inlineStr">
        <is>
          <t>Нет у нас</t>
        </is>
      </c>
      <c r="S562" t="n">
        <v>0</v>
      </c>
      <c r="T562" t="inlineStr">
        <is>
          <t>Совпадений по улице+дому не найдено</t>
        </is>
      </c>
      <c r="U562" t="n">
        <v>789</v>
      </c>
      <c r="V562" t="n">
        <v>33</v>
      </c>
      <c r="W562" t="n">
        <v>21</v>
      </c>
      <c r="X562" t="n">
        <v>4537500</v>
      </c>
      <c r="Y562" t="inlineStr"/>
      <c r="Z562" t="inlineStr"/>
      <c r="AA562" t="inlineStr">
        <is>
          <t>https://knru.ru/catalog/ul-zastavskaya-33-str-3-1108803886/</t>
        </is>
      </c>
      <c r="AB562" t="inlineStr">
        <is>
          <t>C</t>
        </is>
      </c>
    </row>
    <row r="563">
      <c r="A563" t="n">
        <v>790</v>
      </c>
      <c r="B563" t="n">
        <v>33</v>
      </c>
      <c r="C563" t="n">
        <v>22</v>
      </c>
      <c r="D563" t="n">
        <v>1243903161</v>
      </c>
      <c r="E563" t="inlineStr">
        <is>
          <t>Московский</t>
        </is>
      </c>
      <c r="F563" t="inlineStr">
        <is>
          <t>Заставская ул, 33стр3</t>
        </is>
      </c>
      <c r="G563" t="n">
        <v>800</v>
      </c>
      <c r="H563" t="inlineStr">
        <is>
          <t>144 000 000</t>
        </is>
      </c>
      <c r="I563" t="inlineStr"/>
      <c r="J563" t="inlineStr"/>
      <c r="K563" t="inlineStr"/>
      <c r="L563" t="inlineStr"/>
      <c r="M563" t="inlineStr"/>
      <c r="N563" t="inlineStr">
        <is>
          <t>no</t>
        </is>
      </c>
      <c r="O563" t="inlineStr">
        <is>
          <t>none</t>
        </is>
      </c>
      <c r="P563">
        <f>HYPERLINK("https://knru.ru/catalog/ul-zastavskaya-33-str-3-1243903161/","ссылка")</f>
        <v/>
      </c>
      <c r="Q563" t="inlineStr"/>
      <c r="R563" t="inlineStr">
        <is>
          <t>Нет у нас</t>
        </is>
      </c>
      <c r="S563" t="n">
        <v>0</v>
      </c>
      <c r="T563" t="inlineStr">
        <is>
          <t>Совпадений по улице+дому не найдено</t>
        </is>
      </c>
      <c r="U563" t="n">
        <v>790</v>
      </c>
      <c r="V563" t="n">
        <v>33</v>
      </c>
      <c r="W563" t="n">
        <v>22</v>
      </c>
      <c r="X563" t="n">
        <v>144000000</v>
      </c>
      <c r="Y563" t="inlineStr"/>
      <c r="Z563" t="inlineStr"/>
      <c r="AA563" t="inlineStr">
        <is>
          <t>https://knru.ru/catalog/ul-zastavskaya-33-str-3-1243903161/</t>
        </is>
      </c>
      <c r="AB563" t="inlineStr">
        <is>
          <t>C</t>
        </is>
      </c>
    </row>
    <row r="564">
      <c r="A564" t="n">
        <v>791</v>
      </c>
      <c r="B564" t="n">
        <v>33</v>
      </c>
      <c r="C564" t="n">
        <v>23</v>
      </c>
      <c r="D564" t="n">
        <v>1377312701</v>
      </c>
      <c r="E564" t="inlineStr">
        <is>
          <t>Московский</t>
        </is>
      </c>
      <c r="F564" t="inlineStr">
        <is>
          <t>Заставская ул, 33стр3</t>
        </is>
      </c>
      <c r="G564" t="n">
        <v>500</v>
      </c>
      <c r="H564" t="inlineStr">
        <is>
          <t>95 000 000</t>
        </is>
      </c>
      <c r="I564" t="inlineStr"/>
      <c r="J564" t="inlineStr"/>
      <c r="K564" t="inlineStr"/>
      <c r="L564" t="inlineStr"/>
      <c r="M564" t="inlineStr"/>
      <c r="N564" t="inlineStr">
        <is>
          <t>no</t>
        </is>
      </c>
      <c r="O564" t="inlineStr">
        <is>
          <t>none</t>
        </is>
      </c>
      <c r="P564">
        <f>HYPERLINK("https://knru.ru/catalog/ul-zastavskaya-33-str-3-1377312701/","ссылка")</f>
        <v/>
      </c>
      <c r="Q564" t="inlineStr"/>
      <c r="R564" t="inlineStr">
        <is>
          <t>Нет у нас</t>
        </is>
      </c>
      <c r="S564" t="n">
        <v>0</v>
      </c>
      <c r="T564" t="inlineStr">
        <is>
          <t>Совпадений по улице+дому не найдено</t>
        </is>
      </c>
      <c r="U564" t="n">
        <v>791</v>
      </c>
      <c r="V564" t="n">
        <v>33</v>
      </c>
      <c r="W564" t="n">
        <v>23</v>
      </c>
      <c r="X564" t="n">
        <v>95000000</v>
      </c>
      <c r="Y564" t="inlineStr"/>
      <c r="Z564" t="inlineStr"/>
      <c r="AA564" t="inlineStr">
        <is>
          <t>https://knru.ru/catalog/ul-zastavskaya-33-str-3-1377312701/</t>
        </is>
      </c>
      <c r="AB564" t="inlineStr">
        <is>
          <t>C</t>
        </is>
      </c>
    </row>
    <row r="565">
      <c r="A565" t="n">
        <v>792</v>
      </c>
      <c r="B565" t="n">
        <v>33</v>
      </c>
      <c r="C565" t="n">
        <v>24</v>
      </c>
      <c r="D565" t="n">
        <v>742310099</v>
      </c>
      <c r="E565" t="inlineStr">
        <is>
          <t>Московский</t>
        </is>
      </c>
      <c r="F565" t="inlineStr">
        <is>
          <t>Заставская ул, 33стр3</t>
        </is>
      </c>
      <c r="G565" t="n">
        <v>380</v>
      </c>
      <c r="H565" t="inlineStr">
        <is>
          <t>76 000 000</t>
        </is>
      </c>
      <c r="I565" t="inlineStr"/>
      <c r="J565" t="inlineStr"/>
      <c r="K565" t="inlineStr"/>
      <c r="L565" t="inlineStr"/>
      <c r="M565" t="inlineStr"/>
      <c r="N565" t="inlineStr">
        <is>
          <t>no</t>
        </is>
      </c>
      <c r="O565" t="inlineStr">
        <is>
          <t>none</t>
        </is>
      </c>
      <c r="P565">
        <f>HYPERLINK("https://knru.ru/catalog/ul-zastavskaya-33-str-3-742310099/","ссылка")</f>
        <v/>
      </c>
      <c r="Q565" t="inlineStr"/>
      <c r="R565" t="inlineStr">
        <is>
          <t>Нет у нас</t>
        </is>
      </c>
      <c r="S565" t="n">
        <v>0</v>
      </c>
      <c r="T565" t="inlineStr">
        <is>
          <t>Совпадений по улице+дому не найдено</t>
        </is>
      </c>
      <c r="U565" t="n">
        <v>792</v>
      </c>
      <c r="V565" t="n">
        <v>33</v>
      </c>
      <c r="W565" t="n">
        <v>24</v>
      </c>
      <c r="X565" t="n">
        <v>76000000</v>
      </c>
      <c r="Y565" t="inlineStr"/>
      <c r="Z565" t="inlineStr"/>
      <c r="AA565" t="inlineStr">
        <is>
          <t>https://knru.ru/catalog/ul-zastavskaya-33-str-3-742310099/</t>
        </is>
      </c>
      <c r="AB565" t="inlineStr">
        <is>
          <t>C</t>
        </is>
      </c>
    </row>
    <row r="566">
      <c r="A566" t="n">
        <v>793</v>
      </c>
      <c r="B566" t="n">
        <v>34</v>
      </c>
      <c r="C566" t="n">
        <v>1</v>
      </c>
      <c r="D566" t="n">
        <v>64</v>
      </c>
      <c r="E566" t="inlineStr">
        <is>
          <t>Центральный</t>
        </is>
      </c>
      <c r="F566" t="inlineStr">
        <is>
          <t>Гороховая ул, 64 А</t>
        </is>
      </c>
      <c r="G566" t="n">
        <v>51.4</v>
      </c>
      <c r="H566" t="inlineStr">
        <is>
          <t>1 400 000</t>
        </is>
      </c>
      <c r="I566" t="inlineStr"/>
      <c r="J566" t="inlineStr"/>
      <c r="K566" t="inlineStr"/>
      <c r="L566" t="inlineStr"/>
      <c r="M566" t="inlineStr"/>
      <c r="N566" t="inlineStr">
        <is>
          <t>no</t>
        </is>
      </c>
      <c r="O566" t="inlineStr">
        <is>
          <t>none</t>
        </is>
      </c>
      <c r="P566">
        <f>HYPERLINK("https://knru.ru/catalog/gorokhovaya-ul-d-64/","ссылка")</f>
        <v/>
      </c>
      <c r="Q566" t="inlineStr"/>
      <c r="R566" t="inlineStr">
        <is>
          <t>Нет у нас</t>
        </is>
      </c>
      <c r="S566" t="n">
        <v>0</v>
      </c>
      <c r="T566" t="inlineStr">
        <is>
          <t>Совпадений по улице+дому не найдено</t>
        </is>
      </c>
      <c r="U566" t="n">
        <v>793</v>
      </c>
      <c r="V566" t="n">
        <v>34</v>
      </c>
      <c r="W566" t="n">
        <v>1</v>
      </c>
      <c r="X566" t="n">
        <v>1400000</v>
      </c>
      <c r="Y566" t="inlineStr"/>
      <c r="Z566" t="inlineStr"/>
      <c r="AA566" t="inlineStr">
        <is>
          <t>https://knru.ru/catalog/gorokhovaya-ul-d-64/</t>
        </is>
      </c>
      <c r="AB566" t="inlineStr">
        <is>
          <t>C</t>
        </is>
      </c>
    </row>
    <row r="567">
      <c r="A567" t="n">
        <v>794</v>
      </c>
      <c r="B567" t="n">
        <v>34</v>
      </c>
      <c r="C567" t="n">
        <v>2</v>
      </c>
      <c r="D567" t="inlineStr"/>
      <c r="E567" t="inlineStr">
        <is>
          <t>Адмиралтейский</t>
        </is>
      </c>
      <c r="F567" t="inlineStr">
        <is>
          <t>Лермонтовский пр-кт, 54 У</t>
        </is>
      </c>
      <c r="G567" t="n">
        <v>7321</v>
      </c>
      <c r="H567" t="inlineStr">
        <is>
          <t>585 680 000</t>
        </is>
      </c>
      <c r="I567" t="inlineStr"/>
      <c r="J567" t="inlineStr"/>
      <c r="K567" t="inlineStr"/>
      <c r="L567" t="inlineStr"/>
      <c r="M567" t="inlineStr"/>
      <c r="N567" t="inlineStr">
        <is>
          <t>no</t>
        </is>
      </c>
      <c r="O567" t="inlineStr">
        <is>
          <t>none</t>
        </is>
      </c>
      <c r="P567">
        <f>HYPERLINK("https://knru.ru/catalog/lermontovskiy-pr-d-54-lit-kh/","ссылка")</f>
        <v/>
      </c>
      <c r="Q567" t="inlineStr"/>
      <c r="R567" t="inlineStr">
        <is>
          <t>Нет у нас</t>
        </is>
      </c>
      <c r="S567" t="n">
        <v>0</v>
      </c>
      <c r="T567" t="inlineStr">
        <is>
          <t>Совпадений по улице+дому не найдено</t>
        </is>
      </c>
      <c r="U567" t="n">
        <v>794</v>
      </c>
      <c r="V567" t="n">
        <v>34</v>
      </c>
      <c r="W567" t="n">
        <v>2</v>
      </c>
      <c r="X567" t="n">
        <v>585680000</v>
      </c>
      <c r="Y567" t="inlineStr"/>
      <c r="Z567" t="inlineStr"/>
      <c r="AA567" t="inlineStr">
        <is>
          <t>https://knru.ru/catalog/lermontovskiy-pr-d-54-lit-kh/</t>
        </is>
      </c>
      <c r="AB567" t="inlineStr">
        <is>
          <t>C</t>
        </is>
      </c>
    </row>
    <row r="568">
      <c r="A568" t="n">
        <v>795</v>
      </c>
      <c r="B568" t="n">
        <v>34</v>
      </c>
      <c r="C568" t="n">
        <v>3</v>
      </c>
      <c r="D568" t="inlineStr"/>
      <c r="E568" t="inlineStr">
        <is>
          <t>Адмиралтейский</t>
        </is>
      </c>
      <c r="F568" t="inlineStr">
        <is>
          <t>Лермонтовский пр-кт, 54 У</t>
        </is>
      </c>
      <c r="G568" t="n">
        <v>3337</v>
      </c>
      <c r="H568" t="inlineStr">
        <is>
          <t>266 960 000</t>
        </is>
      </c>
      <c r="I568" t="inlineStr"/>
      <c r="J568" t="inlineStr"/>
      <c r="K568" t="inlineStr"/>
      <c r="L568" t="inlineStr"/>
      <c r="M568" t="inlineStr"/>
      <c r="N568" t="inlineStr">
        <is>
          <t>no</t>
        </is>
      </c>
      <c r="O568" t="inlineStr">
        <is>
          <t>none</t>
        </is>
      </c>
      <c r="P568">
        <f>HYPERLINK("https://knru.ru/catalog/lermontovskiy-pr-d-54-lit-u/","ссылка")</f>
        <v/>
      </c>
      <c r="Q568" t="inlineStr"/>
      <c r="R568" t="inlineStr">
        <is>
          <t>Нет у нас</t>
        </is>
      </c>
      <c r="S568" t="n">
        <v>0</v>
      </c>
      <c r="T568" t="inlineStr">
        <is>
          <t>Совпадений по улице+дому не найдено</t>
        </is>
      </c>
      <c r="U568" t="n">
        <v>795</v>
      </c>
      <c r="V568" t="n">
        <v>34</v>
      </c>
      <c r="W568" t="n">
        <v>3</v>
      </c>
      <c r="X568" t="n">
        <v>266960000</v>
      </c>
      <c r="Y568" t="inlineStr"/>
      <c r="Z568" t="inlineStr"/>
      <c r="AA568" t="inlineStr">
        <is>
          <t>https://knru.ru/catalog/lermontovskiy-pr-d-54-lit-u/</t>
        </is>
      </c>
      <c r="AB568" t="inlineStr">
        <is>
          <t>C</t>
        </is>
      </c>
    </row>
    <row r="569">
      <c r="A569" t="n">
        <v>796</v>
      </c>
      <c r="B569" t="n">
        <v>34</v>
      </c>
      <c r="C569" t="n">
        <v>4</v>
      </c>
      <c r="D569" t="n">
        <v>1020460561</v>
      </c>
      <c r="E569" t="inlineStr">
        <is>
          <t>Выборгский</t>
        </is>
      </c>
      <c r="F569" t="inlineStr">
        <is>
          <t>Михайловская дор, к1</t>
        </is>
      </c>
      <c r="G569" t="n">
        <v>82.09999999999999</v>
      </c>
      <c r="H569" t="inlineStr">
        <is>
          <t>21 379 999</t>
        </is>
      </c>
      <c r="I569" t="inlineStr"/>
      <c r="J569" t="inlineStr"/>
      <c r="K569" t="inlineStr"/>
      <c r="L569" t="inlineStr"/>
      <c r="M569" t="inlineStr"/>
      <c r="N569" t="inlineStr">
        <is>
          <t>no</t>
        </is>
      </c>
      <c r="O569" t="inlineStr">
        <is>
          <t>none</t>
        </is>
      </c>
      <c r="P569">
        <f>HYPERLINK("https://knru.ru/catalog/pos-pargolovo-mikhaylovskaya-dor-k-1-1020460561/","ссылка")</f>
        <v/>
      </c>
      <c r="Q569" t="inlineStr"/>
      <c r="R569" t="inlineStr">
        <is>
          <t>Нет у нас</t>
        </is>
      </c>
      <c r="S569" t="n">
        <v>0</v>
      </c>
      <c r="T569" t="inlineStr">
        <is>
          <t>Совпадений по улице+дому не найдено</t>
        </is>
      </c>
      <c r="U569" t="n">
        <v>796</v>
      </c>
      <c r="V569" t="n">
        <v>34</v>
      </c>
      <c r="W569" t="n">
        <v>4</v>
      </c>
      <c r="X569" t="n">
        <v>21379999</v>
      </c>
      <c r="Y569" t="inlineStr"/>
      <c r="Z569" t="inlineStr"/>
      <c r="AA569" t="inlineStr">
        <is>
          <t>https://knru.ru/catalog/pos-pargolovo-mikhaylovskaya-dor-k-1-1020460561/</t>
        </is>
      </c>
      <c r="AB569" t="inlineStr">
        <is>
          <t>C</t>
        </is>
      </c>
    </row>
    <row r="570">
      <c r="A570" t="n">
        <v>797</v>
      </c>
      <c r="B570" t="n">
        <v>34</v>
      </c>
      <c r="C570" t="n">
        <v>5</v>
      </c>
      <c r="D570" t="n">
        <v>1688854952</v>
      </c>
      <c r="E570" t="inlineStr">
        <is>
          <t>Выборгский</t>
        </is>
      </c>
      <c r="F570" t="inlineStr">
        <is>
          <t>Михайловская дор, к1</t>
        </is>
      </c>
      <c r="G570" t="n">
        <v>74.5</v>
      </c>
      <c r="H570" t="inlineStr">
        <is>
          <t>18 719 999</t>
        </is>
      </c>
      <c r="I570" t="inlineStr"/>
      <c r="J570" t="inlineStr"/>
      <c r="K570" t="inlineStr"/>
      <c r="L570" t="inlineStr"/>
      <c r="M570" t="inlineStr"/>
      <c r="N570" t="inlineStr">
        <is>
          <t>no</t>
        </is>
      </c>
      <c r="O570" t="inlineStr">
        <is>
          <t>none</t>
        </is>
      </c>
      <c r="P570">
        <f>HYPERLINK("https://knru.ru/catalog/pos-pargolovo-mikhaylovskaya-dor-k-1-1688854952/","ссылка")</f>
        <v/>
      </c>
      <c r="Q570" t="inlineStr"/>
      <c r="R570" t="inlineStr">
        <is>
          <t>Нет у нас</t>
        </is>
      </c>
      <c r="S570" t="n">
        <v>0</v>
      </c>
      <c r="T570" t="inlineStr">
        <is>
          <t>Совпадений по улице+дому не найдено</t>
        </is>
      </c>
      <c r="U570" t="n">
        <v>797</v>
      </c>
      <c r="V570" t="n">
        <v>34</v>
      </c>
      <c r="W570" t="n">
        <v>5</v>
      </c>
      <c r="X570" t="n">
        <v>18719999</v>
      </c>
      <c r="Y570" t="inlineStr"/>
      <c r="Z570" t="inlineStr"/>
      <c r="AA570" t="inlineStr">
        <is>
          <t>https://knru.ru/catalog/pos-pargolovo-mikhaylovskaya-dor-k-1-1688854952/</t>
        </is>
      </c>
      <c r="AB570" t="inlineStr">
        <is>
          <t>C</t>
        </is>
      </c>
    </row>
    <row r="571">
      <c r="A571" t="n">
        <v>798</v>
      </c>
      <c r="B571" t="n">
        <v>34</v>
      </c>
      <c r="C571" t="n">
        <v>6</v>
      </c>
      <c r="D571" t="n">
        <v>485693083</v>
      </c>
      <c r="E571" t="inlineStr">
        <is>
          <t>Выборгский</t>
        </is>
      </c>
      <c r="F571" t="inlineStr">
        <is>
          <t>Михайловская дор, к1</t>
        </is>
      </c>
      <c r="G571" t="n">
        <v>99.7</v>
      </c>
      <c r="H571" t="inlineStr">
        <is>
          <t>21 289 999</t>
        </is>
      </c>
      <c r="I571" t="inlineStr"/>
      <c r="J571" t="inlineStr"/>
      <c r="K571" t="inlineStr"/>
      <c r="L571" t="inlineStr"/>
      <c r="M571" t="inlineStr"/>
      <c r="N571" t="inlineStr">
        <is>
          <t>no</t>
        </is>
      </c>
      <c r="O571" t="inlineStr">
        <is>
          <t>none</t>
        </is>
      </c>
      <c r="P571">
        <f>HYPERLINK("https://knru.ru/catalog/pos-pargolovo-mikhaylovskaya-dor-k-1-485693083/","ссылка")</f>
        <v/>
      </c>
      <c r="Q571" t="inlineStr"/>
      <c r="R571" t="inlineStr">
        <is>
          <t>Нет у нас</t>
        </is>
      </c>
      <c r="S571" t="n">
        <v>0</v>
      </c>
      <c r="T571" t="inlineStr">
        <is>
          <t>Совпадений по улице+дому не найдено</t>
        </is>
      </c>
      <c r="U571" t="n">
        <v>798</v>
      </c>
      <c r="V571" t="n">
        <v>34</v>
      </c>
      <c r="W571" t="n">
        <v>6</v>
      </c>
      <c r="X571" t="n">
        <v>21289999</v>
      </c>
      <c r="Y571" t="inlineStr"/>
      <c r="Z571" t="inlineStr"/>
      <c r="AA571" t="inlineStr">
        <is>
          <t>https://knru.ru/catalog/pos-pargolovo-mikhaylovskaya-dor-k-1-485693083/</t>
        </is>
      </c>
      <c r="AB571" t="inlineStr">
        <is>
          <t>C</t>
        </is>
      </c>
    </row>
    <row r="572">
      <c r="A572" t="n">
        <v>799</v>
      </c>
      <c r="B572" t="n">
        <v>34</v>
      </c>
      <c r="C572" t="n">
        <v>7</v>
      </c>
      <c r="D572" t="n">
        <v>863963818</v>
      </c>
      <c r="E572" t="inlineStr">
        <is>
          <t>Выборгский</t>
        </is>
      </c>
      <c r="F572" t="inlineStr">
        <is>
          <t>Михайловская дор, к1</t>
        </is>
      </c>
      <c r="G572" t="n">
        <v>96</v>
      </c>
      <c r="H572" t="inlineStr">
        <is>
          <t>20 299 999</t>
        </is>
      </c>
      <c r="I572" t="inlineStr"/>
      <c r="J572" t="inlineStr"/>
      <c r="K572" t="inlineStr"/>
      <c r="L572" t="inlineStr"/>
      <c r="M572" t="inlineStr"/>
      <c r="N572" t="inlineStr">
        <is>
          <t>no</t>
        </is>
      </c>
      <c r="O572" t="inlineStr">
        <is>
          <t>none</t>
        </is>
      </c>
      <c r="P572">
        <f>HYPERLINK("https://knru.ru/catalog/pos-pargolovo-mikhaylovskaya-dor-k-1-863963818/","ссылка")</f>
        <v/>
      </c>
      <c r="Q572" t="inlineStr"/>
      <c r="R572" t="inlineStr">
        <is>
          <t>Нет у нас</t>
        </is>
      </c>
      <c r="S572" t="n">
        <v>0</v>
      </c>
      <c r="T572" t="inlineStr">
        <is>
          <t>Совпадений по улице+дому не найдено</t>
        </is>
      </c>
      <c r="U572" t="n">
        <v>799</v>
      </c>
      <c r="V572" t="n">
        <v>34</v>
      </c>
      <c r="W572" t="n">
        <v>7</v>
      </c>
      <c r="X572" t="n">
        <v>20299999</v>
      </c>
      <c r="Y572" t="inlineStr"/>
      <c r="Z572" t="inlineStr"/>
      <c r="AA572" t="inlineStr">
        <is>
          <t>https://knru.ru/catalog/pos-pargolovo-mikhaylovskaya-dor-k-1-863963818/</t>
        </is>
      </c>
      <c r="AB572" t="inlineStr">
        <is>
          <t>C</t>
        </is>
      </c>
    </row>
    <row r="573">
      <c r="A573" t="n">
        <v>800</v>
      </c>
      <c r="B573" t="n">
        <v>34</v>
      </c>
      <c r="C573" t="n">
        <v>8</v>
      </c>
      <c r="D573" t="n">
        <v>2124214388</v>
      </c>
      <c r="E573" t="inlineStr">
        <is>
          <t>Выборгский</t>
        </is>
      </c>
      <c r="F573" t="inlineStr">
        <is>
          <t>Михайловская дор, к1</t>
        </is>
      </c>
      <c r="G573" t="n">
        <v>82.2</v>
      </c>
      <c r="H573" t="inlineStr">
        <is>
          <t>17 309 999</t>
        </is>
      </c>
      <c r="I573" t="inlineStr"/>
      <c r="J573" t="inlineStr"/>
      <c r="K573" t="inlineStr"/>
      <c r="L573" t="inlineStr"/>
      <c r="M573" t="inlineStr"/>
      <c r="N573" t="inlineStr">
        <is>
          <t>no</t>
        </is>
      </c>
      <c r="O573" t="inlineStr">
        <is>
          <t>none</t>
        </is>
      </c>
      <c r="P573">
        <f>HYPERLINK("https://knru.ru/catalog/pos-pargolovo-mikhaylovskaya-dor-k-1-2124214388/","ссылка")</f>
        <v/>
      </c>
      <c r="Q573" t="inlineStr"/>
      <c r="R573" t="inlineStr">
        <is>
          <t>Нет у нас</t>
        </is>
      </c>
      <c r="S573" t="n">
        <v>0</v>
      </c>
      <c r="T573" t="inlineStr">
        <is>
          <t>Совпадений по улице+дому не найдено</t>
        </is>
      </c>
      <c r="U573" t="n">
        <v>800</v>
      </c>
      <c r="V573" t="n">
        <v>34</v>
      </c>
      <c r="W573" t="n">
        <v>8</v>
      </c>
      <c r="X573" t="n">
        <v>17309999</v>
      </c>
      <c r="Y573" t="inlineStr"/>
      <c r="Z573" t="inlineStr"/>
      <c r="AA573" t="inlineStr">
        <is>
          <t>https://knru.ru/catalog/pos-pargolovo-mikhaylovskaya-dor-k-1-2124214388/</t>
        </is>
      </c>
      <c r="AB573" t="inlineStr">
        <is>
          <t>C</t>
        </is>
      </c>
    </row>
    <row r="574">
      <c r="A574" t="n">
        <v>801</v>
      </c>
      <c r="B574" t="n">
        <v>34</v>
      </c>
      <c r="C574" t="n">
        <v>9</v>
      </c>
      <c r="D574" t="n">
        <v>1683887459</v>
      </c>
      <c r="E574" t="inlineStr">
        <is>
          <t>Выборгский</t>
        </is>
      </c>
      <c r="F574" t="inlineStr">
        <is>
          <t>Михайловская дор, к1</t>
        </is>
      </c>
      <c r="G574" t="n">
        <v>90.09999999999999</v>
      </c>
      <c r="H574" t="inlineStr">
        <is>
          <t>18 089 999</t>
        </is>
      </c>
      <c r="I574" t="inlineStr"/>
      <c r="J574" t="inlineStr"/>
      <c r="K574" t="inlineStr"/>
      <c r="L574" t="inlineStr"/>
      <c r="M574" t="inlineStr"/>
      <c r="N574" t="inlineStr">
        <is>
          <t>no</t>
        </is>
      </c>
      <c r="O574" t="inlineStr">
        <is>
          <t>none</t>
        </is>
      </c>
      <c r="P574">
        <f>HYPERLINK("https://knru.ru/catalog/pos-pargolovo-mikhaylovskaya-dor-k-1-1683887459/","ссылка")</f>
        <v/>
      </c>
      <c r="Q574" t="inlineStr"/>
      <c r="R574" t="inlineStr">
        <is>
          <t>Нет у нас</t>
        </is>
      </c>
      <c r="S574" t="n">
        <v>0</v>
      </c>
      <c r="T574" t="inlineStr">
        <is>
          <t>Совпадений по улице+дому не найдено</t>
        </is>
      </c>
      <c r="U574" t="n">
        <v>801</v>
      </c>
      <c r="V574" t="n">
        <v>34</v>
      </c>
      <c r="W574" t="n">
        <v>9</v>
      </c>
      <c r="X574" t="n">
        <v>18089999</v>
      </c>
      <c r="Y574" t="inlineStr"/>
      <c r="Z574" t="inlineStr"/>
      <c r="AA574" t="inlineStr">
        <is>
          <t>https://knru.ru/catalog/pos-pargolovo-mikhaylovskaya-dor-k-1-1683887459/</t>
        </is>
      </c>
      <c r="AB574" t="inlineStr">
        <is>
          <t>C</t>
        </is>
      </c>
    </row>
    <row r="575">
      <c r="A575" t="n">
        <v>802</v>
      </c>
      <c r="B575" t="n">
        <v>34</v>
      </c>
      <c r="C575" t="n">
        <v>10</v>
      </c>
      <c r="D575" t="n">
        <v>1701307475</v>
      </c>
      <c r="E575" t="inlineStr">
        <is>
          <t>Выборгский</t>
        </is>
      </c>
      <c r="F575" t="inlineStr">
        <is>
          <t>Михайловская дор, к1</t>
        </is>
      </c>
      <c r="G575" t="n">
        <v>82.3</v>
      </c>
      <c r="H575" t="inlineStr">
        <is>
          <t>16 839 999</t>
        </is>
      </c>
      <c r="I575" t="inlineStr"/>
      <c r="J575" t="inlineStr"/>
      <c r="K575" t="inlineStr"/>
      <c r="L575" t="inlineStr"/>
      <c r="M575" t="inlineStr"/>
      <c r="N575" t="inlineStr">
        <is>
          <t>no</t>
        </is>
      </c>
      <c r="O575" t="inlineStr">
        <is>
          <t>none</t>
        </is>
      </c>
      <c r="P575">
        <f>HYPERLINK("https://knru.ru/catalog/pos-pargolovo-mikhaylovskaya-dor-k-1-1701307475/","ссылка")</f>
        <v/>
      </c>
      <c r="Q575" t="inlineStr"/>
      <c r="R575" t="inlineStr">
        <is>
          <t>Нет у нас</t>
        </is>
      </c>
      <c r="S575" t="n">
        <v>0</v>
      </c>
      <c r="T575" t="inlineStr">
        <is>
          <t>Совпадений по улице+дому не найдено</t>
        </is>
      </c>
      <c r="U575" t="n">
        <v>802</v>
      </c>
      <c r="V575" t="n">
        <v>34</v>
      </c>
      <c r="W575" t="n">
        <v>10</v>
      </c>
      <c r="X575" t="n">
        <v>16839999</v>
      </c>
      <c r="Y575" t="inlineStr"/>
      <c r="Z575" t="inlineStr"/>
      <c r="AA575" t="inlineStr">
        <is>
          <t>https://knru.ru/catalog/pos-pargolovo-mikhaylovskaya-dor-k-1-1701307475/</t>
        </is>
      </c>
      <c r="AB575" t="inlineStr">
        <is>
          <t>C</t>
        </is>
      </c>
    </row>
    <row r="576">
      <c r="A576" t="n">
        <v>803</v>
      </c>
      <c r="B576" t="n">
        <v>34</v>
      </c>
      <c r="C576" t="n">
        <v>11</v>
      </c>
      <c r="D576" t="n">
        <v>501821253</v>
      </c>
      <c r="E576" t="inlineStr">
        <is>
          <t>Выборгский</t>
        </is>
      </c>
      <c r="F576" t="inlineStr">
        <is>
          <t>Михайловская дор, к1</t>
        </is>
      </c>
      <c r="G576" t="n">
        <v>65.59999999999999</v>
      </c>
      <c r="H576" t="inlineStr">
        <is>
          <t>13 929 999</t>
        </is>
      </c>
      <c r="I576" t="inlineStr"/>
      <c r="J576" t="inlineStr"/>
      <c r="K576" t="inlineStr"/>
      <c r="L576" t="inlineStr"/>
      <c r="M576" t="inlineStr"/>
      <c r="N576" t="inlineStr">
        <is>
          <t>no</t>
        </is>
      </c>
      <c r="O576" t="inlineStr">
        <is>
          <t>none</t>
        </is>
      </c>
      <c r="P576">
        <f>HYPERLINK("https://knru.ru/catalog/pos-pargolovo-mikhaylovskaya-dor-k-1-501821253/","ссылка")</f>
        <v/>
      </c>
      <c r="Q576" t="inlineStr"/>
      <c r="R576" t="inlineStr">
        <is>
          <t>Нет у нас</t>
        </is>
      </c>
      <c r="S576" t="n">
        <v>0</v>
      </c>
      <c r="T576" t="inlineStr">
        <is>
          <t>Совпадений по улице+дому не найдено</t>
        </is>
      </c>
      <c r="U576" t="n">
        <v>803</v>
      </c>
      <c r="V576" t="n">
        <v>34</v>
      </c>
      <c r="W576" t="n">
        <v>11</v>
      </c>
      <c r="X576" t="n">
        <v>13929999</v>
      </c>
      <c r="Y576" t="inlineStr"/>
      <c r="Z576" t="inlineStr"/>
      <c r="AA576" t="inlineStr">
        <is>
          <t>https://knru.ru/catalog/pos-pargolovo-mikhaylovskaya-dor-k-1-501821253/</t>
        </is>
      </c>
      <c r="AB576" t="inlineStr">
        <is>
          <t>C</t>
        </is>
      </c>
    </row>
    <row r="577">
      <c r="A577" t="n">
        <v>804</v>
      </c>
      <c r="B577" t="n">
        <v>34</v>
      </c>
      <c r="C577" t="n">
        <v>12</v>
      </c>
      <c r="D577" t="n">
        <v>1940792211</v>
      </c>
      <c r="E577" t="inlineStr">
        <is>
          <t>Выборгский</t>
        </is>
      </c>
      <c r="F577" t="inlineStr">
        <is>
          <t>Михайловская дор, к1</t>
        </is>
      </c>
      <c r="G577" t="n">
        <v>76.8</v>
      </c>
      <c r="H577" t="inlineStr">
        <is>
          <t>16 009 999</t>
        </is>
      </c>
      <c r="I577" t="inlineStr"/>
      <c r="J577" t="inlineStr"/>
      <c r="K577" t="inlineStr"/>
      <c r="L577" t="inlineStr"/>
      <c r="M577" t="inlineStr"/>
      <c r="N577" t="inlineStr">
        <is>
          <t>no</t>
        </is>
      </c>
      <c r="O577" t="inlineStr">
        <is>
          <t>none</t>
        </is>
      </c>
      <c r="P577">
        <f>HYPERLINK("https://knru.ru/catalog/pos-pargolovo-mikhaylovskaya-dor-k-1-1940792211/","ссылка")</f>
        <v/>
      </c>
      <c r="Q577" t="inlineStr"/>
      <c r="R577" t="inlineStr">
        <is>
          <t>Нет у нас</t>
        </is>
      </c>
      <c r="S577" t="n">
        <v>0</v>
      </c>
      <c r="T577" t="inlineStr">
        <is>
          <t>Совпадений по улице+дому не найдено</t>
        </is>
      </c>
      <c r="U577" t="n">
        <v>804</v>
      </c>
      <c r="V577" t="n">
        <v>34</v>
      </c>
      <c r="W577" t="n">
        <v>12</v>
      </c>
      <c r="X577" t="n">
        <v>16009999</v>
      </c>
      <c r="Y577" t="inlineStr"/>
      <c r="Z577" t="inlineStr"/>
      <c r="AA577" t="inlineStr">
        <is>
          <t>https://knru.ru/catalog/pos-pargolovo-mikhaylovskaya-dor-k-1-1940792211/</t>
        </is>
      </c>
      <c r="AB577" t="inlineStr">
        <is>
          <t>C</t>
        </is>
      </c>
    </row>
    <row r="578">
      <c r="A578" t="n">
        <v>805</v>
      </c>
      <c r="B578" t="n">
        <v>34</v>
      </c>
      <c r="C578" t="n">
        <v>13</v>
      </c>
      <c r="D578" t="n">
        <v>1</v>
      </c>
      <c r="E578" t="inlineStr">
        <is>
          <t>Выборгский</t>
        </is>
      </c>
      <c r="F578" t="inlineStr">
        <is>
          <t>Михайловская дор, к1</t>
        </is>
      </c>
      <c r="G578" t="n">
        <v>74</v>
      </c>
      <c r="H578" t="inlineStr">
        <is>
          <t>15 569 999</t>
        </is>
      </c>
      <c r="I578" t="inlineStr"/>
      <c r="J578" t="inlineStr"/>
      <c r="K578" t="inlineStr"/>
      <c r="L578" t="inlineStr"/>
      <c r="M578" t="inlineStr"/>
      <c r="N578" t="inlineStr">
        <is>
          <t>no</t>
        </is>
      </c>
      <c r="O578" t="inlineStr">
        <is>
          <t>none</t>
        </is>
      </c>
      <c r="P578">
        <f>HYPERLINK("https://knru.ru/catalog/pos-pargolovo-mikhaylovskaya-dor-k-1/","ссылка")</f>
        <v/>
      </c>
      <c r="Q578" t="inlineStr"/>
      <c r="R578" t="inlineStr">
        <is>
          <t>Нет у нас</t>
        </is>
      </c>
      <c r="S578" t="n">
        <v>0</v>
      </c>
      <c r="T578" t="inlineStr">
        <is>
          <t>Совпадений по улице+дому не найдено</t>
        </is>
      </c>
      <c r="U578" t="n">
        <v>805</v>
      </c>
      <c r="V578" t="n">
        <v>34</v>
      </c>
      <c r="W578" t="n">
        <v>13</v>
      </c>
      <c r="X578" t="n">
        <v>15569999</v>
      </c>
      <c r="Y578" t="inlineStr"/>
      <c r="Z578" t="inlineStr"/>
      <c r="AA578" t="inlineStr">
        <is>
          <t>https://knru.ru/catalog/pos-pargolovo-mikhaylovskaya-dor-k-1/</t>
        </is>
      </c>
      <c r="AB578" t="inlineStr">
        <is>
          <t>C</t>
        </is>
      </c>
    </row>
    <row r="579">
      <c r="A579" t="n">
        <v>807</v>
      </c>
      <c r="B579" t="n">
        <v>34</v>
      </c>
      <c r="C579" t="n">
        <v>15</v>
      </c>
      <c r="D579" t="n">
        <v>89</v>
      </c>
      <c r="E579" t="inlineStr">
        <is>
          <t>Адмиралтейский</t>
        </is>
      </c>
      <c r="F579" t="inlineStr">
        <is>
          <t>Реки Фонтанки наб, 89 А</t>
        </is>
      </c>
      <c r="G579" t="n">
        <v>89</v>
      </c>
      <c r="H579" t="inlineStr">
        <is>
          <t>14 900 000</t>
        </is>
      </c>
      <c r="I579" t="inlineStr"/>
      <c r="J579" t="inlineStr"/>
      <c r="K579" t="inlineStr"/>
      <c r="L579" t="inlineStr"/>
      <c r="M579" t="inlineStr"/>
      <c r="N579" t="inlineStr">
        <is>
          <t>no</t>
        </is>
      </c>
      <c r="O579" t="inlineStr">
        <is>
          <t>none</t>
        </is>
      </c>
      <c r="P579">
        <f>HYPERLINK("https://knru.ru/catalog/nab-reki-fontanki-d-89/","ссылка")</f>
        <v/>
      </c>
      <c r="Q579" t="inlineStr"/>
      <c r="R579" t="inlineStr">
        <is>
          <t>Нет у нас</t>
        </is>
      </c>
      <c r="S579" t="n">
        <v>0</v>
      </c>
      <c r="T579" t="inlineStr">
        <is>
          <t>Совпадений по улице+дому не найдено</t>
        </is>
      </c>
      <c r="U579" t="n">
        <v>807</v>
      </c>
      <c r="V579" t="n">
        <v>34</v>
      </c>
      <c r="W579" t="n">
        <v>15</v>
      </c>
      <c r="X579" t="n">
        <v>14900000</v>
      </c>
      <c r="Y579" t="inlineStr"/>
      <c r="Z579" t="inlineStr"/>
      <c r="AA579" t="inlineStr">
        <is>
          <t>https://knru.ru/catalog/nab-reki-fontanki-d-89/</t>
        </is>
      </c>
      <c r="AB579" t="inlineStr">
        <is>
          <t>C</t>
        </is>
      </c>
    </row>
    <row r="580">
      <c r="A580" t="n">
        <v>808</v>
      </c>
      <c r="B580" t="n">
        <v>34</v>
      </c>
      <c r="C580" t="n">
        <v>16</v>
      </c>
      <c r="D580" t="n">
        <v>18</v>
      </c>
      <c r="E580" t="inlineStr">
        <is>
          <t>Курортный район</t>
        </is>
      </c>
      <c r="F580" t="inlineStr">
        <is>
          <t>Инструментальщиков ул, 18стр1</t>
        </is>
      </c>
      <c r="G580" t="n">
        <v>690</v>
      </c>
      <c r="H580" t="inlineStr">
        <is>
          <t>270 000 000</t>
        </is>
      </c>
      <c r="I580" t="inlineStr"/>
      <c r="J580" t="inlineStr"/>
      <c r="K580" t="inlineStr"/>
      <c r="L580" t="inlineStr"/>
      <c r="M580" t="inlineStr"/>
      <c r="N580" t="inlineStr">
        <is>
          <t>no</t>
        </is>
      </c>
      <c r="O580" t="inlineStr">
        <is>
          <t>none</t>
        </is>
      </c>
      <c r="P580">
        <f>HYPERLINK("https://knru.ru/catalog/g-sestroretsk-ul-instrumentalshchikov-d-18/","ссылка")</f>
        <v/>
      </c>
      <c r="Q580" t="inlineStr"/>
      <c r="R580" t="inlineStr">
        <is>
          <t>Нет у нас</t>
        </is>
      </c>
      <c r="S580" t="n">
        <v>0</v>
      </c>
      <c r="T580" t="inlineStr">
        <is>
          <t>Совпадений по улице+дому не найдено</t>
        </is>
      </c>
      <c r="U580" t="n">
        <v>808</v>
      </c>
      <c r="V580" t="n">
        <v>34</v>
      </c>
      <c r="W580" t="n">
        <v>16</v>
      </c>
      <c r="X580" t="n">
        <v>270000000</v>
      </c>
      <c r="Y580" t="inlineStr"/>
      <c r="Z580" t="inlineStr"/>
      <c r="AA580" t="inlineStr">
        <is>
          <t>https://knru.ru/catalog/g-sestroretsk-ul-instrumentalshchikov-d-18/</t>
        </is>
      </c>
      <c r="AB580" t="inlineStr">
        <is>
          <t>C</t>
        </is>
      </c>
    </row>
    <row r="581">
      <c r="A581" t="n">
        <v>809</v>
      </c>
      <c r="B581" t="n">
        <v>34</v>
      </c>
      <c r="C581" t="n">
        <v>17</v>
      </c>
      <c r="D581" t="n">
        <v>1</v>
      </c>
      <c r="E581" t="inlineStr">
        <is>
          <t>Приморский</t>
        </is>
      </c>
      <c r="F581" t="inlineStr">
        <is>
          <t>Плесецкая ул, 26стр1</t>
        </is>
      </c>
      <c r="G581" t="n">
        <v>123.8</v>
      </c>
      <c r="H581" t="inlineStr">
        <is>
          <t>28 870 000</t>
        </is>
      </c>
      <c r="I581" t="inlineStr"/>
      <c r="J581" t="inlineStr"/>
      <c r="K581" t="inlineStr"/>
      <c r="L581" t="inlineStr"/>
      <c r="M581" t="inlineStr"/>
      <c r="N581" t="inlineStr">
        <is>
          <t>no</t>
        </is>
      </c>
      <c r="O581" t="inlineStr">
        <is>
          <t>none</t>
        </is>
      </c>
      <c r="P581">
        <f>HYPERLINK("https://knru.ru/catalog/plesetskaya-ulitsa-d-26-k-2-1/","ссылка")</f>
        <v/>
      </c>
      <c r="Q581" t="inlineStr"/>
      <c r="R581" t="inlineStr">
        <is>
          <t>Нет у нас</t>
        </is>
      </c>
      <c r="S581" t="n">
        <v>0</v>
      </c>
      <c r="T581" t="inlineStr">
        <is>
          <t>Совпадений по улице+дому не найдено</t>
        </is>
      </c>
      <c r="U581" t="n">
        <v>809</v>
      </c>
      <c r="V581" t="n">
        <v>34</v>
      </c>
      <c r="W581" t="n">
        <v>17</v>
      </c>
      <c r="X581" t="n">
        <v>28870000</v>
      </c>
      <c r="Y581" t="inlineStr"/>
      <c r="Z581" t="inlineStr"/>
      <c r="AA581" t="inlineStr">
        <is>
          <t>https://knru.ru/catalog/plesetskaya-ulitsa-d-26-k-2-1/</t>
        </is>
      </c>
      <c r="AB581" t="inlineStr">
        <is>
          <t>C</t>
        </is>
      </c>
    </row>
    <row r="582">
      <c r="A582" t="n">
        <v>810</v>
      </c>
      <c r="B582" t="n">
        <v>34</v>
      </c>
      <c r="C582" t="n">
        <v>18</v>
      </c>
      <c r="D582" t="n">
        <v>2</v>
      </c>
      <c r="E582" t="inlineStr"/>
      <c r="F582" t="inlineStr">
        <is>
          <t>Михайловская, 3.2</t>
        </is>
      </c>
      <c r="G582" t="n">
        <v>78.09999999999999</v>
      </c>
      <c r="H582" t="inlineStr">
        <is>
          <t>22 914 000</t>
        </is>
      </c>
      <c r="I582" t="inlineStr"/>
      <c r="J582" t="inlineStr"/>
      <c r="K582" t="inlineStr"/>
      <c r="L582" t="inlineStr"/>
      <c r="M582" t="inlineStr"/>
      <c r="N582" t="inlineStr">
        <is>
          <t>no</t>
        </is>
      </c>
      <c r="O582" t="inlineStr">
        <is>
          <t>none</t>
        </is>
      </c>
      <c r="P582">
        <f>HYPERLINK("https://knru.ru/catalog/zhk-parkolovo-mikhaylovskaya-doroga-k-3-2/","ссылка")</f>
        <v/>
      </c>
      <c r="Q582" t="inlineStr"/>
      <c r="R582" t="inlineStr">
        <is>
          <t>Нет у нас</t>
        </is>
      </c>
      <c r="S582" t="n">
        <v>0</v>
      </c>
      <c r="T582" t="inlineStr">
        <is>
          <t>Совпадений по улице+дому не найдено</t>
        </is>
      </c>
      <c r="U582" t="n">
        <v>810</v>
      </c>
      <c r="V582" t="n">
        <v>34</v>
      </c>
      <c r="W582" t="n">
        <v>18</v>
      </c>
      <c r="X582" t="n">
        <v>22914000</v>
      </c>
      <c r="Y582" t="inlineStr"/>
      <c r="Z582" t="inlineStr"/>
      <c r="AA582" t="inlineStr">
        <is>
          <t>https://knru.ru/catalog/zhk-parkolovo-mikhaylovskaya-doroga-k-3-2/</t>
        </is>
      </c>
      <c r="AB582" t="inlineStr">
        <is>
          <t>C</t>
        </is>
      </c>
    </row>
    <row r="583">
      <c r="A583" t="n">
        <v>812</v>
      </c>
      <c r="B583" t="n">
        <v>34</v>
      </c>
      <c r="C583" t="n">
        <v>20</v>
      </c>
      <c r="D583" t="n">
        <v>2123863139</v>
      </c>
      <c r="E583" t="inlineStr">
        <is>
          <t>Московский</t>
        </is>
      </c>
      <c r="F583" t="inlineStr">
        <is>
          <t>Заставская ул, 33стр3</t>
        </is>
      </c>
      <c r="G583" t="n">
        <v>382.7</v>
      </c>
      <c r="H583" t="inlineStr">
        <is>
          <t>150 720 000</t>
        </is>
      </c>
      <c r="I583" t="inlineStr"/>
      <c r="J583" t="inlineStr"/>
      <c r="K583" t="inlineStr"/>
      <c r="L583" t="inlineStr"/>
      <c r="M583" t="inlineStr"/>
      <c r="N583" t="inlineStr">
        <is>
          <t>no</t>
        </is>
      </c>
      <c r="O583" t="inlineStr">
        <is>
          <t>none</t>
        </is>
      </c>
      <c r="P583">
        <f>HYPERLINK("https://knru.ru/catalog/ul-zastavskaya-33-str-3-2123863139/","ссылка")</f>
        <v/>
      </c>
      <c r="Q583" t="inlineStr"/>
      <c r="R583" t="inlineStr">
        <is>
          <t>Нет у нас</t>
        </is>
      </c>
      <c r="S583" t="n">
        <v>0</v>
      </c>
      <c r="T583" t="inlineStr">
        <is>
          <t>Совпадений по улице+дому не найдено</t>
        </is>
      </c>
      <c r="U583" t="n">
        <v>812</v>
      </c>
      <c r="V583" t="n">
        <v>34</v>
      </c>
      <c r="W583" t="n">
        <v>20</v>
      </c>
      <c r="X583" t="n">
        <v>150720000</v>
      </c>
      <c r="Y583" t="inlineStr"/>
      <c r="Z583" t="inlineStr"/>
      <c r="AA583" t="inlineStr">
        <is>
          <t>https://knru.ru/catalog/ul-zastavskaya-33-str-3-2123863139/</t>
        </is>
      </c>
      <c r="AB583" t="inlineStr">
        <is>
          <t>C</t>
        </is>
      </c>
    </row>
    <row r="584">
      <c r="A584" t="n">
        <v>813</v>
      </c>
      <c r="B584" t="n">
        <v>34</v>
      </c>
      <c r="C584" t="n">
        <v>21</v>
      </c>
      <c r="D584" t="n">
        <v>612752451</v>
      </c>
      <c r="E584" t="inlineStr">
        <is>
          <t>Василеостровский</t>
        </is>
      </c>
      <c r="F584" t="inlineStr">
        <is>
          <t>Уральская ул, 25стр1</t>
        </is>
      </c>
      <c r="G584" t="n">
        <v>56.4</v>
      </c>
      <c r="H584" t="inlineStr">
        <is>
          <t>13 695 480</t>
        </is>
      </c>
      <c r="I584" t="inlineStr"/>
      <c r="J584" t="inlineStr"/>
      <c r="K584" t="inlineStr"/>
      <c r="L584" t="inlineStr"/>
      <c r="M584" t="inlineStr"/>
      <c r="N584" t="inlineStr">
        <is>
          <t>no</t>
        </is>
      </c>
      <c r="O584" t="inlineStr">
        <is>
          <t>none</t>
        </is>
      </c>
      <c r="P584">
        <f>HYPERLINK("https://knru.ru/catalog/ul-uralskaya-d-25-612752451/","ссылка")</f>
        <v/>
      </c>
      <c r="Q584" t="inlineStr"/>
      <c r="R584" t="inlineStr">
        <is>
          <t>Нет у нас</t>
        </is>
      </c>
      <c r="S584" t="n">
        <v>0</v>
      </c>
      <c r="T584" t="inlineStr">
        <is>
          <t>Совпадений по улице+дому не найдено</t>
        </is>
      </c>
      <c r="U584" t="n">
        <v>813</v>
      </c>
      <c r="V584" t="n">
        <v>34</v>
      </c>
      <c r="W584" t="n">
        <v>21</v>
      </c>
      <c r="X584" t="n">
        <v>13695480</v>
      </c>
      <c r="Y584" t="inlineStr"/>
      <c r="Z584" t="inlineStr"/>
      <c r="AA584" t="inlineStr">
        <is>
          <t>https://knru.ru/catalog/ul-uralskaya-d-25-612752451/</t>
        </is>
      </c>
      <c r="AB584" t="inlineStr">
        <is>
          <t>C</t>
        </is>
      </c>
    </row>
    <row r="585">
      <c r="A585" t="n">
        <v>814</v>
      </c>
      <c r="B585" t="n">
        <v>34</v>
      </c>
      <c r="C585" t="n">
        <v>22</v>
      </c>
      <c r="D585" t="n">
        <v>1396505181</v>
      </c>
      <c r="E585" t="inlineStr">
        <is>
          <t>Василеостровский</t>
        </is>
      </c>
      <c r="F585" t="inlineStr">
        <is>
          <t>Уральская ул, 25стр1</t>
        </is>
      </c>
      <c r="G585" t="n">
        <v>126.9</v>
      </c>
      <c r="H585" t="inlineStr">
        <is>
          <t>25 132 140</t>
        </is>
      </c>
      <c r="I585" t="inlineStr"/>
      <c r="J585" t="inlineStr"/>
      <c r="K585" t="inlineStr"/>
      <c r="L585" t="inlineStr"/>
      <c r="M585" t="inlineStr"/>
      <c r="N585" t="inlineStr">
        <is>
          <t>no</t>
        </is>
      </c>
      <c r="O585" t="inlineStr">
        <is>
          <t>none</t>
        </is>
      </c>
      <c r="P585">
        <f>HYPERLINK("https://knru.ru/catalog/ul-uralskaya-d-25-1396505181/","ссылка")</f>
        <v/>
      </c>
      <c r="Q585" t="inlineStr"/>
      <c r="R585" t="inlineStr">
        <is>
          <t>Нет у нас</t>
        </is>
      </c>
      <c r="S585" t="n">
        <v>0</v>
      </c>
      <c r="T585" t="inlineStr">
        <is>
          <t>Совпадений по улице+дому не найдено</t>
        </is>
      </c>
      <c r="U585" t="n">
        <v>814</v>
      </c>
      <c r="V585" t="n">
        <v>34</v>
      </c>
      <c r="W585" t="n">
        <v>22</v>
      </c>
      <c r="X585" t="n">
        <v>25132140</v>
      </c>
      <c r="Y585" t="inlineStr"/>
      <c r="Z585" t="inlineStr"/>
      <c r="AA585" t="inlineStr">
        <is>
          <t>https://knru.ru/catalog/ul-uralskaya-d-25-1396505181/</t>
        </is>
      </c>
      <c r="AB585" t="inlineStr">
        <is>
          <t>C</t>
        </is>
      </c>
    </row>
    <row r="586">
      <c r="A586" t="n">
        <v>815</v>
      </c>
      <c r="B586" t="n">
        <v>34</v>
      </c>
      <c r="C586" t="n">
        <v>23</v>
      </c>
      <c r="D586" t="n">
        <v>1212426560</v>
      </c>
      <c r="E586" t="inlineStr">
        <is>
          <t>Василеостровский</t>
        </is>
      </c>
      <c r="F586" t="inlineStr">
        <is>
          <t>Уральская ул, 25стр1</t>
        </is>
      </c>
      <c r="G586" t="n">
        <v>47.2</v>
      </c>
      <c r="H586" t="inlineStr">
        <is>
          <t>11 464 740</t>
        </is>
      </c>
      <c r="I586" t="inlineStr"/>
      <c r="J586" t="inlineStr"/>
      <c r="K586" t="inlineStr"/>
      <c r="L586" t="inlineStr"/>
      <c r="M586" t="inlineStr"/>
      <c r="N586" t="inlineStr">
        <is>
          <t>no</t>
        </is>
      </c>
      <c r="O586" t="inlineStr">
        <is>
          <t>none</t>
        </is>
      </c>
      <c r="P586">
        <f>HYPERLINK("https://knru.ru/catalog/ul-uralskaya-d-25-1212426560/","ссылка")</f>
        <v/>
      </c>
      <c r="Q586" t="inlineStr"/>
      <c r="R586" t="inlineStr">
        <is>
          <t>Нет у нас</t>
        </is>
      </c>
      <c r="S586" t="n">
        <v>0</v>
      </c>
      <c r="T586" t="inlineStr">
        <is>
          <t>Совпадений по улице+дому не найдено</t>
        </is>
      </c>
      <c r="U586" t="n">
        <v>815</v>
      </c>
      <c r="V586" t="n">
        <v>34</v>
      </c>
      <c r="W586" t="n">
        <v>23</v>
      </c>
      <c r="X586" t="n">
        <v>11464740</v>
      </c>
      <c r="Y586" t="inlineStr"/>
      <c r="Z586" t="inlineStr"/>
      <c r="AA586" t="inlineStr">
        <is>
          <t>https://knru.ru/catalog/ul-uralskaya-d-25-1212426560/</t>
        </is>
      </c>
      <c r="AB586" t="inlineStr">
        <is>
          <t>C</t>
        </is>
      </c>
    </row>
    <row r="587">
      <c r="A587" t="n">
        <v>816</v>
      </c>
      <c r="B587" t="n">
        <v>34</v>
      </c>
      <c r="C587" t="n">
        <v>24</v>
      </c>
      <c r="D587" t="n">
        <v>1654964067</v>
      </c>
      <c r="E587" t="inlineStr">
        <is>
          <t>Василеостровский</t>
        </is>
      </c>
      <c r="F587" t="inlineStr">
        <is>
          <t>Уральская ул, 25стр1</t>
        </is>
      </c>
      <c r="G587" t="n">
        <v>72.5</v>
      </c>
      <c r="H587" t="inlineStr">
        <is>
          <t>15 653 520</t>
        </is>
      </c>
      <c r="I587" t="inlineStr"/>
      <c r="J587" t="inlineStr"/>
      <c r="K587" t="inlineStr"/>
      <c r="L587" t="inlineStr"/>
      <c r="M587" t="inlineStr"/>
      <c r="N587" t="inlineStr">
        <is>
          <t>no</t>
        </is>
      </c>
      <c r="O587" t="inlineStr">
        <is>
          <t>none</t>
        </is>
      </c>
      <c r="P587">
        <f>HYPERLINK("https://knru.ru/catalog/ul-uralskaya-d-25-1654964067/","ссылка")</f>
        <v/>
      </c>
      <c r="Q587" t="inlineStr"/>
      <c r="R587" t="inlineStr">
        <is>
          <t>Нет у нас</t>
        </is>
      </c>
      <c r="S587" t="n">
        <v>0</v>
      </c>
      <c r="T587" t="inlineStr">
        <is>
          <t>Совпадений по улице+дому не найдено</t>
        </is>
      </c>
      <c r="U587" t="n">
        <v>816</v>
      </c>
      <c r="V587" t="n">
        <v>34</v>
      </c>
      <c r="W587" t="n">
        <v>24</v>
      </c>
      <c r="X587" t="n">
        <v>15653520</v>
      </c>
      <c r="Y587" t="inlineStr"/>
      <c r="Z587" t="inlineStr"/>
      <c r="AA587" t="inlineStr">
        <is>
          <t>https://knru.ru/catalog/ul-uralskaya-d-25-1654964067/</t>
        </is>
      </c>
      <c r="AB587" t="inlineStr">
        <is>
          <t>C</t>
        </is>
      </c>
    </row>
    <row r="588">
      <c r="A588" t="n">
        <v>817</v>
      </c>
      <c r="B588" t="n">
        <v>35</v>
      </c>
      <c r="C588" t="n">
        <v>1</v>
      </c>
      <c r="D588" t="n">
        <v>975263759</v>
      </c>
      <c r="E588" t="inlineStr">
        <is>
          <t>Василеостровский</t>
        </is>
      </c>
      <c r="F588" t="inlineStr">
        <is>
          <t>Уральская ул, 25стр1</t>
        </is>
      </c>
      <c r="G588" t="n">
        <v>54.3</v>
      </c>
      <c r="H588" t="inlineStr">
        <is>
          <t>14 182 740</t>
        </is>
      </c>
      <c r="I588" t="inlineStr"/>
      <c r="J588" t="inlineStr"/>
      <c r="K588" t="inlineStr"/>
      <c r="L588" t="inlineStr"/>
      <c r="M588" t="inlineStr"/>
      <c r="N588" t="inlineStr">
        <is>
          <t>no</t>
        </is>
      </c>
      <c r="O588" t="inlineStr">
        <is>
          <t>none</t>
        </is>
      </c>
      <c r="P588">
        <f>HYPERLINK("https://knru.ru/catalog/ul-uralskaya-d-25-975263759/","ссылка")</f>
        <v/>
      </c>
      <c r="Q588" t="inlineStr"/>
      <c r="R588" t="inlineStr">
        <is>
          <t>Нет у нас</t>
        </is>
      </c>
      <c r="S588" t="n">
        <v>0</v>
      </c>
      <c r="T588" t="inlineStr">
        <is>
          <t>Совпадений по улице+дому не найдено</t>
        </is>
      </c>
      <c r="U588" t="n">
        <v>817</v>
      </c>
      <c r="V588" t="n">
        <v>35</v>
      </c>
      <c r="W588" t="n">
        <v>1</v>
      </c>
      <c r="X588" t="n">
        <v>14182740</v>
      </c>
      <c r="Y588" t="inlineStr"/>
      <c r="Z588" t="inlineStr"/>
      <c r="AA588" t="inlineStr">
        <is>
          <t>https://knru.ru/catalog/ul-uralskaya-d-25-975263759/</t>
        </is>
      </c>
      <c r="AB588" t="inlineStr">
        <is>
          <t>C</t>
        </is>
      </c>
    </row>
    <row r="589">
      <c r="A589" t="n">
        <v>818</v>
      </c>
      <c r="B589" t="n">
        <v>35</v>
      </c>
      <c r="C589" t="n">
        <v>2</v>
      </c>
      <c r="D589" t="n">
        <v>1065584785</v>
      </c>
      <c r="E589" t="inlineStr">
        <is>
          <t>Василеостровский</t>
        </is>
      </c>
      <c r="F589" t="inlineStr">
        <is>
          <t>Уральская ул, 25стр1</t>
        </is>
      </c>
      <c r="G589" t="n">
        <v>60.6</v>
      </c>
      <c r="H589" t="inlineStr">
        <is>
          <t>15 266 160</t>
        </is>
      </c>
      <c r="I589" t="inlineStr"/>
      <c r="J589" t="inlineStr"/>
      <c r="K589" t="inlineStr"/>
      <c r="L589" t="inlineStr"/>
      <c r="M589" t="inlineStr"/>
      <c r="N589" t="inlineStr">
        <is>
          <t>no</t>
        </is>
      </c>
      <c r="O589" t="inlineStr">
        <is>
          <t>none</t>
        </is>
      </c>
      <c r="P589">
        <f>HYPERLINK("https://knru.ru/catalog/ul-uralskaya-d-25-1065584785/","ссылка")</f>
        <v/>
      </c>
      <c r="Q589" t="inlineStr"/>
      <c r="R589" t="inlineStr">
        <is>
          <t>Нет у нас</t>
        </is>
      </c>
      <c r="S589" t="n">
        <v>0</v>
      </c>
      <c r="T589" t="inlineStr">
        <is>
          <t>Совпадений по улице+дому не найдено</t>
        </is>
      </c>
      <c r="U589" t="n">
        <v>818</v>
      </c>
      <c r="V589" t="n">
        <v>35</v>
      </c>
      <c r="W589" t="n">
        <v>2</v>
      </c>
      <c r="X589" t="n">
        <v>15266160</v>
      </c>
      <c r="Y589" t="inlineStr"/>
      <c r="Z589" t="inlineStr"/>
      <c r="AA589" t="inlineStr">
        <is>
          <t>https://knru.ru/catalog/ul-uralskaya-d-25-1065584785/</t>
        </is>
      </c>
      <c r="AB589" t="inlineStr">
        <is>
          <t>C</t>
        </is>
      </c>
    </row>
    <row r="590">
      <c r="A590" t="n">
        <v>819</v>
      </c>
      <c r="B590" t="n">
        <v>35</v>
      </c>
      <c r="C590" t="n">
        <v>3</v>
      </c>
      <c r="D590" t="n">
        <v>1223034522</v>
      </c>
      <c r="E590" t="inlineStr">
        <is>
          <t>Василеостровский</t>
        </is>
      </c>
      <c r="F590" t="inlineStr">
        <is>
          <t>Уральская ул, 25стр1</t>
        </is>
      </c>
      <c r="G590" t="n">
        <v>87.8</v>
      </c>
      <c r="H590" t="inlineStr">
        <is>
          <t>19 759 500</t>
        </is>
      </c>
      <c r="I590" t="inlineStr"/>
      <c r="J590" t="inlineStr"/>
      <c r="K590" t="inlineStr"/>
      <c r="L590" t="inlineStr"/>
      <c r="M590" t="inlineStr"/>
      <c r="N590" t="inlineStr">
        <is>
          <t>no</t>
        </is>
      </c>
      <c r="O590" t="inlineStr">
        <is>
          <t>none</t>
        </is>
      </c>
      <c r="P590">
        <f>HYPERLINK("https://knru.ru/catalog/ul-uralskaya-d-25-1223034522/","ссылка")</f>
        <v/>
      </c>
      <c r="Q590" t="inlineStr"/>
      <c r="R590" t="inlineStr">
        <is>
          <t>Нет у нас</t>
        </is>
      </c>
      <c r="S590" t="n">
        <v>0</v>
      </c>
      <c r="T590" t="inlineStr">
        <is>
          <t>Совпадений по улице+дому не найдено</t>
        </is>
      </c>
      <c r="U590" t="n">
        <v>819</v>
      </c>
      <c r="V590" t="n">
        <v>35</v>
      </c>
      <c r="W590" t="n">
        <v>3</v>
      </c>
      <c r="X590" t="n">
        <v>19759500</v>
      </c>
      <c r="Y590" t="inlineStr"/>
      <c r="Z590" t="inlineStr"/>
      <c r="AA590" t="inlineStr">
        <is>
          <t>https://knru.ru/catalog/ul-uralskaya-d-25-1223034522/</t>
        </is>
      </c>
      <c r="AB590" t="inlineStr">
        <is>
          <t>C</t>
        </is>
      </c>
    </row>
    <row r="591">
      <c r="A591" t="n">
        <v>820</v>
      </c>
      <c r="B591" t="n">
        <v>35</v>
      </c>
      <c r="C591" t="n">
        <v>4</v>
      </c>
      <c r="D591" t="n">
        <v>1035865776</v>
      </c>
      <c r="E591" t="inlineStr">
        <is>
          <t>Василеостровский</t>
        </is>
      </c>
      <c r="F591" t="inlineStr">
        <is>
          <t>Уральская ул, 25стр1</t>
        </is>
      </c>
      <c r="G591" t="n">
        <v>50.6</v>
      </c>
      <c r="H591" t="inlineStr">
        <is>
          <t>13 198 770</t>
        </is>
      </c>
      <c r="I591" t="inlineStr"/>
      <c r="J591" t="inlineStr"/>
      <c r="K591" t="inlineStr"/>
      <c r="L591" t="inlineStr"/>
      <c r="M591" t="inlineStr"/>
      <c r="N591" t="inlineStr">
        <is>
          <t>no</t>
        </is>
      </c>
      <c r="O591" t="inlineStr">
        <is>
          <t>none</t>
        </is>
      </c>
      <c r="P591">
        <f>HYPERLINK("https://knru.ru/catalog/ul-uralskaya-d-25-1035865776/","ссылка")</f>
        <v/>
      </c>
      <c r="Q591" t="inlineStr"/>
      <c r="R591" t="inlineStr">
        <is>
          <t>Нет у нас</t>
        </is>
      </c>
      <c r="S591" t="n">
        <v>0</v>
      </c>
      <c r="T591" t="inlineStr">
        <is>
          <t>Совпадений по улице+дому не найдено</t>
        </is>
      </c>
      <c r="U591" t="n">
        <v>820</v>
      </c>
      <c r="V591" t="n">
        <v>35</v>
      </c>
      <c r="W591" t="n">
        <v>4</v>
      </c>
      <c r="X591" t="n">
        <v>13198770</v>
      </c>
      <c r="Y591" t="inlineStr"/>
      <c r="Z591" t="inlineStr"/>
      <c r="AA591" t="inlineStr">
        <is>
          <t>https://knru.ru/catalog/ul-uralskaya-d-25-1035865776/</t>
        </is>
      </c>
      <c r="AB591" t="inlineStr">
        <is>
          <t>C</t>
        </is>
      </c>
    </row>
    <row r="592">
      <c r="A592" t="n">
        <v>821</v>
      </c>
      <c r="B592" t="n">
        <v>35</v>
      </c>
      <c r="C592" t="n">
        <v>5</v>
      </c>
      <c r="D592" t="n">
        <v>1046064563</v>
      </c>
      <c r="E592" t="inlineStr">
        <is>
          <t>Василеостровский</t>
        </is>
      </c>
      <c r="F592" t="inlineStr">
        <is>
          <t>Уральская ул, 25стр1</t>
        </is>
      </c>
      <c r="G592" t="n">
        <v>47.9</v>
      </c>
      <c r="H592" t="inlineStr">
        <is>
          <t>13 352 940</t>
        </is>
      </c>
      <c r="I592" t="inlineStr"/>
      <c r="J592" t="inlineStr"/>
      <c r="K592" t="inlineStr"/>
      <c r="L592" t="inlineStr"/>
      <c r="M592" t="inlineStr"/>
      <c r="N592" t="inlineStr">
        <is>
          <t>no</t>
        </is>
      </c>
      <c r="O592" t="inlineStr">
        <is>
          <t>none</t>
        </is>
      </c>
      <c r="P592">
        <f>HYPERLINK("https://knru.ru/catalog/ul-uralskaya-d-25-1046064563/","ссылка")</f>
        <v/>
      </c>
      <c r="Q592" t="inlineStr"/>
      <c r="R592" t="inlineStr">
        <is>
          <t>Нет у нас</t>
        </is>
      </c>
      <c r="S592" t="n">
        <v>0</v>
      </c>
      <c r="T592" t="inlineStr">
        <is>
          <t>Совпадений по улице+дому не найдено</t>
        </is>
      </c>
      <c r="U592" t="n">
        <v>821</v>
      </c>
      <c r="V592" t="n">
        <v>35</v>
      </c>
      <c r="W592" t="n">
        <v>5</v>
      </c>
      <c r="X592" t="n">
        <v>13352940</v>
      </c>
      <c r="Y592" t="inlineStr"/>
      <c r="Z592" t="inlineStr"/>
      <c r="AA592" t="inlineStr">
        <is>
          <t>https://knru.ru/catalog/ul-uralskaya-d-25-1046064563/</t>
        </is>
      </c>
      <c r="AB592" t="inlineStr">
        <is>
          <t>C</t>
        </is>
      </c>
    </row>
    <row r="593">
      <c r="A593" t="n">
        <v>822</v>
      </c>
      <c r="B593" t="n">
        <v>35</v>
      </c>
      <c r="C593" t="n">
        <v>6</v>
      </c>
      <c r="D593" t="n">
        <v>1716619624</v>
      </c>
      <c r="E593" t="inlineStr">
        <is>
          <t>Василеостровский</t>
        </is>
      </c>
      <c r="F593" t="inlineStr">
        <is>
          <t>Уральская ул, 25стр1</t>
        </is>
      </c>
      <c r="G593" t="n">
        <v>106.7</v>
      </c>
      <c r="H593" t="inlineStr">
        <is>
          <t>22 086 900</t>
        </is>
      </c>
      <c r="I593" t="inlineStr"/>
      <c r="J593" t="inlineStr"/>
      <c r="K593" t="inlineStr"/>
      <c r="L593" t="inlineStr"/>
      <c r="M593" t="inlineStr"/>
      <c r="N593" t="inlineStr">
        <is>
          <t>no</t>
        </is>
      </c>
      <c r="O593" t="inlineStr">
        <is>
          <t>none</t>
        </is>
      </c>
      <c r="P593">
        <f>HYPERLINK("https://knru.ru/catalog/ul-uralskaya-d-25-1716619624/","ссылка")</f>
        <v/>
      </c>
      <c r="Q593" t="inlineStr"/>
      <c r="R593" t="inlineStr">
        <is>
          <t>Нет у нас</t>
        </is>
      </c>
      <c r="S593" t="n">
        <v>0</v>
      </c>
      <c r="T593" t="inlineStr">
        <is>
          <t>Совпадений по улице+дому не найдено</t>
        </is>
      </c>
      <c r="U593" t="n">
        <v>822</v>
      </c>
      <c r="V593" t="n">
        <v>35</v>
      </c>
      <c r="W593" t="n">
        <v>6</v>
      </c>
      <c r="X593" t="n">
        <v>22086900</v>
      </c>
      <c r="Y593" t="inlineStr"/>
      <c r="Z593" t="inlineStr"/>
      <c r="AA593" t="inlineStr">
        <is>
          <t>https://knru.ru/catalog/ul-uralskaya-d-25-1716619624/</t>
        </is>
      </c>
      <c r="AB593" t="inlineStr">
        <is>
          <t>C</t>
        </is>
      </c>
    </row>
    <row r="594">
      <c r="A594" t="n">
        <v>823</v>
      </c>
      <c r="B594" t="n">
        <v>35</v>
      </c>
      <c r="C594" t="n">
        <v>7</v>
      </c>
      <c r="D594" t="n">
        <v>25</v>
      </c>
      <c r="E594" t="inlineStr">
        <is>
          <t>Василеостровский</t>
        </is>
      </c>
      <c r="F594" t="inlineStr">
        <is>
          <t>Уральская ул, 25стр1</t>
        </is>
      </c>
      <c r="G594" t="n">
        <v>26.4</v>
      </c>
      <c r="H594" t="inlineStr">
        <is>
          <t>9 493 200</t>
        </is>
      </c>
      <c r="I594" t="inlineStr"/>
      <c r="J594" t="inlineStr"/>
      <c r="K594" t="inlineStr"/>
      <c r="L594" t="inlineStr"/>
      <c r="M594" t="inlineStr"/>
      <c r="N594" t="inlineStr">
        <is>
          <t>no</t>
        </is>
      </c>
      <c r="O594" t="inlineStr">
        <is>
          <t>none</t>
        </is>
      </c>
      <c r="P594">
        <f>HYPERLINK("https://knru.ru/catalog/ul-uralskaya-d-25/","ссылка")</f>
        <v/>
      </c>
      <c r="Q594" t="inlineStr"/>
      <c r="R594" t="inlineStr">
        <is>
          <t>Нет у нас</t>
        </is>
      </c>
      <c r="S594" t="n">
        <v>0</v>
      </c>
      <c r="T594" t="inlineStr">
        <is>
          <t>Совпадений по улице+дому не найдено</t>
        </is>
      </c>
      <c r="U594" t="n">
        <v>823</v>
      </c>
      <c r="V594" t="n">
        <v>35</v>
      </c>
      <c r="W594" t="n">
        <v>7</v>
      </c>
      <c r="X594" t="n">
        <v>9493200</v>
      </c>
      <c r="Y594" t="inlineStr"/>
      <c r="Z594" t="inlineStr"/>
      <c r="AA594" t="inlineStr">
        <is>
          <t>https://knru.ru/catalog/ul-uralskaya-d-25/</t>
        </is>
      </c>
      <c r="AB594" t="inlineStr">
        <is>
          <t>C</t>
        </is>
      </c>
    </row>
    <row r="595">
      <c r="A595" t="n">
        <v>824</v>
      </c>
      <c r="B595" t="n">
        <v>35</v>
      </c>
      <c r="C595" t="n">
        <v>8</v>
      </c>
      <c r="D595" t="n">
        <v>651504092</v>
      </c>
      <c r="E595" t="inlineStr">
        <is>
          <t>Московский</t>
        </is>
      </c>
      <c r="F595" t="inlineStr">
        <is>
          <t>Заставская ул, 33стр3</t>
        </is>
      </c>
      <c r="G595" t="n">
        <v>288.3</v>
      </c>
      <c r="H595" t="inlineStr">
        <is>
          <t>115 320 000</t>
        </is>
      </c>
      <c r="I595" t="inlineStr"/>
      <c r="J595" t="inlineStr"/>
      <c r="K595" t="inlineStr"/>
      <c r="L595" t="inlineStr"/>
      <c r="M595" t="inlineStr"/>
      <c r="N595" t="inlineStr">
        <is>
          <t>no</t>
        </is>
      </c>
      <c r="O595" t="inlineStr">
        <is>
          <t>none</t>
        </is>
      </c>
      <c r="P595">
        <f>HYPERLINK("https://knru.ru/catalog/ul-zastavskaya-33-str-3-651504092/","ссылка")</f>
        <v/>
      </c>
      <c r="Q595" t="inlineStr"/>
      <c r="R595" t="inlineStr">
        <is>
          <t>Нет у нас</t>
        </is>
      </c>
      <c r="S595" t="n">
        <v>0</v>
      </c>
      <c r="T595" t="inlineStr">
        <is>
          <t>Совпадений по улице+дому не найдено</t>
        </is>
      </c>
      <c r="U595" t="n">
        <v>824</v>
      </c>
      <c r="V595" t="n">
        <v>35</v>
      </c>
      <c r="W595" t="n">
        <v>8</v>
      </c>
      <c r="X595" t="n">
        <v>115320000</v>
      </c>
      <c r="Y595" t="inlineStr"/>
      <c r="Z595" t="inlineStr"/>
      <c r="AA595" t="inlineStr">
        <is>
          <t>https://knru.ru/catalog/ul-zastavskaya-33-str-3-651504092/</t>
        </is>
      </c>
      <c r="AB595" t="inlineStr">
        <is>
          <t>C</t>
        </is>
      </c>
    </row>
    <row r="596">
      <c r="A596" t="n">
        <v>825</v>
      </c>
      <c r="B596" t="n">
        <v>35</v>
      </c>
      <c r="C596" t="n">
        <v>9</v>
      </c>
      <c r="D596" t="n">
        <v>686289131</v>
      </c>
      <c r="E596" t="inlineStr">
        <is>
          <t>Московский</t>
        </is>
      </c>
      <c r="F596" t="inlineStr">
        <is>
          <t>Заставская ул, 33стр3</t>
        </is>
      </c>
      <c r="G596" t="n">
        <v>158.6</v>
      </c>
      <c r="H596" t="inlineStr">
        <is>
          <t>63 440 000</t>
        </is>
      </c>
      <c r="I596" t="inlineStr"/>
      <c r="J596" t="inlineStr"/>
      <c r="K596" t="inlineStr"/>
      <c r="L596" t="inlineStr"/>
      <c r="M596" t="inlineStr"/>
      <c r="N596" t="inlineStr">
        <is>
          <t>no</t>
        </is>
      </c>
      <c r="O596" t="inlineStr">
        <is>
          <t>none</t>
        </is>
      </c>
      <c r="P596">
        <f>HYPERLINK("https://knru.ru/catalog/ul-zastavskaya-33-str-3-686289131/","ссылка")</f>
        <v/>
      </c>
      <c r="Q596" t="inlineStr"/>
      <c r="R596" t="inlineStr">
        <is>
          <t>Нет у нас</t>
        </is>
      </c>
      <c r="S596" t="n">
        <v>0</v>
      </c>
      <c r="T596" t="inlineStr">
        <is>
          <t>Совпадений по улице+дому не найдено</t>
        </is>
      </c>
      <c r="U596" t="n">
        <v>825</v>
      </c>
      <c r="V596" t="n">
        <v>35</v>
      </c>
      <c r="W596" t="n">
        <v>9</v>
      </c>
      <c r="X596" t="n">
        <v>63440000</v>
      </c>
      <c r="Y596" t="inlineStr"/>
      <c r="Z596" t="inlineStr"/>
      <c r="AA596" t="inlineStr">
        <is>
          <t>https://knru.ru/catalog/ul-zastavskaya-33-str-3-686289131/</t>
        </is>
      </c>
      <c r="AB596" t="inlineStr">
        <is>
          <t>C</t>
        </is>
      </c>
    </row>
    <row r="597">
      <c r="A597" t="n">
        <v>826</v>
      </c>
      <c r="B597" t="n">
        <v>35</v>
      </c>
      <c r="C597" t="n">
        <v>10</v>
      </c>
      <c r="D597" t="n">
        <v>1873017594</v>
      </c>
      <c r="E597" t="inlineStr">
        <is>
          <t>Московский</t>
        </is>
      </c>
      <c r="F597" t="inlineStr">
        <is>
          <t>Заставская ул, 33стр3</t>
        </is>
      </c>
      <c r="G597" t="n">
        <v>129.7</v>
      </c>
      <c r="H597" t="inlineStr">
        <is>
          <t>51 880 000</t>
        </is>
      </c>
      <c r="I597" t="inlineStr"/>
      <c r="J597" t="inlineStr"/>
      <c r="K597" t="inlineStr"/>
      <c r="L597" t="inlineStr"/>
      <c r="M597" t="inlineStr"/>
      <c r="N597" t="inlineStr">
        <is>
          <t>no</t>
        </is>
      </c>
      <c r="O597" t="inlineStr">
        <is>
          <t>none</t>
        </is>
      </c>
      <c r="P597">
        <f>HYPERLINK("https://knru.ru/catalog/ul-zastavskaya-33-str-3-1873017594/","ссылка")</f>
        <v/>
      </c>
      <c r="Q597" t="inlineStr"/>
      <c r="R597" t="inlineStr">
        <is>
          <t>Нет у нас</t>
        </is>
      </c>
      <c r="S597" t="n">
        <v>0</v>
      </c>
      <c r="T597" t="inlineStr">
        <is>
          <t>Совпадений по улице+дому не найдено</t>
        </is>
      </c>
      <c r="U597" t="n">
        <v>826</v>
      </c>
      <c r="V597" t="n">
        <v>35</v>
      </c>
      <c r="W597" t="n">
        <v>10</v>
      </c>
      <c r="X597" t="n">
        <v>51880000</v>
      </c>
      <c r="Y597" t="inlineStr"/>
      <c r="Z597" t="inlineStr"/>
      <c r="AA597" t="inlineStr">
        <is>
          <t>https://knru.ru/catalog/ul-zastavskaya-33-str-3-1873017594/</t>
        </is>
      </c>
      <c r="AB597" t="inlineStr">
        <is>
          <t>C</t>
        </is>
      </c>
    </row>
    <row r="598">
      <c r="A598" t="n">
        <v>827</v>
      </c>
      <c r="B598" t="n">
        <v>35</v>
      </c>
      <c r="C598" t="n">
        <v>11</v>
      </c>
      <c r="D598" t="n">
        <v>3</v>
      </c>
      <c r="E598" t="inlineStr">
        <is>
          <t>Московский</t>
        </is>
      </c>
      <c r="F598" t="inlineStr">
        <is>
          <t>Заставская ул, 33стр3</t>
        </is>
      </c>
      <c r="G598" t="n">
        <v>94.40000000000001</v>
      </c>
      <c r="H598" t="inlineStr">
        <is>
          <t>35 400 000</t>
        </is>
      </c>
      <c r="I598" t="inlineStr"/>
      <c r="J598" t="inlineStr"/>
      <c r="K598" t="inlineStr"/>
      <c r="L598" t="inlineStr"/>
      <c r="M598" t="inlineStr"/>
      <c r="N598" t="inlineStr">
        <is>
          <t>no</t>
        </is>
      </c>
      <c r="O598" t="inlineStr">
        <is>
          <t>none</t>
        </is>
      </c>
      <c r="P598">
        <f>HYPERLINK("https://knru.ru/catalog/ul-zastavskaya-33-str-3/","ссылка")</f>
        <v/>
      </c>
      <c r="Q598" t="inlineStr"/>
      <c r="R598" t="inlineStr">
        <is>
          <t>Нет у нас</t>
        </is>
      </c>
      <c r="S598" t="n">
        <v>0</v>
      </c>
      <c r="T598" t="inlineStr">
        <is>
          <t>Совпадений по улице+дому не найдено</t>
        </is>
      </c>
      <c r="U598" t="n">
        <v>827</v>
      </c>
      <c r="V598" t="n">
        <v>35</v>
      </c>
      <c r="W598" t="n">
        <v>11</v>
      </c>
      <c r="X598" t="n">
        <v>35400000</v>
      </c>
      <c r="Y598" t="inlineStr"/>
      <c r="Z598" t="inlineStr"/>
      <c r="AA598" t="inlineStr">
        <is>
          <t>https://knru.ru/catalog/ul-zastavskaya-33-str-3/</t>
        </is>
      </c>
      <c r="AB598" t="inlineStr">
        <is>
          <t>C</t>
        </is>
      </c>
    </row>
    <row r="599">
      <c r="A599" t="n">
        <v>828</v>
      </c>
      <c r="B599" t="n">
        <v>35</v>
      </c>
      <c r="C599" t="n">
        <v>12</v>
      </c>
      <c r="D599" t="n">
        <v>1971752561</v>
      </c>
      <c r="E599" t="inlineStr">
        <is>
          <t>Василеостровский</t>
        </is>
      </c>
      <c r="F599" t="inlineStr">
        <is>
          <t>Масляный канал ул, 2</t>
        </is>
      </c>
      <c r="G599" t="n">
        <v>48.5</v>
      </c>
      <c r="H599" t="inlineStr">
        <is>
          <t>21 843 000</t>
        </is>
      </c>
      <c r="I599" t="inlineStr"/>
      <c r="J599" t="inlineStr"/>
      <c r="K599" t="inlineStr"/>
      <c r="L599" t="inlineStr"/>
      <c r="M599" t="inlineStr"/>
      <c r="N599" t="inlineStr">
        <is>
          <t>no</t>
        </is>
      </c>
      <c r="O599" t="inlineStr">
        <is>
          <t>none</t>
        </is>
      </c>
      <c r="P599">
        <f>HYPERLINK("https://knru.ru/catalog/maslyanyy-kanal-1971752561/","ссылка")</f>
        <v/>
      </c>
      <c r="Q599" t="inlineStr"/>
      <c r="R599" t="inlineStr">
        <is>
          <t>Нет у нас</t>
        </is>
      </c>
      <c r="S599" t="n">
        <v>0</v>
      </c>
      <c r="T599" t="inlineStr">
        <is>
          <t>Совпадений по улице+дому не найдено</t>
        </is>
      </c>
      <c r="U599" t="n">
        <v>828</v>
      </c>
      <c r="V599" t="n">
        <v>35</v>
      </c>
      <c r="W599" t="n">
        <v>12</v>
      </c>
      <c r="X599" t="n">
        <v>21843000</v>
      </c>
      <c r="Y599" t="inlineStr"/>
      <c r="Z599" t="inlineStr"/>
      <c r="AA599" t="inlineStr">
        <is>
          <t>https://knru.ru/catalog/maslyanyy-kanal-1971752561/</t>
        </is>
      </c>
      <c r="AB599" t="inlineStr">
        <is>
          <t>C</t>
        </is>
      </c>
    </row>
    <row r="600">
      <c r="A600" t="n">
        <v>829</v>
      </c>
      <c r="B600" t="n">
        <v>35</v>
      </c>
      <c r="C600" t="n">
        <v>13</v>
      </c>
      <c r="D600" t="inlineStr"/>
      <c r="E600" t="inlineStr">
        <is>
          <t>Василеостровский</t>
        </is>
      </c>
      <c r="F600" t="inlineStr">
        <is>
          <t>Масляный канал ул, 2</t>
        </is>
      </c>
      <c r="G600" t="n">
        <v>45.9</v>
      </c>
      <c r="H600" t="inlineStr">
        <is>
          <t>20 664 000</t>
        </is>
      </c>
      <c r="I600" t="inlineStr"/>
      <c r="J600" t="inlineStr"/>
      <c r="K600" t="inlineStr"/>
      <c r="L600" t="inlineStr"/>
      <c r="M600" t="inlineStr"/>
      <c r="N600" t="inlineStr">
        <is>
          <t>no</t>
        </is>
      </c>
      <c r="O600" t="inlineStr">
        <is>
          <t>none</t>
        </is>
      </c>
      <c r="P600">
        <f>HYPERLINK("https://knru.ru/catalog/maslyanyy-kanal/","ссылка")</f>
        <v/>
      </c>
      <c r="Q600" t="inlineStr"/>
      <c r="R600" t="inlineStr">
        <is>
          <t>Нет у нас</t>
        </is>
      </c>
      <c r="S600" t="n">
        <v>0</v>
      </c>
      <c r="T600" t="inlineStr">
        <is>
          <t>Совпадений по улице+дому не найдено</t>
        </is>
      </c>
      <c r="U600" t="n">
        <v>829</v>
      </c>
      <c r="V600" t="n">
        <v>35</v>
      </c>
      <c r="W600" t="n">
        <v>13</v>
      </c>
      <c r="X600" t="n">
        <v>20664000</v>
      </c>
      <c r="Y600" t="inlineStr"/>
      <c r="Z600" t="inlineStr"/>
      <c r="AA600" t="inlineStr">
        <is>
          <t>https://knru.ru/catalog/maslyanyy-kanal/</t>
        </is>
      </c>
      <c r="AB600" t="inlineStr">
        <is>
          <t>C</t>
        </is>
      </c>
    </row>
    <row r="601">
      <c r="A601" t="n">
        <v>832</v>
      </c>
      <c r="B601" t="n">
        <v>35</v>
      </c>
      <c r="C601" t="n">
        <v>16</v>
      </c>
      <c r="D601" t="n">
        <v>1296555493</v>
      </c>
      <c r="E601" t="inlineStr">
        <is>
          <t>Петродворцовый</t>
        </is>
      </c>
      <c r="F601" t="inlineStr">
        <is>
          <t>Буденного пр-кт, вл. 16</t>
        </is>
      </c>
      <c r="G601" t="n">
        <v>34.9</v>
      </c>
      <c r="H601" t="inlineStr">
        <is>
          <t>10 042 560</t>
        </is>
      </c>
      <c r="I601" t="inlineStr"/>
      <c r="J601" t="inlineStr"/>
      <c r="K601" t="inlineStr"/>
      <c r="L601" t="inlineStr"/>
      <c r="M601" t="inlineStr"/>
      <c r="N601" t="inlineStr">
        <is>
          <t>no</t>
        </is>
      </c>
      <c r="O601" t="inlineStr">
        <is>
          <t>none</t>
        </is>
      </c>
      <c r="P601">
        <f>HYPERLINK("https://knru.ru/catalog/strelna-pr-budennogo-uch-16-1296555493/","ссылка")</f>
        <v/>
      </c>
      <c r="Q601" t="inlineStr"/>
      <c r="R601" t="inlineStr">
        <is>
          <t>Нет у нас</t>
        </is>
      </c>
      <c r="S601" t="n">
        <v>0</v>
      </c>
      <c r="T601" t="inlineStr">
        <is>
          <t>Совпадений по улице+дому не найдено</t>
        </is>
      </c>
      <c r="U601" t="n">
        <v>832</v>
      </c>
      <c r="V601" t="n">
        <v>35</v>
      </c>
      <c r="W601" t="n">
        <v>16</v>
      </c>
      <c r="X601" t="n">
        <v>10042560</v>
      </c>
      <c r="Y601" t="inlineStr"/>
      <c r="Z601" t="inlineStr"/>
      <c r="AA601" t="inlineStr">
        <is>
          <t>https://knru.ru/catalog/strelna-pr-budennogo-uch-16-1296555493/</t>
        </is>
      </c>
      <c r="AB601" t="inlineStr">
        <is>
          <t>C</t>
        </is>
      </c>
    </row>
    <row r="602">
      <c r="A602" t="n">
        <v>833</v>
      </c>
      <c r="B602" t="n">
        <v>35</v>
      </c>
      <c r="C602" t="n">
        <v>17</v>
      </c>
      <c r="D602" t="n">
        <v>1681410694</v>
      </c>
      <c r="E602" t="inlineStr">
        <is>
          <t>Петродворцовый</t>
        </is>
      </c>
      <c r="F602" t="inlineStr">
        <is>
          <t>Буденного пр-кт, вл. 16</t>
        </is>
      </c>
      <c r="G602" t="n">
        <v>75.5</v>
      </c>
      <c r="H602" t="inlineStr">
        <is>
          <t>19 702 890</t>
        </is>
      </c>
      <c r="I602" t="inlineStr"/>
      <c r="J602" t="inlineStr"/>
      <c r="K602" t="inlineStr"/>
      <c r="L602" t="inlineStr"/>
      <c r="M602" t="inlineStr"/>
      <c r="N602" t="inlineStr">
        <is>
          <t>no</t>
        </is>
      </c>
      <c r="O602" t="inlineStr">
        <is>
          <t>none</t>
        </is>
      </c>
      <c r="P602">
        <f>HYPERLINK("https://knru.ru/catalog/strelna-pr-budennogo-uch-16-1681410694/","ссылка")</f>
        <v/>
      </c>
      <c r="Q602" t="inlineStr"/>
      <c r="R602" t="inlineStr">
        <is>
          <t>Нет у нас</t>
        </is>
      </c>
      <c r="S602" t="n">
        <v>0</v>
      </c>
      <c r="T602" t="inlineStr">
        <is>
          <t>Совпадений по улице+дому не найдено</t>
        </is>
      </c>
      <c r="U602" t="n">
        <v>833</v>
      </c>
      <c r="V602" t="n">
        <v>35</v>
      </c>
      <c r="W602" t="n">
        <v>17</v>
      </c>
      <c r="X602" t="n">
        <v>19702890</v>
      </c>
      <c r="Y602" t="inlineStr"/>
      <c r="Z602" t="inlineStr"/>
      <c r="AA602" t="inlineStr">
        <is>
          <t>https://knru.ru/catalog/strelna-pr-budennogo-uch-16-1681410694/</t>
        </is>
      </c>
      <c r="AB602" t="inlineStr">
        <is>
          <t>C</t>
        </is>
      </c>
    </row>
    <row r="603">
      <c r="A603" t="n">
        <v>834</v>
      </c>
      <c r="B603" t="n">
        <v>35</v>
      </c>
      <c r="C603" t="n">
        <v>18</v>
      </c>
      <c r="D603" t="n">
        <v>539085765</v>
      </c>
      <c r="E603" t="inlineStr">
        <is>
          <t>Петродворцовый</t>
        </is>
      </c>
      <c r="F603" t="inlineStr">
        <is>
          <t>Буденного пр-кт, вл. 16</t>
        </is>
      </c>
      <c r="G603" t="n">
        <v>29.2</v>
      </c>
      <c r="H603" t="inlineStr">
        <is>
          <t>11 033 820</t>
        </is>
      </c>
      <c r="I603" t="inlineStr"/>
      <c r="J603" t="inlineStr"/>
      <c r="K603" t="inlineStr"/>
      <c r="L603" t="inlineStr"/>
      <c r="M603" t="inlineStr"/>
      <c r="N603" t="inlineStr">
        <is>
          <t>no</t>
        </is>
      </c>
      <c r="O603" t="inlineStr">
        <is>
          <t>none</t>
        </is>
      </c>
      <c r="P603">
        <f>HYPERLINK("https://knru.ru/catalog/strelna-pr-budennogo-uch-16-539085765/","ссылка")</f>
        <v/>
      </c>
      <c r="Q603" t="inlineStr"/>
      <c r="R603" t="inlineStr">
        <is>
          <t>Нет у нас</t>
        </is>
      </c>
      <c r="S603" t="n">
        <v>0</v>
      </c>
      <c r="T603" t="inlineStr">
        <is>
          <t>Совпадений по улице+дому не найдено</t>
        </is>
      </c>
      <c r="U603" t="n">
        <v>834</v>
      </c>
      <c r="V603" t="n">
        <v>35</v>
      </c>
      <c r="W603" t="n">
        <v>18</v>
      </c>
      <c r="X603" t="n">
        <v>11033820</v>
      </c>
      <c r="Y603" t="inlineStr"/>
      <c r="Z603" t="inlineStr"/>
      <c r="AA603" t="inlineStr">
        <is>
          <t>https://knru.ru/catalog/strelna-pr-budennogo-uch-16-539085765/</t>
        </is>
      </c>
      <c r="AB603" t="inlineStr">
        <is>
          <t>C</t>
        </is>
      </c>
    </row>
    <row r="604">
      <c r="A604" t="n">
        <v>835</v>
      </c>
      <c r="B604" t="n">
        <v>35</v>
      </c>
      <c r="C604" t="n">
        <v>19</v>
      </c>
      <c r="D604" t="n">
        <v>677013530</v>
      </c>
      <c r="E604" t="inlineStr">
        <is>
          <t>Петродворцовый</t>
        </is>
      </c>
      <c r="F604" t="inlineStr">
        <is>
          <t>Буденного пр-кт, вл. 16</t>
        </is>
      </c>
      <c r="G604" t="n">
        <v>59.9</v>
      </c>
      <c r="H604" t="inlineStr">
        <is>
          <t>17 796 240</t>
        </is>
      </c>
      <c r="I604" t="inlineStr"/>
      <c r="J604" t="inlineStr"/>
      <c r="K604" t="inlineStr"/>
      <c r="L604" t="inlineStr"/>
      <c r="M604" t="inlineStr"/>
      <c r="N604" t="inlineStr">
        <is>
          <t>no</t>
        </is>
      </c>
      <c r="O604" t="inlineStr">
        <is>
          <t>none</t>
        </is>
      </c>
      <c r="P604">
        <f>HYPERLINK("https://knru.ru/catalog/strelna-pr-budennogo-uch-16-677013530/","ссылка")</f>
        <v/>
      </c>
      <c r="Q604" t="inlineStr"/>
      <c r="R604" t="inlineStr">
        <is>
          <t>Нет у нас</t>
        </is>
      </c>
      <c r="S604" t="n">
        <v>0</v>
      </c>
      <c r="T604" t="inlineStr">
        <is>
          <t>Совпадений по улице+дому не найдено</t>
        </is>
      </c>
      <c r="U604" t="n">
        <v>835</v>
      </c>
      <c r="V604" t="n">
        <v>35</v>
      </c>
      <c r="W604" t="n">
        <v>19</v>
      </c>
      <c r="X604" t="n">
        <v>17796240</v>
      </c>
      <c r="Y604" t="inlineStr"/>
      <c r="Z604" t="inlineStr"/>
      <c r="AA604" t="inlineStr">
        <is>
          <t>https://knru.ru/catalog/strelna-pr-budennogo-uch-16-677013530/</t>
        </is>
      </c>
      <c r="AB604" t="inlineStr">
        <is>
          <t>C</t>
        </is>
      </c>
    </row>
    <row r="605">
      <c r="A605" t="n">
        <v>836</v>
      </c>
      <c r="B605" t="n">
        <v>35</v>
      </c>
      <c r="C605" t="n">
        <v>20</v>
      </c>
      <c r="D605" t="n">
        <v>1799608102</v>
      </c>
      <c r="E605" t="inlineStr">
        <is>
          <t>Петродворцовый</t>
        </is>
      </c>
      <c r="F605" t="inlineStr">
        <is>
          <t>Буденного пр-кт, вл. 16</t>
        </is>
      </c>
      <c r="G605" t="n">
        <v>42.5</v>
      </c>
      <c r="H605" t="inlineStr">
        <is>
          <t>14 155 830</t>
        </is>
      </c>
      <c r="I605" t="inlineStr"/>
      <c r="J605" t="inlineStr"/>
      <c r="K605" t="inlineStr"/>
      <c r="L605" t="inlineStr"/>
      <c r="M605" t="inlineStr"/>
      <c r="N605" t="inlineStr">
        <is>
          <t>no</t>
        </is>
      </c>
      <c r="O605" t="inlineStr">
        <is>
          <t>none</t>
        </is>
      </c>
      <c r="P605">
        <f>HYPERLINK("https://knru.ru/catalog/strelna-pr-budennogo-uch-16-1799608102/","ссылка")</f>
        <v/>
      </c>
      <c r="Q605" t="inlineStr"/>
      <c r="R605" t="inlineStr">
        <is>
          <t>Нет у нас</t>
        </is>
      </c>
      <c r="S605" t="n">
        <v>0</v>
      </c>
      <c r="T605" t="inlineStr">
        <is>
          <t>Совпадений по улице+дому не найдено</t>
        </is>
      </c>
      <c r="U605" t="n">
        <v>836</v>
      </c>
      <c r="V605" t="n">
        <v>35</v>
      </c>
      <c r="W605" t="n">
        <v>20</v>
      </c>
      <c r="X605" t="n">
        <v>14155830</v>
      </c>
      <c r="Y605" t="inlineStr"/>
      <c r="Z605" t="inlineStr"/>
      <c r="AA605" t="inlineStr">
        <is>
          <t>https://knru.ru/catalog/strelna-pr-budennogo-uch-16-1799608102/</t>
        </is>
      </c>
      <c r="AB605" t="inlineStr">
        <is>
          <t>C</t>
        </is>
      </c>
    </row>
    <row r="606">
      <c r="A606" t="n">
        <v>837</v>
      </c>
      <c r="B606" t="n">
        <v>35</v>
      </c>
      <c r="C606" t="n">
        <v>21</v>
      </c>
      <c r="D606" t="n">
        <v>1642103162</v>
      </c>
      <c r="E606" t="inlineStr">
        <is>
          <t>Петродворцовый</t>
        </is>
      </c>
      <c r="F606" t="inlineStr">
        <is>
          <t>Буденного пр-кт, вл. 16</t>
        </is>
      </c>
      <c r="G606" t="n">
        <v>32.5</v>
      </c>
      <c r="H606" t="inlineStr">
        <is>
          <t>11 700 000</t>
        </is>
      </c>
      <c r="I606" t="inlineStr"/>
      <c r="J606" t="inlineStr"/>
      <c r="K606" t="inlineStr"/>
      <c r="L606" t="inlineStr"/>
      <c r="M606" t="inlineStr"/>
      <c r="N606" t="inlineStr">
        <is>
          <t>no</t>
        </is>
      </c>
      <c r="O606" t="inlineStr">
        <is>
          <t>none</t>
        </is>
      </c>
      <c r="P606">
        <f>HYPERLINK("https://knru.ru/catalog/strelna-pr-budennogo-uch-16-1642103162/","ссылка")</f>
        <v/>
      </c>
      <c r="Q606" t="inlineStr"/>
      <c r="R606" t="inlineStr">
        <is>
          <t>Нет у нас</t>
        </is>
      </c>
      <c r="S606" t="n">
        <v>0</v>
      </c>
      <c r="T606" t="inlineStr">
        <is>
          <t>Совпадений по улице+дому не найдено</t>
        </is>
      </c>
      <c r="U606" t="n">
        <v>837</v>
      </c>
      <c r="V606" t="n">
        <v>35</v>
      </c>
      <c r="W606" t="n">
        <v>21</v>
      </c>
      <c r="X606" t="n">
        <v>11700000</v>
      </c>
      <c r="Y606" t="inlineStr"/>
      <c r="Z606" t="inlineStr"/>
      <c r="AA606" t="inlineStr">
        <is>
          <t>https://knru.ru/catalog/strelna-pr-budennogo-uch-16-1642103162/</t>
        </is>
      </c>
      <c r="AB606" t="inlineStr">
        <is>
          <t>C</t>
        </is>
      </c>
    </row>
    <row r="607">
      <c r="A607" t="n">
        <v>838</v>
      </c>
      <c r="B607" t="n">
        <v>35</v>
      </c>
      <c r="C607" t="n">
        <v>22</v>
      </c>
      <c r="D607" t="n">
        <v>1883793683</v>
      </c>
      <c r="E607" t="inlineStr">
        <is>
          <t>Петродворцовый</t>
        </is>
      </c>
      <c r="F607" t="inlineStr">
        <is>
          <t>Буденного пр-кт, вл. 16</t>
        </is>
      </c>
      <c r="G607" t="n">
        <v>29</v>
      </c>
      <c r="H607" t="inlineStr">
        <is>
          <t>9 182 250</t>
        </is>
      </c>
      <c r="I607" t="inlineStr"/>
      <c r="J607" t="inlineStr"/>
      <c r="K607" t="inlineStr"/>
      <c r="L607" t="inlineStr"/>
      <c r="M607" t="inlineStr"/>
      <c r="N607" t="inlineStr">
        <is>
          <t>no</t>
        </is>
      </c>
      <c r="O607" t="inlineStr">
        <is>
          <t>none</t>
        </is>
      </c>
      <c r="P607">
        <f>HYPERLINK("https://knru.ru/catalog/strelna-pr-budennogo-uch-16-1883793683/","ссылка")</f>
        <v/>
      </c>
      <c r="Q607" t="inlineStr"/>
      <c r="R607" t="inlineStr">
        <is>
          <t>Нет у нас</t>
        </is>
      </c>
      <c r="S607" t="n">
        <v>0</v>
      </c>
      <c r="T607" t="inlineStr">
        <is>
          <t>Совпадений по улице+дому не найдено</t>
        </is>
      </c>
      <c r="U607" t="n">
        <v>838</v>
      </c>
      <c r="V607" t="n">
        <v>35</v>
      </c>
      <c r="W607" t="n">
        <v>22</v>
      </c>
      <c r="X607" t="n">
        <v>9182250</v>
      </c>
      <c r="Y607" t="inlineStr"/>
      <c r="Z607" t="inlineStr"/>
      <c r="AA607" t="inlineStr">
        <is>
          <t>https://knru.ru/catalog/strelna-pr-budennogo-uch-16-1883793683/</t>
        </is>
      </c>
      <c r="AB607" t="inlineStr">
        <is>
          <t>C</t>
        </is>
      </c>
    </row>
    <row r="608">
      <c r="A608" t="n">
        <v>839</v>
      </c>
      <c r="B608" t="n">
        <v>35</v>
      </c>
      <c r="C608" t="n">
        <v>23</v>
      </c>
      <c r="D608" t="n">
        <v>623589391</v>
      </c>
      <c r="E608" t="inlineStr">
        <is>
          <t>Петродворцовый</t>
        </is>
      </c>
      <c r="F608" t="inlineStr">
        <is>
          <t>Буденного пр-кт, вл. 16</t>
        </is>
      </c>
      <c r="G608" t="n">
        <v>54</v>
      </c>
      <c r="H608" t="inlineStr">
        <is>
          <t>17 978 670</t>
        </is>
      </c>
      <c r="I608" t="inlineStr"/>
      <c r="J608" t="inlineStr"/>
      <c r="K608" t="inlineStr"/>
      <c r="L608" t="inlineStr"/>
      <c r="M608" t="inlineStr"/>
      <c r="N608" t="inlineStr">
        <is>
          <t>no</t>
        </is>
      </c>
      <c r="O608" t="inlineStr">
        <is>
          <t>none</t>
        </is>
      </c>
      <c r="P608">
        <f>HYPERLINK("https://knru.ru/catalog/strelna-pr-budennogo-uch-16-623589391/","ссылка")</f>
        <v/>
      </c>
      <c r="Q608" t="inlineStr"/>
      <c r="R608" t="inlineStr">
        <is>
          <t>Нет у нас</t>
        </is>
      </c>
      <c r="S608" t="n">
        <v>0</v>
      </c>
      <c r="T608" t="inlineStr">
        <is>
          <t>Совпадений по улице+дому не найдено</t>
        </is>
      </c>
      <c r="U608" t="n">
        <v>839</v>
      </c>
      <c r="V608" t="n">
        <v>35</v>
      </c>
      <c r="W608" t="n">
        <v>23</v>
      </c>
      <c r="X608" t="n">
        <v>17978670</v>
      </c>
      <c r="Y608" t="inlineStr"/>
      <c r="Z608" t="inlineStr"/>
      <c r="AA608" t="inlineStr">
        <is>
          <t>https://knru.ru/catalog/strelna-pr-budennogo-uch-16-623589391/</t>
        </is>
      </c>
      <c r="AB608" t="inlineStr">
        <is>
          <t>C</t>
        </is>
      </c>
    </row>
    <row r="609">
      <c r="A609" t="n">
        <v>840</v>
      </c>
      <c r="B609" t="n">
        <v>35</v>
      </c>
      <c r="C609" t="n">
        <v>24</v>
      </c>
      <c r="D609" t="n">
        <v>16</v>
      </c>
      <c r="E609" t="inlineStr">
        <is>
          <t>Петродворцовый</t>
        </is>
      </c>
      <c r="F609" t="inlineStr">
        <is>
          <t>Буденного пр-кт, вл. 16</t>
        </is>
      </c>
      <c r="G609" t="n">
        <v>68</v>
      </c>
      <c r="H609" t="inlineStr">
        <is>
          <t>17 761 050</t>
        </is>
      </c>
      <c r="I609" t="inlineStr"/>
      <c r="J609" t="inlineStr"/>
      <c r="K609" t="inlineStr"/>
      <c r="L609" t="inlineStr"/>
      <c r="M609" t="inlineStr"/>
      <c r="N609" t="inlineStr">
        <is>
          <t>no</t>
        </is>
      </c>
      <c r="O609" t="inlineStr">
        <is>
          <t>none</t>
        </is>
      </c>
      <c r="P609">
        <f>HYPERLINK("https://knru.ru/catalog/strelna-pr-budennogo-uch-16/","ссылка")</f>
        <v/>
      </c>
      <c r="Q609" t="inlineStr"/>
      <c r="R609" t="inlineStr">
        <is>
          <t>Нет у нас</t>
        </is>
      </c>
      <c r="S609" t="n">
        <v>0</v>
      </c>
      <c r="T609" t="inlineStr">
        <is>
          <t>Совпадений по улице+дому не найдено</t>
        </is>
      </c>
      <c r="U609" t="n">
        <v>840</v>
      </c>
      <c r="V609" t="n">
        <v>35</v>
      </c>
      <c r="W609" t="n">
        <v>24</v>
      </c>
      <c r="X609" t="n">
        <v>17761050</v>
      </c>
      <c r="Y609" t="inlineStr"/>
      <c r="Z609" t="inlineStr"/>
      <c r="AA609" t="inlineStr">
        <is>
          <t>https://knru.ru/catalog/strelna-pr-budennogo-uch-16/</t>
        </is>
      </c>
      <c r="AB609" t="inlineStr">
        <is>
          <t>C</t>
        </is>
      </c>
    </row>
    <row r="610">
      <c r="A610" t="n">
        <v>851</v>
      </c>
      <c r="B610" t="n">
        <v>36</v>
      </c>
      <c r="C610" t="n">
        <v>11</v>
      </c>
      <c r="D610" t="n">
        <v>202086783</v>
      </c>
      <c r="E610" t="inlineStr">
        <is>
          <t>Красносельский</t>
        </is>
      </c>
      <c r="F610" t="inlineStr">
        <is>
          <t>Будённого пр-кт, 19к1стр1</t>
        </is>
      </c>
      <c r="G610" t="n">
        <v>258</v>
      </c>
      <c r="H610" t="inlineStr">
        <is>
          <t>62 805 282</t>
        </is>
      </c>
      <c r="I610" t="inlineStr"/>
      <c r="J610" t="inlineStr"/>
      <c r="K610" t="inlineStr"/>
      <c r="L610" t="inlineStr"/>
      <c r="M610" t="inlineStr"/>
      <c r="N610" t="inlineStr">
        <is>
          <t>no</t>
        </is>
      </c>
      <c r="O610" t="inlineStr">
        <is>
          <t>none</t>
        </is>
      </c>
      <c r="P610">
        <f>HYPERLINK("https://knru.ru/catalog/pr-budennogo-d-19-k-1-202086783/","ссылка")</f>
        <v/>
      </c>
      <c r="Q610" t="inlineStr"/>
      <c r="R610" t="inlineStr">
        <is>
          <t>Нет у нас</t>
        </is>
      </c>
      <c r="S610" t="n">
        <v>0</v>
      </c>
      <c r="T610" t="inlineStr">
        <is>
          <t>Совпадений по улице+дому не найдено</t>
        </is>
      </c>
      <c r="U610" t="n">
        <v>851</v>
      </c>
      <c r="V610" t="n">
        <v>36</v>
      </c>
      <c r="W610" t="n">
        <v>11</v>
      </c>
      <c r="X610" t="n">
        <v>62805282</v>
      </c>
      <c r="Y610" t="inlineStr"/>
      <c r="Z610" t="inlineStr"/>
      <c r="AA610" t="inlineStr">
        <is>
          <t>https://knru.ru/catalog/pr-budennogo-d-19-k-1-202086783/</t>
        </is>
      </c>
      <c r="AB610" t="inlineStr">
        <is>
          <t>C</t>
        </is>
      </c>
    </row>
    <row r="611">
      <c r="A611" t="n">
        <v>853</v>
      </c>
      <c r="B611" t="n">
        <v>36</v>
      </c>
      <c r="C611" t="n">
        <v>13</v>
      </c>
      <c r="D611" t="n">
        <v>466540763</v>
      </c>
      <c r="E611" t="inlineStr">
        <is>
          <t>Выборгский</t>
        </is>
      </c>
      <c r="F611" t="inlineStr">
        <is>
          <t>Манчестерская ул, 5к1стр1</t>
        </is>
      </c>
      <c r="G611" t="n">
        <v>96.2</v>
      </c>
      <c r="H611" t="inlineStr">
        <is>
          <t>33 814 300</t>
        </is>
      </c>
      <c r="I611" t="inlineStr"/>
      <c r="J611" t="inlineStr"/>
      <c r="K611" t="inlineStr"/>
      <c r="L611" t="inlineStr"/>
      <c r="M611" t="inlineStr"/>
      <c r="N611" t="inlineStr">
        <is>
          <t>no</t>
        </is>
      </c>
      <c r="O611" t="inlineStr">
        <is>
          <t>none</t>
        </is>
      </c>
      <c r="P611">
        <f>HYPERLINK("https://knru.ru/catalog/ul-manchesterskaya-d-5-k-1-466540763/","ссылка")</f>
        <v/>
      </c>
      <c r="Q611" t="inlineStr"/>
      <c r="R611" t="inlineStr">
        <is>
          <t>Нет у нас</t>
        </is>
      </c>
      <c r="S611" t="n">
        <v>0</v>
      </c>
      <c r="T611" t="inlineStr">
        <is>
          <t>Совпадений по улице+дому не найдено</t>
        </is>
      </c>
      <c r="U611" t="n">
        <v>853</v>
      </c>
      <c r="V611" t="n">
        <v>36</v>
      </c>
      <c r="W611" t="n">
        <v>13</v>
      </c>
      <c r="X611" t="n">
        <v>33814300</v>
      </c>
      <c r="Y611" t="inlineStr"/>
      <c r="Z611" t="inlineStr"/>
      <c r="AA611" t="inlineStr">
        <is>
          <t>https://knru.ru/catalog/ul-manchesterskaya-d-5-k-1-466540763/</t>
        </is>
      </c>
      <c r="AB611" t="inlineStr">
        <is>
          <t>C</t>
        </is>
      </c>
    </row>
    <row r="612">
      <c r="A612" t="n">
        <v>854</v>
      </c>
      <c r="B612" t="n">
        <v>36</v>
      </c>
      <c r="C612" t="n">
        <v>14</v>
      </c>
      <c r="D612" t="n">
        <v>43</v>
      </c>
      <c r="E612" t="inlineStr">
        <is>
          <t>Адмиралтейский</t>
        </is>
      </c>
      <c r="F612" t="inlineStr">
        <is>
          <t>Загородный пр-кт, 41 43 Б</t>
        </is>
      </c>
      <c r="G612" t="n">
        <v>60</v>
      </c>
      <c r="H612" t="inlineStr">
        <is>
          <t>16 000 000</t>
        </is>
      </c>
      <c r="I612" t="inlineStr"/>
      <c r="J612" t="inlineStr"/>
      <c r="K612" t="inlineStr"/>
      <c r="L612" t="inlineStr"/>
      <c r="M612" t="inlineStr"/>
      <c r="N612" t="inlineStr">
        <is>
          <t>no</t>
        </is>
      </c>
      <c r="O612" t="inlineStr">
        <is>
          <t>none</t>
        </is>
      </c>
      <c r="P612">
        <f>HYPERLINK("https://knru.ru/catalog/zagorodnyy-pr-d-41-43/","ссылка")</f>
        <v/>
      </c>
      <c r="Q612" t="inlineStr"/>
      <c r="R612" t="inlineStr">
        <is>
          <t>Нет у нас</t>
        </is>
      </c>
      <c r="S612" t="n">
        <v>0</v>
      </c>
      <c r="T612" t="inlineStr">
        <is>
          <t>Совпадений по улице+дому не найдено</t>
        </is>
      </c>
      <c r="U612" t="n">
        <v>854</v>
      </c>
      <c r="V612" t="n">
        <v>36</v>
      </c>
      <c r="W612" t="n">
        <v>14</v>
      </c>
      <c r="X612" t="n">
        <v>16000000</v>
      </c>
      <c r="Y612" t="inlineStr"/>
      <c r="Z612" t="inlineStr"/>
      <c r="AA612" t="inlineStr">
        <is>
          <t>https://knru.ru/catalog/zagorodnyy-pr-d-41-43/</t>
        </is>
      </c>
      <c r="AB612" t="inlineStr">
        <is>
          <t>C</t>
        </is>
      </c>
    </row>
    <row r="613">
      <c r="A613" t="n">
        <v>856</v>
      </c>
      <c r="B613" t="n">
        <v>36</v>
      </c>
      <c r="C613" t="n">
        <v>16</v>
      </c>
      <c r="D613" t="n">
        <v>48</v>
      </c>
      <c r="E613" t="inlineStr">
        <is>
          <t>Центральный</t>
        </is>
      </c>
      <c r="F613" t="inlineStr">
        <is>
          <t>Реки Мойки наб, 48 50 52 А</t>
        </is>
      </c>
      <c r="G613" t="n">
        <v>1080</v>
      </c>
      <c r="H613" t="inlineStr">
        <is>
          <t>850 000 000</t>
        </is>
      </c>
      <c r="I613" t="inlineStr"/>
      <c r="J613" t="inlineStr"/>
      <c r="K613" t="inlineStr"/>
      <c r="L613" t="inlineStr"/>
      <c r="M613" t="inlineStr"/>
      <c r="N613" t="inlineStr">
        <is>
          <t>no</t>
        </is>
      </c>
      <c r="O613" t="inlineStr">
        <is>
          <t>none</t>
        </is>
      </c>
      <c r="P613">
        <f>HYPERLINK("https://knru.ru/catalog/nab-reki-moyki-d-48/","ссылка")</f>
        <v/>
      </c>
      <c r="Q613" t="inlineStr"/>
      <c r="R613" t="inlineStr">
        <is>
          <t>Нет у нас</t>
        </is>
      </c>
      <c r="S613" t="n">
        <v>0</v>
      </c>
      <c r="T613" t="inlineStr">
        <is>
          <t>Совпадений по улице+дому не найдено</t>
        </is>
      </c>
      <c r="U613" t="n">
        <v>856</v>
      </c>
      <c r="V613" t="n">
        <v>36</v>
      </c>
      <c r="W613" t="n">
        <v>16</v>
      </c>
      <c r="X613" t="n">
        <v>850000000</v>
      </c>
      <c r="Y613" t="inlineStr"/>
      <c r="Z613" t="inlineStr"/>
      <c r="AA613" t="inlineStr">
        <is>
          <t>https://knru.ru/catalog/nab-reki-moyki-d-48/</t>
        </is>
      </c>
      <c r="AB613" t="inlineStr">
        <is>
          <t>C</t>
        </is>
      </c>
    </row>
    <row r="614">
      <c r="A614" t="n">
        <v>859</v>
      </c>
      <c r="B614" t="n">
        <v>36</v>
      </c>
      <c r="C614" t="n">
        <v>19</v>
      </c>
      <c r="D614" t="n">
        <v>478394153</v>
      </c>
      <c r="E614" t="inlineStr">
        <is>
          <t>Приморский</t>
        </is>
      </c>
      <c r="F614" t="inlineStr">
        <is>
          <t>Планерная ул, 87к1стр1</t>
        </is>
      </c>
      <c r="G614" t="n">
        <v>110.7</v>
      </c>
      <c r="H614" t="inlineStr">
        <is>
          <t>25 986 151</t>
        </is>
      </c>
      <c r="I614" t="inlineStr"/>
      <c r="J614" t="inlineStr"/>
      <c r="K614" t="inlineStr"/>
      <c r="L614" t="inlineStr"/>
      <c r="M614" t="inlineStr"/>
      <c r="N614" t="inlineStr">
        <is>
          <t>no</t>
        </is>
      </c>
      <c r="O614" t="inlineStr">
        <is>
          <t>none</t>
        </is>
      </c>
      <c r="P614">
        <f>HYPERLINK("https://knru.ru/catalog/planernaya-ul-d-87-k-1-478394153/","ссылка")</f>
        <v/>
      </c>
      <c r="Q614" t="inlineStr"/>
      <c r="R614" t="inlineStr">
        <is>
          <t>Нет у нас</t>
        </is>
      </c>
      <c r="S614" t="n">
        <v>0</v>
      </c>
      <c r="T614" t="inlineStr">
        <is>
          <t>Совпадений по улице+дому не найдено</t>
        </is>
      </c>
      <c r="U614" t="n">
        <v>859</v>
      </c>
      <c r="V614" t="n">
        <v>36</v>
      </c>
      <c r="W614" t="n">
        <v>19</v>
      </c>
      <c r="X614" t="n">
        <v>25986151</v>
      </c>
      <c r="Y614" t="inlineStr"/>
      <c r="Z614" t="inlineStr"/>
      <c r="AA614" t="inlineStr">
        <is>
          <t>https://knru.ru/catalog/planernaya-ul-d-87-k-1-478394153/</t>
        </is>
      </c>
      <c r="AB614" t="inlineStr">
        <is>
          <t>C</t>
        </is>
      </c>
    </row>
    <row r="615">
      <c r="A615" t="n">
        <v>860</v>
      </c>
      <c r="B615" t="n">
        <v>36</v>
      </c>
      <c r="C615" t="n">
        <v>20</v>
      </c>
      <c r="D615" t="n">
        <v>1991999534</v>
      </c>
      <c r="E615" t="inlineStr">
        <is>
          <t>Московский</t>
        </is>
      </c>
      <c r="F615" t="inlineStr">
        <is>
          <t>Благодатная ул, 50</t>
        </is>
      </c>
      <c r="G615" t="n">
        <v>68.8</v>
      </c>
      <c r="H615" t="inlineStr">
        <is>
          <t>34 400 000</t>
        </is>
      </c>
      <c r="I615" t="inlineStr"/>
      <c r="J615" t="inlineStr"/>
      <c r="K615" t="inlineStr"/>
      <c r="L615" t="inlineStr"/>
      <c r="M615" t="inlineStr"/>
      <c r="N615" t="inlineStr">
        <is>
          <t>no</t>
        </is>
      </c>
      <c r="O615" t="inlineStr">
        <is>
          <t>none</t>
        </is>
      </c>
      <c r="P615">
        <f>HYPERLINK("https://knru.ru/catalog/ul-blagodatnaya-d-50-1991999534/","ссылка")</f>
        <v/>
      </c>
      <c r="Q615" t="inlineStr"/>
      <c r="R615" t="inlineStr">
        <is>
          <t>Нет у нас</t>
        </is>
      </c>
      <c r="S615" t="n">
        <v>0</v>
      </c>
      <c r="T615" t="inlineStr">
        <is>
          <t>Совпадений по улице+дому не найдено</t>
        </is>
      </c>
      <c r="U615" t="n">
        <v>860</v>
      </c>
      <c r="V615" t="n">
        <v>36</v>
      </c>
      <c r="W615" t="n">
        <v>20</v>
      </c>
      <c r="X615" t="n">
        <v>34400000</v>
      </c>
      <c r="Y615" t="inlineStr"/>
      <c r="Z615" t="inlineStr"/>
      <c r="AA615" t="inlineStr">
        <is>
          <t>https://knru.ru/catalog/ul-blagodatnaya-d-50-1991999534/</t>
        </is>
      </c>
      <c r="AB615" t="inlineStr">
        <is>
          <t>C</t>
        </is>
      </c>
    </row>
    <row r="616">
      <c r="A616" t="n">
        <v>861</v>
      </c>
      <c r="B616" t="n">
        <v>36</v>
      </c>
      <c r="C616" t="n">
        <v>21</v>
      </c>
      <c r="D616" t="n">
        <v>1440873399</v>
      </c>
      <c r="E616" t="inlineStr">
        <is>
          <t>Василеостровский</t>
        </is>
      </c>
      <c r="F616" t="inlineStr">
        <is>
          <t>Кожевенная линия, к.5</t>
        </is>
      </c>
      <c r="G616" t="n">
        <v>67.5</v>
      </c>
      <c r="H616" t="inlineStr">
        <is>
          <t>37 777 600</t>
        </is>
      </c>
      <c r="I616" t="inlineStr"/>
      <c r="J616" t="inlineStr"/>
      <c r="K616" t="inlineStr"/>
      <c r="L616" t="inlineStr"/>
      <c r="M616" t="inlineStr"/>
      <c r="N616" t="inlineStr">
        <is>
          <t>no</t>
        </is>
      </c>
      <c r="O616" t="inlineStr">
        <is>
          <t>none</t>
        </is>
      </c>
      <c r="P616">
        <f>HYPERLINK("https://knru.ru/catalog/kozhevennaya-liniya-k-5-1440873399/","ссылка")</f>
        <v/>
      </c>
      <c r="Q616" t="inlineStr"/>
      <c r="R616" t="inlineStr">
        <is>
          <t>Нет у нас</t>
        </is>
      </c>
      <c r="S616" t="n">
        <v>0</v>
      </c>
      <c r="T616" t="inlineStr">
        <is>
          <t>Совпадений по улице+дому не найдено</t>
        </is>
      </c>
      <c r="U616" t="n">
        <v>861</v>
      </c>
      <c r="V616" t="n">
        <v>36</v>
      </c>
      <c r="W616" t="n">
        <v>21</v>
      </c>
      <c r="X616" t="n">
        <v>37777600</v>
      </c>
      <c r="Y616" t="inlineStr"/>
      <c r="Z616" t="inlineStr"/>
      <c r="AA616" t="inlineStr">
        <is>
          <t>https://knru.ru/catalog/kozhevennaya-liniya-k-5-1440873399/</t>
        </is>
      </c>
      <c r="AB616" t="inlineStr">
        <is>
          <t>C</t>
        </is>
      </c>
    </row>
    <row r="617">
      <c r="A617" t="n">
        <v>862</v>
      </c>
      <c r="B617" t="n">
        <v>36</v>
      </c>
      <c r="C617" t="n">
        <v>22</v>
      </c>
      <c r="D617" t="n">
        <v>796258372</v>
      </c>
      <c r="E617" t="inlineStr">
        <is>
          <t>Василеостровский</t>
        </is>
      </c>
      <c r="F617" t="inlineStr">
        <is>
          <t>Кожевенная линия, к.5</t>
        </is>
      </c>
      <c r="G617" t="n">
        <v>102.8</v>
      </c>
      <c r="H617" t="inlineStr">
        <is>
          <t>39 060 200</t>
        </is>
      </c>
      <c r="I617" t="inlineStr"/>
      <c r="J617" t="inlineStr"/>
      <c r="K617" t="inlineStr"/>
      <c r="L617" t="inlineStr"/>
      <c r="M617" t="inlineStr"/>
      <c r="N617" t="inlineStr">
        <is>
          <t>no</t>
        </is>
      </c>
      <c r="O617" t="inlineStr">
        <is>
          <t>none</t>
        </is>
      </c>
      <c r="P617">
        <f>HYPERLINK("https://knru.ru/catalog/kozhevennaya-liniya-k-5-796258372/","ссылка")</f>
        <v/>
      </c>
      <c r="Q617" t="inlineStr"/>
      <c r="R617" t="inlineStr">
        <is>
          <t>Нет у нас</t>
        </is>
      </c>
      <c r="S617" t="n">
        <v>0</v>
      </c>
      <c r="T617" t="inlineStr">
        <is>
          <t>Совпадений по улице+дому не найдено</t>
        </is>
      </c>
      <c r="U617" t="n">
        <v>862</v>
      </c>
      <c r="V617" t="n">
        <v>36</v>
      </c>
      <c r="W617" t="n">
        <v>22</v>
      </c>
      <c r="X617" t="n">
        <v>39060200</v>
      </c>
      <c r="Y617" t="inlineStr"/>
      <c r="Z617" t="inlineStr"/>
      <c r="AA617" t="inlineStr">
        <is>
          <t>https://knru.ru/catalog/kozhevennaya-liniya-k-5-796258372/</t>
        </is>
      </c>
      <c r="AB617" t="inlineStr">
        <is>
          <t>C</t>
        </is>
      </c>
    </row>
    <row r="618">
      <c r="A618" t="n">
        <v>863</v>
      </c>
      <c r="B618" t="n">
        <v>36</v>
      </c>
      <c r="C618" t="n">
        <v>23</v>
      </c>
      <c r="D618" t="inlineStr"/>
      <c r="E618" t="inlineStr">
        <is>
          <t>Приморский</t>
        </is>
      </c>
      <c r="F618" t="inlineStr">
        <is>
          <t>Лахтинский пр-кт, 85 В</t>
        </is>
      </c>
      <c r="G618" t="n">
        <v>1500</v>
      </c>
      <c r="H618" t="inlineStr">
        <is>
          <t>650 000 000</t>
        </is>
      </c>
      <c r="I618" t="inlineStr"/>
      <c r="J618" t="inlineStr"/>
      <c r="K618" t="inlineStr"/>
      <c r="L618" t="inlineStr"/>
      <c r="M618" t="inlineStr"/>
      <c r="N618" t="inlineStr">
        <is>
          <t>no</t>
        </is>
      </c>
      <c r="O618" t="inlineStr">
        <is>
          <t>none</t>
        </is>
      </c>
      <c r="P618">
        <f>HYPERLINK("https://knru.ru/catalog/lakhtinskiy-pr-85-lit-v/","ссылка")</f>
        <v/>
      </c>
      <c r="Q618" t="inlineStr"/>
      <c r="R618" t="inlineStr">
        <is>
          <t>Нет у нас</t>
        </is>
      </c>
      <c r="S618" t="n">
        <v>0</v>
      </c>
      <c r="T618" t="inlineStr">
        <is>
          <t>Совпадений по улице+дому не найдено</t>
        </is>
      </c>
      <c r="U618" t="n">
        <v>863</v>
      </c>
      <c r="V618" t="n">
        <v>36</v>
      </c>
      <c r="W618" t="n">
        <v>23</v>
      </c>
      <c r="X618" t="n">
        <v>650000000</v>
      </c>
      <c r="Y618" t="inlineStr"/>
      <c r="Z618" t="inlineStr"/>
      <c r="AA618" t="inlineStr">
        <is>
          <t>https://knru.ru/catalog/lakhtinskiy-pr-85-lit-v/</t>
        </is>
      </c>
      <c r="AB618" t="inlineStr">
        <is>
          <t>C</t>
        </is>
      </c>
    </row>
    <row r="619">
      <c r="A619" t="n">
        <v>864</v>
      </c>
      <c r="B619" t="n">
        <v>36</v>
      </c>
      <c r="C619" t="n">
        <v>24</v>
      </c>
      <c r="D619" t="inlineStr"/>
      <c r="E619" t="inlineStr">
        <is>
          <t>Приморский</t>
        </is>
      </c>
      <c r="F619" t="inlineStr">
        <is>
          <t>Планерная ул, 87к1стр1</t>
        </is>
      </c>
      <c r="G619" t="n">
        <v>66.59999999999999</v>
      </c>
      <c r="H619" t="inlineStr">
        <is>
          <t>17 790 508</t>
        </is>
      </c>
      <c r="I619" t="inlineStr"/>
      <c r="J619" t="inlineStr"/>
      <c r="K619" t="inlineStr"/>
      <c r="L619" t="inlineStr"/>
      <c r="M619" t="inlineStr"/>
      <c r="N619" t="inlineStr">
        <is>
          <t>no</t>
        </is>
      </c>
      <c r="O619" t="inlineStr">
        <is>
          <t>none</t>
        </is>
      </c>
      <c r="P619">
        <f>HYPERLINK("https://knru.ru/catalog/planernaya-ul-87k1str1/","ссылка")</f>
        <v/>
      </c>
      <c r="Q619" t="inlineStr"/>
      <c r="R619" t="inlineStr">
        <is>
          <t>Нет у нас</t>
        </is>
      </c>
      <c r="S619" t="n">
        <v>0</v>
      </c>
      <c r="T619" t="inlineStr">
        <is>
          <t>Совпадений по улице+дому не найдено</t>
        </is>
      </c>
      <c r="U619" t="n">
        <v>864</v>
      </c>
      <c r="V619" t="n">
        <v>36</v>
      </c>
      <c r="W619" t="n">
        <v>24</v>
      </c>
      <c r="X619" t="n">
        <v>17790508</v>
      </c>
      <c r="Y619" t="inlineStr"/>
      <c r="Z619" t="inlineStr"/>
      <c r="AA619" t="inlineStr">
        <is>
          <t>https://knru.ru/catalog/planernaya-ul-87k1str1/</t>
        </is>
      </c>
      <c r="AB619" t="inlineStr">
        <is>
          <t>C</t>
        </is>
      </c>
    </row>
    <row r="620">
      <c r="A620" t="n">
        <v>865</v>
      </c>
      <c r="B620" t="n">
        <v>37</v>
      </c>
      <c r="C620" t="n">
        <v>1</v>
      </c>
      <c r="D620" t="n">
        <v>1671835473</v>
      </c>
      <c r="E620" t="inlineStr">
        <is>
          <t>Василеостровский</t>
        </is>
      </c>
      <c r="F620" t="inlineStr">
        <is>
          <t>12-я В.О. линия, 41-43</t>
        </is>
      </c>
      <c r="G620" t="n">
        <v>227.7</v>
      </c>
      <c r="H620" t="inlineStr">
        <is>
          <t>86 000 000</t>
        </is>
      </c>
      <c r="I620" t="inlineStr"/>
      <c r="J620" t="inlineStr"/>
      <c r="K620" t="inlineStr"/>
      <c r="L620" t="inlineStr"/>
      <c r="M620" t="inlineStr"/>
      <c r="N620" t="inlineStr">
        <is>
          <t>no</t>
        </is>
      </c>
      <c r="O620" t="inlineStr">
        <is>
          <t>none</t>
        </is>
      </c>
      <c r="P620">
        <f>HYPERLINK("https://knru.ru/catalog/12-ya-liniya-v-o-d-41-43-1671835473/","ссылка")</f>
        <v/>
      </c>
      <c r="Q620" t="inlineStr"/>
      <c r="R620" t="inlineStr">
        <is>
          <t>Нет у нас</t>
        </is>
      </c>
      <c r="S620" t="n">
        <v>0</v>
      </c>
      <c r="T620" t="inlineStr">
        <is>
          <t>Совпадений по улице+дому не найдено</t>
        </is>
      </c>
      <c r="U620" t="n">
        <v>865</v>
      </c>
      <c r="V620" t="n">
        <v>37</v>
      </c>
      <c r="W620" t="n">
        <v>1</v>
      </c>
      <c r="X620" t="n">
        <v>86000000</v>
      </c>
      <c r="Y620" t="inlineStr"/>
      <c r="Z620" t="inlineStr"/>
      <c r="AA620" t="inlineStr">
        <is>
          <t>https://knru.ru/catalog/12-ya-liniya-v-o-d-41-43-1671835473/</t>
        </is>
      </c>
      <c r="AB620" t="inlineStr">
        <is>
          <t>C</t>
        </is>
      </c>
    </row>
    <row r="621">
      <c r="A621" t="n">
        <v>866</v>
      </c>
      <c r="B621" t="n">
        <v>37</v>
      </c>
      <c r="C621" t="n">
        <v>2</v>
      </c>
      <c r="D621" t="n">
        <v>298371952</v>
      </c>
      <c r="E621" t="inlineStr">
        <is>
          <t>Василеостровский</t>
        </is>
      </c>
      <c r="F621" t="inlineStr">
        <is>
          <t>12-я В.О. линия, 41-43</t>
        </is>
      </c>
      <c r="G621" t="n">
        <v>95.8</v>
      </c>
      <c r="H621" t="inlineStr">
        <is>
          <t>32 845 000</t>
        </is>
      </c>
      <c r="I621" t="inlineStr"/>
      <c r="J621" t="inlineStr"/>
      <c r="K621" t="inlineStr"/>
      <c r="L621" t="inlineStr"/>
      <c r="M621" t="inlineStr"/>
      <c r="N621" t="inlineStr">
        <is>
          <t>no</t>
        </is>
      </c>
      <c r="O621" t="inlineStr">
        <is>
          <t>none</t>
        </is>
      </c>
      <c r="P621">
        <f>HYPERLINK("https://knru.ru/catalog/12-ya-liniya-v-o-d-41-43-298371952/","ссылка")</f>
        <v/>
      </c>
      <c r="Q621" t="inlineStr"/>
      <c r="R621" t="inlineStr">
        <is>
          <t>Нет у нас</t>
        </is>
      </c>
      <c r="S621" t="n">
        <v>0</v>
      </c>
      <c r="T621" t="inlineStr">
        <is>
          <t>Совпадений по улице+дому не найдено</t>
        </is>
      </c>
      <c r="U621" t="n">
        <v>866</v>
      </c>
      <c r="V621" t="n">
        <v>37</v>
      </c>
      <c r="W621" t="n">
        <v>2</v>
      </c>
      <c r="X621" t="n">
        <v>32845000</v>
      </c>
      <c r="Y621" t="inlineStr"/>
      <c r="Z621" t="inlineStr"/>
      <c r="AA621" t="inlineStr">
        <is>
          <t>https://knru.ru/catalog/12-ya-liniya-v-o-d-41-43-298371952/</t>
        </is>
      </c>
      <c r="AB621" t="inlineStr">
        <is>
          <t>C</t>
        </is>
      </c>
    </row>
    <row r="622">
      <c r="A622" t="n">
        <v>867</v>
      </c>
      <c r="B622" t="n">
        <v>37</v>
      </c>
      <c r="C622" t="n">
        <v>3</v>
      </c>
      <c r="D622" t="inlineStr"/>
      <c r="E622" t="inlineStr">
        <is>
          <t>Адмиралтейский</t>
        </is>
      </c>
      <c r="F622" t="inlineStr">
        <is>
          <t>Московский пр-кт, 65 Э</t>
        </is>
      </c>
      <c r="G622" t="n">
        <v>6966</v>
      </c>
      <c r="H622" t="inlineStr">
        <is>
          <t>1 652 637 217</t>
        </is>
      </c>
      <c r="I622" t="inlineStr"/>
      <c r="J622" t="inlineStr"/>
      <c r="K622" t="inlineStr"/>
      <c r="L622" t="inlineStr"/>
      <c r="M622" t="inlineStr"/>
      <c r="N622" t="inlineStr">
        <is>
          <t>no</t>
        </is>
      </c>
      <c r="O622" t="inlineStr">
        <is>
          <t>none</t>
        </is>
      </c>
      <c r="P622">
        <f>HYPERLINK("https://knru.ru/catalog/pr-moskovskiy-d-65-lit-e/","ссылка")</f>
        <v/>
      </c>
      <c r="Q622" t="inlineStr"/>
      <c r="R622" t="inlineStr">
        <is>
          <t>Нет у нас</t>
        </is>
      </c>
      <c r="S622" t="n">
        <v>0</v>
      </c>
      <c r="T622" t="inlineStr">
        <is>
          <t>Совпадений по улице+дому не найдено</t>
        </is>
      </c>
      <c r="U622" t="n">
        <v>867</v>
      </c>
      <c r="V622" t="n">
        <v>37</v>
      </c>
      <c r="W622" t="n">
        <v>3</v>
      </c>
      <c r="X622" t="n">
        <v>1652637217</v>
      </c>
      <c r="Y622" t="inlineStr"/>
      <c r="Z622" t="inlineStr"/>
      <c r="AA622" t="inlineStr">
        <is>
          <t>https://knru.ru/catalog/pr-moskovskiy-d-65-lit-e/</t>
        </is>
      </c>
      <c r="AB622" t="inlineStr">
        <is>
          <t>C</t>
        </is>
      </c>
    </row>
    <row r="623">
      <c r="A623" t="n">
        <v>869</v>
      </c>
      <c r="B623" t="n">
        <v>37</v>
      </c>
      <c r="C623" t="n">
        <v>5</v>
      </c>
      <c r="D623" t="n">
        <v>1</v>
      </c>
      <c r="E623" t="inlineStr">
        <is>
          <t>Василеостровский</t>
        </is>
      </c>
      <c r="F623" t="inlineStr">
        <is>
          <t>12-я В.О. линия, 41к1 Ж</t>
        </is>
      </c>
      <c r="G623" t="n">
        <v>413</v>
      </c>
      <c r="H623" t="inlineStr">
        <is>
          <t>144 550 000</t>
        </is>
      </c>
      <c r="I623" t="inlineStr"/>
      <c r="J623" t="inlineStr"/>
      <c r="K623" t="inlineStr"/>
      <c r="L623" t="inlineStr"/>
      <c r="M623" t="inlineStr"/>
      <c r="N623" t="inlineStr">
        <is>
          <t>no</t>
        </is>
      </c>
      <c r="O623" t="inlineStr">
        <is>
          <t>none</t>
        </is>
      </c>
      <c r="P623">
        <f>HYPERLINK("https://knru.ru/catalog/12-ya-liniya-v-o-d-41-k-1/","ссылка")</f>
        <v/>
      </c>
      <c r="Q623" t="inlineStr"/>
      <c r="R623" t="inlineStr">
        <is>
          <t>Нет у нас</t>
        </is>
      </c>
      <c r="S623" t="n">
        <v>0</v>
      </c>
      <c r="T623" t="inlineStr">
        <is>
          <t>Совпадений по улице+дому не найдено</t>
        </is>
      </c>
      <c r="U623" t="n">
        <v>869</v>
      </c>
      <c r="V623" t="n">
        <v>37</v>
      </c>
      <c r="W623" t="n">
        <v>5</v>
      </c>
      <c r="X623" t="n">
        <v>144550000</v>
      </c>
      <c r="Y623" t="inlineStr"/>
      <c r="Z623" t="inlineStr"/>
      <c r="AA623" t="inlineStr">
        <is>
          <t>https://knru.ru/catalog/12-ya-liniya-v-o-d-41-k-1/</t>
        </is>
      </c>
      <c r="AB623" t="inlineStr">
        <is>
          <t>C</t>
        </is>
      </c>
    </row>
    <row r="624">
      <c r="A624" t="n">
        <v>870</v>
      </c>
      <c r="B624" t="n">
        <v>37</v>
      </c>
      <c r="C624" t="n">
        <v>6</v>
      </c>
      <c r="D624" t="n">
        <v>990169158</v>
      </c>
      <c r="E624" t="inlineStr">
        <is>
          <t>Всеволожский</t>
        </is>
      </c>
      <c r="F624" t="inlineStr">
        <is>
          <t>Солнечная ул, 10к1</t>
        </is>
      </c>
      <c r="G624" t="n">
        <v>55.1</v>
      </c>
      <c r="H624" t="inlineStr">
        <is>
          <t>13 444 400</t>
        </is>
      </c>
      <c r="I624" t="inlineStr"/>
      <c r="J624" t="inlineStr"/>
      <c r="K624" t="inlineStr"/>
      <c r="L624" t="inlineStr"/>
      <c r="M624" t="inlineStr"/>
      <c r="N624" t="inlineStr">
        <is>
          <t>no</t>
        </is>
      </c>
      <c r="O624" t="inlineStr">
        <is>
          <t>none</t>
        </is>
      </c>
      <c r="P624">
        <f>HYPERLINK("https://knru.ru/catalog/ul-solnechnaya-d-10-k-1-990169158/","ссылка")</f>
        <v/>
      </c>
      <c r="Q624" t="inlineStr"/>
      <c r="R624" t="inlineStr">
        <is>
          <t>Нет у нас</t>
        </is>
      </c>
      <c r="S624" t="n">
        <v>0</v>
      </c>
      <c r="T624" t="inlineStr">
        <is>
          <t>Совпадений по улице+дому не найдено</t>
        </is>
      </c>
      <c r="U624" t="n">
        <v>870</v>
      </c>
      <c r="V624" t="n">
        <v>37</v>
      </c>
      <c r="W624" t="n">
        <v>6</v>
      </c>
      <c r="X624" t="n">
        <v>13444400</v>
      </c>
      <c r="Y624" t="inlineStr"/>
      <c r="Z624" t="inlineStr"/>
      <c r="AA624" t="inlineStr">
        <is>
          <t>https://knru.ru/catalog/ul-solnechnaya-d-10-k-1-990169158/</t>
        </is>
      </c>
      <c r="AB624" t="inlineStr">
        <is>
          <t>C</t>
        </is>
      </c>
    </row>
    <row r="625">
      <c r="A625" t="n">
        <v>871</v>
      </c>
      <c r="B625" t="n">
        <v>37</v>
      </c>
      <c r="C625" t="n">
        <v>7</v>
      </c>
      <c r="D625" t="n">
        <v>75088391</v>
      </c>
      <c r="E625" t="inlineStr">
        <is>
          <t>Всеволожский</t>
        </is>
      </c>
      <c r="F625" t="inlineStr">
        <is>
          <t>Солнечная ул, 10к1</t>
        </is>
      </c>
      <c r="G625" t="n">
        <v>68.5</v>
      </c>
      <c r="H625" t="inlineStr">
        <is>
          <t>15 755 000</t>
        </is>
      </c>
      <c r="I625" t="inlineStr"/>
      <c r="J625" t="inlineStr"/>
      <c r="K625" t="inlineStr"/>
      <c r="L625" t="inlineStr"/>
      <c r="M625" t="inlineStr"/>
      <c r="N625" t="inlineStr">
        <is>
          <t>no</t>
        </is>
      </c>
      <c r="O625" t="inlineStr">
        <is>
          <t>none</t>
        </is>
      </c>
      <c r="P625">
        <f>HYPERLINK("https://knru.ru/catalog/ul-solnechnaya-d-10-k-1-75088391/","ссылка")</f>
        <v/>
      </c>
      <c r="Q625" t="inlineStr"/>
      <c r="R625" t="inlineStr">
        <is>
          <t>Нет у нас</t>
        </is>
      </c>
      <c r="S625" t="n">
        <v>0</v>
      </c>
      <c r="T625" t="inlineStr">
        <is>
          <t>Совпадений по улице+дому не найдено</t>
        </is>
      </c>
      <c r="U625" t="n">
        <v>871</v>
      </c>
      <c r="V625" t="n">
        <v>37</v>
      </c>
      <c r="W625" t="n">
        <v>7</v>
      </c>
      <c r="X625" t="n">
        <v>15755000</v>
      </c>
      <c r="Y625" t="inlineStr"/>
      <c r="Z625" t="inlineStr"/>
      <c r="AA625" t="inlineStr">
        <is>
          <t>https://knru.ru/catalog/ul-solnechnaya-d-10-k-1-75088391/</t>
        </is>
      </c>
      <c r="AB625" t="inlineStr">
        <is>
          <t>C</t>
        </is>
      </c>
    </row>
    <row r="626">
      <c r="A626" t="n">
        <v>872</v>
      </c>
      <c r="B626" t="n">
        <v>37</v>
      </c>
      <c r="C626" t="n">
        <v>8</v>
      </c>
      <c r="D626" t="n">
        <v>879984497</v>
      </c>
      <c r="E626" t="inlineStr">
        <is>
          <t>Всеволожский</t>
        </is>
      </c>
      <c r="F626" t="inlineStr">
        <is>
          <t>Солнечная ул, 10к1</t>
        </is>
      </c>
      <c r="G626" t="n">
        <v>105.3</v>
      </c>
      <c r="H626" t="inlineStr">
        <is>
          <t>24 219 000</t>
        </is>
      </c>
      <c r="I626" t="inlineStr"/>
      <c r="J626" t="inlineStr"/>
      <c r="K626" t="inlineStr"/>
      <c r="L626" t="inlineStr"/>
      <c r="M626" t="inlineStr"/>
      <c r="N626" t="inlineStr">
        <is>
          <t>no</t>
        </is>
      </c>
      <c r="O626" t="inlineStr">
        <is>
          <t>none</t>
        </is>
      </c>
      <c r="P626">
        <f>HYPERLINK("https://knru.ru/catalog/ul-solnechnaya-d-10-k-1-879984497/","ссылка")</f>
        <v/>
      </c>
      <c r="Q626" t="inlineStr"/>
      <c r="R626" t="inlineStr">
        <is>
          <t>Нет у нас</t>
        </is>
      </c>
      <c r="S626" t="n">
        <v>0</v>
      </c>
      <c r="T626" t="inlineStr">
        <is>
          <t>Совпадений по улице+дому не найдено</t>
        </is>
      </c>
      <c r="U626" t="n">
        <v>872</v>
      </c>
      <c r="V626" t="n">
        <v>37</v>
      </c>
      <c r="W626" t="n">
        <v>8</v>
      </c>
      <c r="X626" t="n">
        <v>24219000</v>
      </c>
      <c r="Y626" t="inlineStr"/>
      <c r="Z626" t="inlineStr"/>
      <c r="AA626" t="inlineStr">
        <is>
          <t>https://knru.ru/catalog/ul-solnechnaya-d-10-k-1-879984497/</t>
        </is>
      </c>
      <c r="AB626" t="inlineStr">
        <is>
          <t>C</t>
        </is>
      </c>
    </row>
    <row r="627">
      <c r="A627" t="n">
        <v>873</v>
      </c>
      <c r="B627" t="n">
        <v>37</v>
      </c>
      <c r="C627" t="n">
        <v>9</v>
      </c>
      <c r="D627" t="n">
        <v>1966017266</v>
      </c>
      <c r="E627" t="inlineStr">
        <is>
          <t>Всеволожский</t>
        </is>
      </c>
      <c r="F627" t="inlineStr">
        <is>
          <t>Солнечная ул, 10к1</t>
        </is>
      </c>
      <c r="G627" t="n">
        <v>72.59999999999999</v>
      </c>
      <c r="H627" t="inlineStr">
        <is>
          <t>16 335 000</t>
        </is>
      </c>
      <c r="I627" t="inlineStr"/>
      <c r="J627" t="inlineStr"/>
      <c r="K627" t="inlineStr"/>
      <c r="L627" t="inlineStr"/>
      <c r="M627" t="inlineStr"/>
      <c r="N627" t="inlineStr">
        <is>
          <t>no</t>
        </is>
      </c>
      <c r="O627" t="inlineStr">
        <is>
          <t>none</t>
        </is>
      </c>
      <c r="P627">
        <f>HYPERLINK("https://knru.ru/catalog/ul-solnechnaya-d-10-k-1-1966017266/","ссылка")</f>
        <v/>
      </c>
      <c r="Q627" t="inlineStr"/>
      <c r="R627" t="inlineStr">
        <is>
          <t>Нет у нас</t>
        </is>
      </c>
      <c r="S627" t="n">
        <v>0</v>
      </c>
      <c r="T627" t="inlineStr">
        <is>
          <t>Совпадений по улице+дому не найдено</t>
        </is>
      </c>
      <c r="U627" t="n">
        <v>873</v>
      </c>
      <c r="V627" t="n">
        <v>37</v>
      </c>
      <c r="W627" t="n">
        <v>9</v>
      </c>
      <c r="X627" t="n">
        <v>16335000</v>
      </c>
      <c r="Y627" t="inlineStr"/>
      <c r="Z627" t="inlineStr"/>
      <c r="AA627" t="inlineStr">
        <is>
          <t>https://knru.ru/catalog/ul-solnechnaya-d-10-k-1-1966017266/</t>
        </is>
      </c>
      <c r="AB627" t="inlineStr">
        <is>
          <t>C</t>
        </is>
      </c>
    </row>
    <row r="628">
      <c r="A628" t="n">
        <v>874</v>
      </c>
      <c r="B628" t="n">
        <v>37</v>
      </c>
      <c r="C628" t="n">
        <v>10</v>
      </c>
      <c r="D628" t="n">
        <v>500232340</v>
      </c>
      <c r="E628" t="inlineStr">
        <is>
          <t>Всеволожский</t>
        </is>
      </c>
      <c r="F628" t="inlineStr">
        <is>
          <t>Солнечная ул, 10к1</t>
        </is>
      </c>
      <c r="G628" t="n">
        <v>117.3</v>
      </c>
      <c r="H628" t="inlineStr">
        <is>
          <t>24 750 300</t>
        </is>
      </c>
      <c r="I628" t="inlineStr"/>
      <c r="J628" t="inlineStr"/>
      <c r="K628" t="inlineStr"/>
      <c r="L628" t="inlineStr"/>
      <c r="M628" t="inlineStr"/>
      <c r="N628" t="inlineStr">
        <is>
          <t>no</t>
        </is>
      </c>
      <c r="O628" t="inlineStr">
        <is>
          <t>none</t>
        </is>
      </c>
      <c r="P628">
        <f>HYPERLINK("https://knru.ru/catalog/ul-solnechnaya-d-10-k-1-500232340/","ссылка")</f>
        <v/>
      </c>
      <c r="Q628" t="inlineStr"/>
      <c r="R628" t="inlineStr">
        <is>
          <t>Нет у нас</t>
        </is>
      </c>
      <c r="S628" t="n">
        <v>0</v>
      </c>
      <c r="T628" t="inlineStr">
        <is>
          <t>Совпадений по улице+дому не найдено</t>
        </is>
      </c>
      <c r="U628" t="n">
        <v>874</v>
      </c>
      <c r="V628" t="n">
        <v>37</v>
      </c>
      <c r="W628" t="n">
        <v>10</v>
      </c>
      <c r="X628" t="n">
        <v>24750300</v>
      </c>
      <c r="Y628" t="inlineStr"/>
      <c r="Z628" t="inlineStr"/>
      <c r="AA628" t="inlineStr">
        <is>
          <t>https://knru.ru/catalog/ul-solnechnaya-d-10-k-1-500232340/</t>
        </is>
      </c>
      <c r="AB628" t="inlineStr">
        <is>
          <t>C</t>
        </is>
      </c>
    </row>
    <row r="629">
      <c r="A629" t="n">
        <v>875</v>
      </c>
      <c r="B629" t="n">
        <v>37</v>
      </c>
      <c r="C629" t="n">
        <v>11</v>
      </c>
      <c r="D629" t="n">
        <v>1174214409</v>
      </c>
      <c r="E629" t="inlineStr">
        <is>
          <t>Всеволожский</t>
        </is>
      </c>
      <c r="F629" t="inlineStr">
        <is>
          <t>Солнечная ул, 10к1</t>
        </is>
      </c>
      <c r="G629" t="n">
        <v>80.90000000000001</v>
      </c>
      <c r="H629" t="inlineStr">
        <is>
          <t>18 202 500</t>
        </is>
      </c>
      <c r="I629" t="inlineStr"/>
      <c r="J629" t="inlineStr"/>
      <c r="K629" t="inlineStr"/>
      <c r="L629" t="inlineStr"/>
      <c r="M629" t="inlineStr"/>
      <c r="N629" t="inlineStr">
        <is>
          <t>no</t>
        </is>
      </c>
      <c r="O629" t="inlineStr">
        <is>
          <t>none</t>
        </is>
      </c>
      <c r="P629">
        <f>HYPERLINK("https://knru.ru/catalog/ul-solnechnaya-d-10-k-1-1174214409/","ссылка")</f>
        <v/>
      </c>
      <c r="Q629" t="inlineStr"/>
      <c r="R629" t="inlineStr">
        <is>
          <t>Нет у нас</t>
        </is>
      </c>
      <c r="S629" t="n">
        <v>0</v>
      </c>
      <c r="T629" t="inlineStr">
        <is>
          <t>Совпадений по улице+дому не найдено</t>
        </is>
      </c>
      <c r="U629" t="n">
        <v>875</v>
      </c>
      <c r="V629" t="n">
        <v>37</v>
      </c>
      <c r="W629" t="n">
        <v>11</v>
      </c>
      <c r="X629" t="n">
        <v>18202500</v>
      </c>
      <c r="Y629" t="inlineStr"/>
      <c r="Z629" t="inlineStr"/>
      <c r="AA629" t="inlineStr">
        <is>
          <t>https://knru.ru/catalog/ul-solnechnaya-d-10-k-1-1174214409/</t>
        </is>
      </c>
      <c r="AB629" t="inlineStr">
        <is>
          <t>C</t>
        </is>
      </c>
    </row>
    <row r="630">
      <c r="A630" t="n">
        <v>876</v>
      </c>
      <c r="B630" t="n">
        <v>37</v>
      </c>
      <c r="C630" t="n">
        <v>12</v>
      </c>
      <c r="D630" t="n">
        <v>915019770</v>
      </c>
      <c r="E630" t="inlineStr">
        <is>
          <t>Всеволожский</t>
        </is>
      </c>
      <c r="F630" t="inlineStr">
        <is>
          <t>Солнечная ул, 10к1</t>
        </is>
      </c>
      <c r="G630" t="n">
        <v>66</v>
      </c>
      <c r="H630" t="inlineStr">
        <is>
          <t>14 850 000</t>
        </is>
      </c>
      <c r="I630" t="inlineStr"/>
      <c r="J630" t="inlineStr"/>
      <c r="K630" t="inlineStr"/>
      <c r="L630" t="inlineStr"/>
      <c r="M630" t="inlineStr"/>
      <c r="N630" t="inlineStr">
        <is>
          <t>no</t>
        </is>
      </c>
      <c r="O630" t="inlineStr">
        <is>
          <t>none</t>
        </is>
      </c>
      <c r="P630">
        <f>HYPERLINK("https://knru.ru/catalog/ul-solnechnaya-d-10-k-1-915019770/","ссылка")</f>
        <v/>
      </c>
      <c r="Q630" t="inlineStr"/>
      <c r="R630" t="inlineStr">
        <is>
          <t>Нет у нас</t>
        </is>
      </c>
      <c r="S630" t="n">
        <v>0</v>
      </c>
      <c r="T630" t="inlineStr">
        <is>
          <t>Совпадений по улице+дому не найдено</t>
        </is>
      </c>
      <c r="U630" t="n">
        <v>876</v>
      </c>
      <c r="V630" t="n">
        <v>37</v>
      </c>
      <c r="W630" t="n">
        <v>12</v>
      </c>
      <c r="X630" t="n">
        <v>14850000</v>
      </c>
      <c r="Y630" t="inlineStr"/>
      <c r="Z630" t="inlineStr"/>
      <c r="AA630" t="inlineStr">
        <is>
          <t>https://knru.ru/catalog/ul-solnechnaya-d-10-k-1-915019770/</t>
        </is>
      </c>
      <c r="AB630" t="inlineStr">
        <is>
          <t>C</t>
        </is>
      </c>
    </row>
    <row r="631">
      <c r="A631" t="n">
        <v>877</v>
      </c>
      <c r="B631" t="n">
        <v>37</v>
      </c>
      <c r="C631" t="n">
        <v>13</v>
      </c>
      <c r="D631" t="n">
        <v>230410549</v>
      </c>
      <c r="E631" t="inlineStr">
        <is>
          <t>Всеволожский</t>
        </is>
      </c>
      <c r="F631" t="inlineStr">
        <is>
          <t>Солнечная ул, 10к1</t>
        </is>
      </c>
      <c r="G631" t="n">
        <v>70.7</v>
      </c>
      <c r="H631" t="inlineStr">
        <is>
          <t>16 261 000</t>
        </is>
      </c>
      <c r="I631" t="inlineStr"/>
      <c r="J631" t="inlineStr"/>
      <c r="K631" t="inlineStr"/>
      <c r="L631" t="inlineStr"/>
      <c r="M631" t="inlineStr"/>
      <c r="N631" t="inlineStr">
        <is>
          <t>no</t>
        </is>
      </c>
      <c r="O631" t="inlineStr">
        <is>
          <t>none</t>
        </is>
      </c>
      <c r="P631">
        <f>HYPERLINK("https://knru.ru/catalog/ul-solnechnaya-d-10-k-1-230410549/","ссылка")</f>
        <v/>
      </c>
      <c r="Q631" t="inlineStr"/>
      <c r="R631" t="inlineStr">
        <is>
          <t>Нет у нас</t>
        </is>
      </c>
      <c r="S631" t="n">
        <v>0</v>
      </c>
      <c r="T631" t="inlineStr">
        <is>
          <t>Совпадений по улице+дому не найдено</t>
        </is>
      </c>
      <c r="U631" t="n">
        <v>877</v>
      </c>
      <c r="V631" t="n">
        <v>37</v>
      </c>
      <c r="W631" t="n">
        <v>13</v>
      </c>
      <c r="X631" t="n">
        <v>16261000</v>
      </c>
      <c r="Y631" t="inlineStr"/>
      <c r="Z631" t="inlineStr"/>
      <c r="AA631" t="inlineStr">
        <is>
          <t>https://knru.ru/catalog/ul-solnechnaya-d-10-k-1-230410549/</t>
        </is>
      </c>
      <c r="AB631" t="inlineStr">
        <is>
          <t>C</t>
        </is>
      </c>
    </row>
    <row r="632">
      <c r="A632" t="n">
        <v>878</v>
      </c>
      <c r="B632" t="n">
        <v>37</v>
      </c>
      <c r="C632" t="n">
        <v>14</v>
      </c>
      <c r="D632" t="n">
        <v>1165691974</v>
      </c>
      <c r="E632" t="inlineStr">
        <is>
          <t>Всеволожский</t>
        </is>
      </c>
      <c r="F632" t="inlineStr">
        <is>
          <t>Солнечная ул, 10к1</t>
        </is>
      </c>
      <c r="G632" t="n">
        <v>70.2</v>
      </c>
      <c r="H632" t="inlineStr">
        <is>
          <t>15 163 200</t>
        </is>
      </c>
      <c r="I632" t="inlineStr"/>
      <c r="J632" t="inlineStr"/>
      <c r="K632" t="inlineStr"/>
      <c r="L632" t="inlineStr"/>
      <c r="M632" t="inlineStr"/>
      <c r="N632" t="inlineStr">
        <is>
          <t>no</t>
        </is>
      </c>
      <c r="O632" t="inlineStr">
        <is>
          <t>none</t>
        </is>
      </c>
      <c r="P632">
        <f>HYPERLINK("https://knru.ru/catalog/ul-solnechnaya-d-10-k-1-1165691974/","ссылка")</f>
        <v/>
      </c>
      <c r="Q632" t="inlineStr"/>
      <c r="R632" t="inlineStr">
        <is>
          <t>Нет у нас</t>
        </is>
      </c>
      <c r="S632" t="n">
        <v>0</v>
      </c>
      <c r="T632" t="inlineStr">
        <is>
          <t>Совпадений по улице+дому не найдено</t>
        </is>
      </c>
      <c r="U632" t="n">
        <v>878</v>
      </c>
      <c r="V632" t="n">
        <v>37</v>
      </c>
      <c r="W632" t="n">
        <v>14</v>
      </c>
      <c r="X632" t="n">
        <v>15163200</v>
      </c>
      <c r="Y632" t="inlineStr"/>
      <c r="Z632" t="inlineStr"/>
      <c r="AA632" t="inlineStr">
        <is>
          <t>https://knru.ru/catalog/ul-solnechnaya-d-10-k-1-1165691974/</t>
        </is>
      </c>
      <c r="AB632" t="inlineStr">
        <is>
          <t>C</t>
        </is>
      </c>
    </row>
    <row r="633">
      <c r="A633" t="n">
        <v>879</v>
      </c>
      <c r="B633" t="n">
        <v>37</v>
      </c>
      <c r="C633" t="n">
        <v>15</v>
      </c>
      <c r="D633" t="n">
        <v>226633688</v>
      </c>
      <c r="E633" t="inlineStr">
        <is>
          <t>Всеволожский</t>
        </is>
      </c>
      <c r="F633" t="inlineStr">
        <is>
          <t>Солнечная ул, 10к1</t>
        </is>
      </c>
      <c r="G633" t="n">
        <v>77.59999999999999</v>
      </c>
      <c r="H633" t="inlineStr">
        <is>
          <t>17 460 000</t>
        </is>
      </c>
      <c r="I633" t="inlineStr"/>
      <c r="J633" t="inlineStr"/>
      <c r="K633" t="inlineStr"/>
      <c r="L633" t="inlineStr"/>
      <c r="M633" t="inlineStr"/>
      <c r="N633" t="inlineStr">
        <is>
          <t>no</t>
        </is>
      </c>
      <c r="O633" t="inlineStr">
        <is>
          <t>none</t>
        </is>
      </c>
      <c r="P633">
        <f>HYPERLINK("https://knru.ru/catalog/ul-solnechnaya-d-10-k-1-226633688/","ссылка")</f>
        <v/>
      </c>
      <c r="Q633" t="inlineStr"/>
      <c r="R633" t="inlineStr">
        <is>
          <t>Нет у нас</t>
        </is>
      </c>
      <c r="S633" t="n">
        <v>0</v>
      </c>
      <c r="T633" t="inlineStr">
        <is>
          <t>Совпадений по улице+дому не найдено</t>
        </is>
      </c>
      <c r="U633" t="n">
        <v>879</v>
      </c>
      <c r="V633" t="n">
        <v>37</v>
      </c>
      <c r="W633" t="n">
        <v>15</v>
      </c>
      <c r="X633" t="n">
        <v>17460000</v>
      </c>
      <c r="Y633" t="inlineStr"/>
      <c r="Z633" t="inlineStr"/>
      <c r="AA633" t="inlineStr">
        <is>
          <t>https://knru.ru/catalog/ul-solnechnaya-d-10-k-1-226633688/</t>
        </is>
      </c>
      <c r="AB633" t="inlineStr">
        <is>
          <t>C</t>
        </is>
      </c>
    </row>
    <row r="634">
      <c r="A634" t="n">
        <v>880</v>
      </c>
      <c r="B634" t="n">
        <v>37</v>
      </c>
      <c r="C634" t="n">
        <v>16</v>
      </c>
      <c r="D634" t="n">
        <v>1798298807</v>
      </c>
      <c r="E634" t="inlineStr">
        <is>
          <t>Всеволожский</t>
        </is>
      </c>
      <c r="F634" t="inlineStr">
        <is>
          <t>Солнечная ул, 10к1</t>
        </is>
      </c>
      <c r="G634" t="n">
        <v>42.9</v>
      </c>
      <c r="H634" t="inlineStr">
        <is>
          <t>10 033 856</t>
        </is>
      </c>
      <c r="I634" t="inlineStr"/>
      <c r="J634" t="inlineStr"/>
      <c r="K634" t="inlineStr"/>
      <c r="L634" t="inlineStr"/>
      <c r="M634" t="inlineStr"/>
      <c r="N634" t="inlineStr">
        <is>
          <t>no</t>
        </is>
      </c>
      <c r="O634" t="inlineStr">
        <is>
          <t>none</t>
        </is>
      </c>
      <c r="P634">
        <f>HYPERLINK("https://knru.ru/catalog/ul-solnechnaya-d-10-k-1-1798298807/","ссылка")</f>
        <v/>
      </c>
      <c r="Q634" t="inlineStr"/>
      <c r="R634" t="inlineStr">
        <is>
          <t>Нет у нас</t>
        </is>
      </c>
      <c r="S634" t="n">
        <v>0</v>
      </c>
      <c r="T634" t="inlineStr">
        <is>
          <t>Совпадений по улице+дому не найдено</t>
        </is>
      </c>
      <c r="U634" t="n">
        <v>880</v>
      </c>
      <c r="V634" t="n">
        <v>37</v>
      </c>
      <c r="W634" t="n">
        <v>16</v>
      </c>
      <c r="X634" t="n">
        <v>10033856</v>
      </c>
      <c r="Y634" t="inlineStr"/>
      <c r="Z634" t="inlineStr"/>
      <c r="AA634" t="inlineStr">
        <is>
          <t>https://knru.ru/catalog/ul-solnechnaya-d-10-k-1-1798298807/</t>
        </is>
      </c>
      <c r="AB634" t="inlineStr">
        <is>
          <t>C</t>
        </is>
      </c>
    </row>
    <row r="635">
      <c r="A635" t="n">
        <v>881</v>
      </c>
      <c r="B635" t="n">
        <v>37</v>
      </c>
      <c r="C635" t="n">
        <v>17</v>
      </c>
      <c r="D635" t="n">
        <v>684742190</v>
      </c>
      <c r="E635" t="inlineStr">
        <is>
          <t>Всеволожский</t>
        </is>
      </c>
      <c r="F635" t="inlineStr">
        <is>
          <t>Солнечная ул, 10к1</t>
        </is>
      </c>
      <c r="G635" t="n">
        <v>76</v>
      </c>
      <c r="H635" t="inlineStr">
        <is>
          <t>17 480 000</t>
        </is>
      </c>
      <c r="I635" t="inlineStr"/>
      <c r="J635" t="inlineStr"/>
      <c r="K635" t="inlineStr"/>
      <c r="L635" t="inlineStr"/>
      <c r="M635" t="inlineStr"/>
      <c r="N635" t="inlineStr">
        <is>
          <t>no</t>
        </is>
      </c>
      <c r="O635" t="inlineStr">
        <is>
          <t>none</t>
        </is>
      </c>
      <c r="P635">
        <f>HYPERLINK("https://knru.ru/catalog/ul-solnechnaya-d-10-k-1-684742190/","ссылка")</f>
        <v/>
      </c>
      <c r="Q635" t="inlineStr"/>
      <c r="R635" t="inlineStr">
        <is>
          <t>Нет у нас</t>
        </is>
      </c>
      <c r="S635" t="n">
        <v>0</v>
      </c>
      <c r="T635" t="inlineStr">
        <is>
          <t>Совпадений по улице+дому не найдено</t>
        </is>
      </c>
      <c r="U635" t="n">
        <v>881</v>
      </c>
      <c r="V635" t="n">
        <v>37</v>
      </c>
      <c r="W635" t="n">
        <v>17</v>
      </c>
      <c r="X635" t="n">
        <v>17480000</v>
      </c>
      <c r="Y635" t="inlineStr"/>
      <c r="Z635" t="inlineStr"/>
      <c r="AA635" t="inlineStr">
        <is>
          <t>https://knru.ru/catalog/ul-solnechnaya-d-10-k-1-684742190/</t>
        </is>
      </c>
      <c r="AB635" t="inlineStr">
        <is>
          <t>C</t>
        </is>
      </c>
    </row>
    <row r="636">
      <c r="A636" t="n">
        <v>882</v>
      </c>
      <c r="B636" t="n">
        <v>37</v>
      </c>
      <c r="C636" t="n">
        <v>18</v>
      </c>
      <c r="D636" t="n">
        <v>2103255177</v>
      </c>
      <c r="E636" t="inlineStr">
        <is>
          <t>Всеволожский</t>
        </is>
      </c>
      <c r="F636" t="inlineStr">
        <is>
          <t>Солнечная ул, 10к1</t>
        </is>
      </c>
      <c r="G636" t="n">
        <v>46.2</v>
      </c>
      <c r="H636" t="inlineStr">
        <is>
          <t>10 625 990</t>
        </is>
      </c>
      <c r="I636" t="inlineStr"/>
      <c r="J636" t="inlineStr"/>
      <c r="K636" t="inlineStr"/>
      <c r="L636" t="inlineStr"/>
      <c r="M636" t="inlineStr"/>
      <c r="N636" t="inlineStr">
        <is>
          <t>no</t>
        </is>
      </c>
      <c r="O636" t="inlineStr">
        <is>
          <t>none</t>
        </is>
      </c>
      <c r="P636">
        <f>HYPERLINK("https://knru.ru/catalog/ul-solnechnaya-d-10-k-1-2103255177/","ссылка")</f>
        <v/>
      </c>
      <c r="Q636" t="inlineStr"/>
      <c r="R636" t="inlineStr">
        <is>
          <t>Нет у нас</t>
        </is>
      </c>
      <c r="S636" t="n">
        <v>0</v>
      </c>
      <c r="T636" t="inlineStr">
        <is>
          <t>Совпадений по улице+дому не найдено</t>
        </is>
      </c>
      <c r="U636" t="n">
        <v>882</v>
      </c>
      <c r="V636" t="n">
        <v>37</v>
      </c>
      <c r="W636" t="n">
        <v>18</v>
      </c>
      <c r="X636" t="n">
        <v>10625990</v>
      </c>
      <c r="Y636" t="inlineStr"/>
      <c r="Z636" t="inlineStr"/>
      <c r="AA636" t="inlineStr">
        <is>
          <t>https://knru.ru/catalog/ul-solnechnaya-d-10-k-1-2103255177/</t>
        </is>
      </c>
      <c r="AB636" t="inlineStr">
        <is>
          <t>C</t>
        </is>
      </c>
    </row>
    <row r="637">
      <c r="A637" t="n">
        <v>883</v>
      </c>
      <c r="B637" t="n">
        <v>37</v>
      </c>
      <c r="C637" t="n">
        <v>19</v>
      </c>
      <c r="D637" t="n">
        <v>15</v>
      </c>
      <c r="E637" t="inlineStr">
        <is>
          <t>Приморский</t>
        </is>
      </c>
      <c r="F637" t="inlineStr">
        <is>
          <t>Реки Каменки наб, 15к2стр1</t>
        </is>
      </c>
      <c r="G637" t="n">
        <v>578</v>
      </c>
      <c r="H637" t="inlineStr">
        <is>
          <t>173 250 000</t>
        </is>
      </c>
      <c r="I637" t="inlineStr"/>
      <c r="J637" t="inlineStr"/>
      <c r="K637" t="inlineStr"/>
      <c r="L637" t="inlineStr"/>
      <c r="M637" t="inlineStr"/>
      <c r="N637" t="inlineStr">
        <is>
          <t>no</t>
        </is>
      </c>
      <c r="O637" t="inlineStr">
        <is>
          <t>none</t>
        </is>
      </c>
      <c r="P637">
        <f>HYPERLINK("https://knru.ru/catalog/nab-reki-kamenki-d-15/","ссылка")</f>
        <v/>
      </c>
      <c r="Q637" t="inlineStr"/>
      <c r="R637" t="inlineStr">
        <is>
          <t>Нет у нас</t>
        </is>
      </c>
      <c r="S637" t="n">
        <v>0</v>
      </c>
      <c r="T637" t="inlineStr">
        <is>
          <t>Совпадений по улице+дому не найдено</t>
        </is>
      </c>
      <c r="U637" t="n">
        <v>883</v>
      </c>
      <c r="V637" t="n">
        <v>37</v>
      </c>
      <c r="W637" t="n">
        <v>19</v>
      </c>
      <c r="X637" t="n">
        <v>173250000</v>
      </c>
      <c r="Y637" t="inlineStr"/>
      <c r="Z637" t="inlineStr"/>
      <c r="AA637" t="inlineStr">
        <is>
          <t>https://knru.ru/catalog/nab-reki-kamenki-d-15/</t>
        </is>
      </c>
      <c r="AB637" t="inlineStr">
        <is>
          <t>C</t>
        </is>
      </c>
    </row>
    <row r="638">
      <c r="A638" t="n">
        <v>884</v>
      </c>
      <c r="B638" t="n">
        <v>37</v>
      </c>
      <c r="C638" t="n">
        <v>20</v>
      </c>
      <c r="D638" t="n">
        <v>1260495170</v>
      </c>
      <c r="E638" t="inlineStr">
        <is>
          <t>Выборгский</t>
        </is>
      </c>
      <c r="F638" t="inlineStr">
        <is>
          <t>Энгельса пр-кт, 27 литЦ</t>
        </is>
      </c>
      <c r="G638" t="n">
        <v>689.3</v>
      </c>
      <c r="H638" t="inlineStr">
        <is>
          <t>310 185 000</t>
        </is>
      </c>
      <c r="I638" t="inlineStr"/>
      <c r="J638" t="inlineStr"/>
      <c r="K638" t="inlineStr"/>
      <c r="L638" t="inlineStr"/>
      <c r="M638" t="inlineStr"/>
      <c r="N638" t="inlineStr">
        <is>
          <t>no</t>
        </is>
      </c>
      <c r="O638" t="inlineStr">
        <is>
          <t>none</t>
        </is>
      </c>
      <c r="P638">
        <f>HYPERLINK("https://knru.ru/catalog/pr-engelsa-27-lit-ts-1260495170/","ссылка")</f>
        <v/>
      </c>
      <c r="Q638" t="inlineStr"/>
      <c r="R638" t="inlineStr">
        <is>
          <t>Нет у нас</t>
        </is>
      </c>
      <c r="S638" t="n">
        <v>0</v>
      </c>
      <c r="T638" t="inlineStr">
        <is>
          <t>Совпадений по улице+дому не найдено</t>
        </is>
      </c>
      <c r="U638" t="n">
        <v>884</v>
      </c>
      <c r="V638" t="n">
        <v>37</v>
      </c>
      <c r="W638" t="n">
        <v>20</v>
      </c>
      <c r="X638" t="n">
        <v>310185000</v>
      </c>
      <c r="Y638" t="inlineStr"/>
      <c r="Z638" t="inlineStr"/>
      <c r="AA638" t="inlineStr">
        <is>
          <t>https://knru.ru/catalog/pr-engelsa-27-lit-ts-1260495170/</t>
        </is>
      </c>
      <c r="AB638" t="inlineStr">
        <is>
          <t>C</t>
        </is>
      </c>
    </row>
    <row r="639">
      <c r="A639" t="n">
        <v>885</v>
      </c>
      <c r="B639" t="n">
        <v>37</v>
      </c>
      <c r="C639" t="n">
        <v>21</v>
      </c>
      <c r="D639" t="n">
        <v>31</v>
      </c>
      <c r="E639" t="inlineStr">
        <is>
          <t>Петроградский</t>
        </is>
      </c>
      <c r="F639" t="inlineStr">
        <is>
          <t>Большой П.С. пр-кт, 31 А</t>
        </is>
      </c>
      <c r="G639" t="n">
        <v>125</v>
      </c>
      <c r="H639" t="inlineStr">
        <is>
          <t>157 500 000</t>
        </is>
      </c>
      <c r="I639" t="inlineStr"/>
      <c r="J639" t="inlineStr"/>
      <c r="K639" t="inlineStr"/>
      <c r="L639" t="inlineStr"/>
      <c r="M639" t="inlineStr"/>
      <c r="N639" t="inlineStr">
        <is>
          <t>no</t>
        </is>
      </c>
      <c r="O639" t="inlineStr">
        <is>
          <t>none</t>
        </is>
      </c>
      <c r="P639">
        <f>HYPERLINK("https://knru.ru/catalog/bolshoy-pr-p-s-d-31/","ссылка")</f>
        <v/>
      </c>
      <c r="Q639" t="inlineStr"/>
      <c r="R639" t="inlineStr">
        <is>
          <t>Нет у нас</t>
        </is>
      </c>
      <c r="S639" t="n">
        <v>0</v>
      </c>
      <c r="T639" t="inlineStr">
        <is>
          <t>Совпадений по улице+дому не найдено</t>
        </is>
      </c>
      <c r="U639" t="n">
        <v>885</v>
      </c>
      <c r="V639" t="n">
        <v>37</v>
      </c>
      <c r="W639" t="n">
        <v>21</v>
      </c>
      <c r="X639" t="n">
        <v>157500000</v>
      </c>
      <c r="Y639" t="inlineStr"/>
      <c r="Z639" t="inlineStr"/>
      <c r="AA639" t="inlineStr">
        <is>
          <t>https://knru.ru/catalog/bolshoy-pr-p-s-d-31/</t>
        </is>
      </c>
      <c r="AB639" t="inlineStr">
        <is>
          <t>C</t>
        </is>
      </c>
    </row>
    <row r="640">
      <c r="A640" t="n">
        <v>887</v>
      </c>
      <c r="B640" t="n">
        <v>37</v>
      </c>
      <c r="C640" t="n">
        <v>23</v>
      </c>
      <c r="D640" t="n">
        <v>185</v>
      </c>
      <c r="E640" t="inlineStr">
        <is>
          <t>Московский</t>
        </is>
      </c>
      <c r="F640" t="inlineStr">
        <is>
          <t>Московский пр-кт, 183 185 А</t>
        </is>
      </c>
      <c r="G640" t="n">
        <v>300.1</v>
      </c>
      <c r="H640" t="inlineStr">
        <is>
          <t>67 523 000</t>
        </is>
      </c>
      <c r="I640" t="inlineStr"/>
      <c r="J640" t="inlineStr"/>
      <c r="K640" t="inlineStr"/>
      <c r="L640" t="inlineStr"/>
      <c r="M640" t="inlineStr"/>
      <c r="N640" t="inlineStr">
        <is>
          <t>no</t>
        </is>
      </c>
      <c r="O640" t="inlineStr">
        <is>
          <t>none</t>
        </is>
      </c>
      <c r="P640">
        <f>HYPERLINK("https://knru.ru/catalog/moskovskij-pr-d-183-185/","ссылка")</f>
        <v/>
      </c>
      <c r="Q640" t="inlineStr"/>
      <c r="R640" t="inlineStr">
        <is>
          <t>Нет у нас</t>
        </is>
      </c>
      <c r="S640" t="n">
        <v>0</v>
      </c>
      <c r="T640" t="inlineStr">
        <is>
          <t>Совпадений по улице+дому не найдено</t>
        </is>
      </c>
      <c r="U640" t="n">
        <v>887</v>
      </c>
      <c r="V640" t="n">
        <v>37</v>
      </c>
      <c r="W640" t="n">
        <v>23</v>
      </c>
      <c r="X640" t="n">
        <v>67523000</v>
      </c>
      <c r="Y640" t="inlineStr"/>
      <c r="Z640" t="inlineStr"/>
      <c r="AA640" t="inlineStr">
        <is>
          <t>https://knru.ru/catalog/moskovskij-pr-d-183-185/</t>
        </is>
      </c>
      <c r="AB640" t="inlineStr">
        <is>
          <t>C</t>
        </is>
      </c>
    </row>
    <row r="641">
      <c r="A641" t="n">
        <v>889</v>
      </c>
      <c r="B641" t="n">
        <v>38</v>
      </c>
      <c r="C641" t="n">
        <v>1</v>
      </c>
      <c r="D641" t="n">
        <v>11</v>
      </c>
      <c r="E641" t="inlineStr">
        <is>
          <t>Выборгский</t>
        </is>
      </c>
      <c r="F641" t="inlineStr">
        <is>
          <t>Брянцева ул, 11 А</t>
        </is>
      </c>
      <c r="G641" t="n">
        <v>1213</v>
      </c>
      <c r="H641" t="inlineStr">
        <is>
          <t>120 000 000</t>
        </is>
      </c>
      <c r="I641" t="inlineStr"/>
      <c r="J641" t="inlineStr"/>
      <c r="K641" t="inlineStr"/>
      <c r="L641" t="inlineStr"/>
      <c r="M641" t="inlineStr"/>
      <c r="N641" t="inlineStr">
        <is>
          <t>no</t>
        </is>
      </c>
      <c r="O641" t="inlineStr">
        <is>
          <t>none</t>
        </is>
      </c>
      <c r="P641">
        <f>HYPERLINK("https://knru.ru/catalog/bryantseva-ul-d-11/","ссылка")</f>
        <v/>
      </c>
      <c r="Q641" t="inlineStr"/>
      <c r="R641" t="inlineStr">
        <is>
          <t>Нет у нас</t>
        </is>
      </c>
      <c r="S641" t="n">
        <v>0</v>
      </c>
      <c r="T641" t="inlineStr">
        <is>
          <t>Совпадений по улице+дому не найдено</t>
        </is>
      </c>
      <c r="U641" t="n">
        <v>889</v>
      </c>
      <c r="V641" t="n">
        <v>38</v>
      </c>
      <c r="W641" t="n">
        <v>1</v>
      </c>
      <c r="X641" t="n">
        <v>120000000</v>
      </c>
      <c r="Y641" t="inlineStr"/>
      <c r="Z641" t="inlineStr"/>
      <c r="AA641" t="inlineStr">
        <is>
          <t>https://knru.ru/catalog/bryantseva-ul-d-11/</t>
        </is>
      </c>
      <c r="AB641" t="inlineStr">
        <is>
          <t>C</t>
        </is>
      </c>
    </row>
    <row r="642">
      <c r="A642" t="n">
        <v>890</v>
      </c>
      <c r="B642" t="n">
        <v>38</v>
      </c>
      <c r="C642" t="n">
        <v>2</v>
      </c>
      <c r="D642" t="n">
        <v>561514</v>
      </c>
      <c r="E642" t="inlineStr">
        <is>
          <t>Адмиралтейский</t>
        </is>
      </c>
      <c r="F642" t="inlineStr">
        <is>
          <t>Обводного канала наб, 118 АУ</t>
        </is>
      </c>
      <c r="G642" t="n">
        <v>248</v>
      </c>
      <c r="H642" t="inlineStr">
        <is>
          <t>70 184 000</t>
        </is>
      </c>
      <c r="I642" t="inlineStr"/>
      <c r="J642" t="inlineStr"/>
      <c r="K642" t="inlineStr"/>
      <c r="L642" t="inlineStr"/>
      <c r="M642" t="inlineStr"/>
      <c r="N642" t="inlineStr">
        <is>
          <t>no</t>
        </is>
      </c>
      <c r="O642" t="inlineStr">
        <is>
          <t>none</t>
        </is>
      </c>
      <c r="P642">
        <f>HYPERLINK("https://knru.ru/catalog/obvodnogo-kanala-nab-d-118-au-561514/","ссылка")</f>
        <v/>
      </c>
      <c r="Q642" t="inlineStr"/>
      <c r="R642" t="inlineStr">
        <is>
          <t>Нет у нас</t>
        </is>
      </c>
      <c r="S642" t="n">
        <v>0</v>
      </c>
      <c r="T642" t="inlineStr">
        <is>
          <t>Совпадений по улице+дому не найдено</t>
        </is>
      </c>
      <c r="U642" t="n">
        <v>890</v>
      </c>
      <c r="V642" t="n">
        <v>38</v>
      </c>
      <c r="W642" t="n">
        <v>2</v>
      </c>
      <c r="X642" t="n">
        <v>70184000</v>
      </c>
      <c r="Y642" t="inlineStr"/>
      <c r="Z642" t="inlineStr"/>
      <c r="AA642" t="inlineStr">
        <is>
          <t>https://knru.ru/catalog/obvodnogo-kanala-nab-d-118-au-561514/</t>
        </is>
      </c>
      <c r="AB642" t="inlineStr">
        <is>
          <t>C</t>
        </is>
      </c>
    </row>
    <row r="643">
      <c r="A643" t="n">
        <v>891</v>
      </c>
      <c r="B643" t="n">
        <v>38</v>
      </c>
      <c r="C643" t="n">
        <v>3</v>
      </c>
      <c r="D643" t="n">
        <v>561498</v>
      </c>
      <c r="E643" t="inlineStr">
        <is>
          <t>Адмиралтейский</t>
        </is>
      </c>
      <c r="F643" t="inlineStr">
        <is>
          <t>Обводного канала наб, 118 АУ</t>
        </is>
      </c>
      <c r="G643" t="n">
        <v>835</v>
      </c>
      <c r="H643" t="inlineStr">
        <is>
          <t>250 000 000</t>
        </is>
      </c>
      <c r="I643" t="inlineStr"/>
      <c r="J643" t="inlineStr"/>
      <c r="K643" t="inlineStr"/>
      <c r="L643" t="inlineStr"/>
      <c r="M643" t="inlineStr"/>
      <c r="N643" t="inlineStr">
        <is>
          <t>no</t>
        </is>
      </c>
      <c r="O643" t="inlineStr">
        <is>
          <t>none</t>
        </is>
      </c>
      <c r="P643">
        <f>HYPERLINK("https://knru.ru/catalog/obvodnogo-kanala-nab-d-118-au-561498/","ссылка")</f>
        <v/>
      </c>
      <c r="Q643" t="inlineStr"/>
      <c r="R643" t="inlineStr">
        <is>
          <t>Нет у нас</t>
        </is>
      </c>
      <c r="S643" t="n">
        <v>0</v>
      </c>
      <c r="T643" t="inlineStr">
        <is>
          <t>Совпадений по улице+дому не найдено</t>
        </is>
      </c>
      <c r="U643" t="n">
        <v>891</v>
      </c>
      <c r="V643" t="n">
        <v>38</v>
      </c>
      <c r="W643" t="n">
        <v>3</v>
      </c>
      <c r="X643" t="n">
        <v>250000000</v>
      </c>
      <c r="Y643" t="inlineStr"/>
      <c r="Z643" t="inlineStr"/>
      <c r="AA643" t="inlineStr">
        <is>
          <t>https://knru.ru/catalog/obvodnogo-kanala-nab-d-118-au-561498/</t>
        </is>
      </c>
      <c r="AB643" t="inlineStr">
        <is>
          <t>C</t>
        </is>
      </c>
    </row>
    <row r="644">
      <c r="A644" t="n">
        <v>892</v>
      </c>
      <c r="B644" t="n">
        <v>38</v>
      </c>
      <c r="C644" t="n">
        <v>4</v>
      </c>
      <c r="D644" t="n">
        <v>4</v>
      </c>
      <c r="E644" t="inlineStr">
        <is>
          <t>Всеволожский</t>
        </is>
      </c>
      <c r="F644" t="inlineStr">
        <is>
          <t>Шоссе в Лаврики ул, 64к3</t>
        </is>
      </c>
      <c r="G644" t="n">
        <v>290</v>
      </c>
      <c r="H644" t="inlineStr">
        <is>
          <t>40 600 000</t>
        </is>
      </c>
      <c r="I644" t="inlineStr"/>
      <c r="J644" t="inlineStr"/>
      <c r="K644" t="inlineStr"/>
      <c r="L644" t="inlineStr"/>
      <c r="M644" t="inlineStr"/>
      <c r="N644" t="inlineStr">
        <is>
          <t>no</t>
        </is>
      </c>
      <c r="O644" t="inlineStr">
        <is>
          <t>none</t>
        </is>
      </c>
      <c r="P644">
        <f>HYPERLINK("https://knru.ru/catalog/ul-shosse-v-lavrikid-64-k-4/","ссылка")</f>
        <v/>
      </c>
      <c r="Q644" t="inlineStr"/>
      <c r="R644" t="inlineStr">
        <is>
          <t>Нет у нас</t>
        </is>
      </c>
      <c r="S644" t="n">
        <v>0</v>
      </c>
      <c r="T644" t="inlineStr">
        <is>
          <t>Совпадений по улице+дому не найдено</t>
        </is>
      </c>
      <c r="U644" t="n">
        <v>892</v>
      </c>
      <c r="V644" t="n">
        <v>38</v>
      </c>
      <c r="W644" t="n">
        <v>4</v>
      </c>
      <c r="X644" t="n">
        <v>40600000</v>
      </c>
      <c r="Y644" t="inlineStr"/>
      <c r="Z644" t="inlineStr"/>
      <c r="AA644" t="inlineStr">
        <is>
          <t>https://knru.ru/catalog/ul-shosse-v-lavrikid-64-k-4/</t>
        </is>
      </c>
      <c r="AB644" t="inlineStr">
        <is>
          <t>C</t>
        </is>
      </c>
    </row>
    <row r="645">
      <c r="A645" t="n">
        <v>893</v>
      </c>
      <c r="B645" t="n">
        <v>38</v>
      </c>
      <c r="C645" t="n">
        <v>5</v>
      </c>
      <c r="D645" t="n">
        <v>19</v>
      </c>
      <c r="E645" t="inlineStr">
        <is>
          <t>Выборгский</t>
        </is>
      </c>
      <c r="F645" t="inlineStr">
        <is>
          <t>Меркурьева ул, 7стр1</t>
        </is>
      </c>
      <c r="G645" t="n">
        <v>1270</v>
      </c>
      <c r="H645" t="inlineStr">
        <is>
          <t>97 000 000</t>
        </is>
      </c>
      <c r="I645" t="inlineStr"/>
      <c r="J645" t="inlineStr"/>
      <c r="K645" t="inlineStr"/>
      <c r="L645" t="inlineStr"/>
      <c r="M645" t="inlineStr"/>
      <c r="N645" t="inlineStr">
        <is>
          <t>no</t>
        </is>
      </c>
      <c r="O645" t="inlineStr">
        <is>
          <t>none</t>
        </is>
      </c>
      <c r="P645">
        <f>HYPERLINK("https://knru.ru/catalog/4-j-verxnij-pereulok-d-19/","ссылка")</f>
        <v/>
      </c>
      <c r="Q645" t="inlineStr"/>
      <c r="R645" t="inlineStr">
        <is>
          <t>Нет у нас</t>
        </is>
      </c>
      <c r="S645" t="n">
        <v>0</v>
      </c>
      <c r="T645" t="inlineStr">
        <is>
          <t>Совпадений по улице+дому не найдено</t>
        </is>
      </c>
      <c r="U645" t="n">
        <v>893</v>
      </c>
      <c r="V645" t="n">
        <v>38</v>
      </c>
      <c r="W645" t="n">
        <v>5</v>
      </c>
      <c r="X645" t="n">
        <v>97000000</v>
      </c>
      <c r="Y645" t="inlineStr"/>
      <c r="Z645" t="inlineStr"/>
      <c r="AA645" t="inlineStr">
        <is>
          <t>https://knru.ru/catalog/4-j-verxnij-pereulok-d-19/</t>
        </is>
      </c>
      <c r="AB645" t="inlineStr">
        <is>
          <t>C</t>
        </is>
      </c>
    </row>
    <row r="646">
      <c r="A646" t="n">
        <v>894</v>
      </c>
      <c r="B646" t="n">
        <v>38</v>
      </c>
      <c r="C646" t="n">
        <v>6</v>
      </c>
      <c r="D646" t="n">
        <v>561444</v>
      </c>
      <c r="E646" t="inlineStr">
        <is>
          <t>Московский</t>
        </is>
      </c>
      <c r="F646" t="inlineStr">
        <is>
          <t>Московский пр-кт, 65 Э</t>
        </is>
      </c>
      <c r="G646" t="n">
        <v>465</v>
      </c>
      <c r="H646" t="inlineStr">
        <is>
          <t>209 470 500</t>
        </is>
      </c>
      <c r="I646" t="inlineStr"/>
      <c r="J646" t="inlineStr"/>
      <c r="K646" t="inlineStr"/>
      <c r="L646" t="inlineStr"/>
      <c r="M646" t="inlineStr"/>
      <c r="N646" t="inlineStr">
        <is>
          <t>no</t>
        </is>
      </c>
      <c r="O646" t="inlineStr">
        <is>
          <t>none</t>
        </is>
      </c>
      <c r="P646">
        <f>HYPERLINK("https://knru.ru/catalog/pr-kt-moskovskij-d-65-lit-e-561444/","ссылка")</f>
        <v/>
      </c>
      <c r="Q646" t="inlineStr"/>
      <c r="R646" t="inlineStr">
        <is>
          <t>Нет у нас</t>
        </is>
      </c>
      <c r="S646" t="n">
        <v>0</v>
      </c>
      <c r="T646" t="inlineStr">
        <is>
          <t>Совпадений по улице+дому не найдено</t>
        </is>
      </c>
      <c r="U646" t="n">
        <v>894</v>
      </c>
      <c r="V646" t="n">
        <v>38</v>
      </c>
      <c r="W646" t="n">
        <v>6</v>
      </c>
      <c r="X646" t="n">
        <v>209470500</v>
      </c>
      <c r="Y646" t="inlineStr"/>
      <c r="Z646" t="inlineStr"/>
      <c r="AA646" t="inlineStr">
        <is>
          <t>https://knru.ru/catalog/pr-kt-moskovskij-d-65-lit-e-561444/</t>
        </is>
      </c>
      <c r="AB646" t="inlineStr">
        <is>
          <t>C</t>
        </is>
      </c>
    </row>
    <row r="647">
      <c r="A647" t="n">
        <v>895</v>
      </c>
      <c r="B647" t="n">
        <v>38</v>
      </c>
      <c r="C647" t="n">
        <v>7</v>
      </c>
      <c r="D647" t="n">
        <v>561443</v>
      </c>
      <c r="E647" t="inlineStr">
        <is>
          <t>Московский</t>
        </is>
      </c>
      <c r="F647" t="inlineStr">
        <is>
          <t>Московский пр-кт, 65 Э</t>
        </is>
      </c>
      <c r="G647" t="n">
        <v>463</v>
      </c>
      <c r="H647" t="inlineStr">
        <is>
          <t>199 446 900</t>
        </is>
      </c>
      <c r="I647" t="inlineStr"/>
      <c r="J647" t="inlineStr"/>
      <c r="K647" t="inlineStr"/>
      <c r="L647" t="inlineStr"/>
      <c r="M647" t="inlineStr"/>
      <c r="N647" t="inlineStr">
        <is>
          <t>no</t>
        </is>
      </c>
      <c r="O647" t="inlineStr">
        <is>
          <t>none</t>
        </is>
      </c>
      <c r="P647">
        <f>HYPERLINK("https://knru.ru/catalog/pr-kt-moskovskij-d-65-lit-e-561443/","ссылка")</f>
        <v/>
      </c>
      <c r="Q647" t="inlineStr"/>
      <c r="R647" t="inlineStr">
        <is>
          <t>Нет у нас</t>
        </is>
      </c>
      <c r="S647" t="n">
        <v>0</v>
      </c>
      <c r="T647" t="inlineStr">
        <is>
          <t>Совпадений по улице+дому не найдено</t>
        </is>
      </c>
      <c r="U647" t="n">
        <v>895</v>
      </c>
      <c r="V647" t="n">
        <v>38</v>
      </c>
      <c r="W647" t="n">
        <v>7</v>
      </c>
      <c r="X647" t="n">
        <v>199446900</v>
      </c>
      <c r="Y647" t="inlineStr"/>
      <c r="Z647" t="inlineStr"/>
      <c r="AA647" t="inlineStr">
        <is>
          <t>https://knru.ru/catalog/pr-kt-moskovskij-d-65-lit-e-561443/</t>
        </is>
      </c>
      <c r="AB647" t="inlineStr">
        <is>
          <t>C</t>
        </is>
      </c>
    </row>
    <row r="648">
      <c r="A648" t="n">
        <v>896</v>
      </c>
      <c r="B648" t="n">
        <v>38</v>
      </c>
      <c r="C648" t="n">
        <v>8</v>
      </c>
      <c r="D648" t="n">
        <v>561442</v>
      </c>
      <c r="E648" t="inlineStr">
        <is>
          <t>Московский</t>
        </is>
      </c>
      <c r="F648" t="inlineStr">
        <is>
          <t>Московский пр-кт, 65 Э</t>
        </is>
      </c>
      <c r="G648" t="n">
        <v>550</v>
      </c>
      <c r="H648" t="inlineStr">
        <is>
          <t>212 850 847</t>
        </is>
      </c>
      <c r="I648" t="inlineStr"/>
      <c r="J648" t="inlineStr"/>
      <c r="K648" t="inlineStr"/>
      <c r="L648" t="inlineStr"/>
      <c r="M648" t="inlineStr"/>
      <c r="N648" t="inlineStr">
        <is>
          <t>no</t>
        </is>
      </c>
      <c r="O648" t="inlineStr">
        <is>
          <t>none</t>
        </is>
      </c>
      <c r="P648">
        <f>HYPERLINK("https://knru.ru/catalog/pr-kt-moskovskij-d-65-lit-e-561442/","ссылка")</f>
        <v/>
      </c>
      <c r="Q648" t="inlineStr"/>
      <c r="R648" t="inlineStr">
        <is>
          <t>Нет у нас</t>
        </is>
      </c>
      <c r="S648" t="n">
        <v>0</v>
      </c>
      <c r="T648" t="inlineStr">
        <is>
          <t>Совпадений по улице+дому не найдено</t>
        </is>
      </c>
      <c r="U648" t="n">
        <v>896</v>
      </c>
      <c r="V648" t="n">
        <v>38</v>
      </c>
      <c r="W648" t="n">
        <v>8</v>
      </c>
      <c r="X648" t="n">
        <v>212850847</v>
      </c>
      <c r="Y648" t="inlineStr"/>
      <c r="Z648" t="inlineStr"/>
      <c r="AA648" t="inlineStr">
        <is>
          <t>https://knru.ru/catalog/pr-kt-moskovskij-d-65-lit-e-561442/</t>
        </is>
      </c>
      <c r="AB648" t="inlineStr">
        <is>
          <t>C</t>
        </is>
      </c>
    </row>
    <row r="649">
      <c r="A649" t="n">
        <v>897</v>
      </c>
      <c r="B649" t="n">
        <v>38</v>
      </c>
      <c r="C649" t="n">
        <v>9</v>
      </c>
      <c r="D649" t="n">
        <v>561441</v>
      </c>
      <c r="E649" t="inlineStr">
        <is>
          <t>Московский</t>
        </is>
      </c>
      <c r="F649" t="inlineStr">
        <is>
          <t>Московский пр-кт, 65 Э</t>
        </is>
      </c>
      <c r="G649" t="n">
        <v>548</v>
      </c>
      <c r="H649" t="inlineStr">
        <is>
          <t>207 167 955</t>
        </is>
      </c>
      <c r="I649" t="inlineStr"/>
      <c r="J649" t="inlineStr"/>
      <c r="K649" t="inlineStr"/>
      <c r="L649" t="inlineStr"/>
      <c r="M649" t="inlineStr"/>
      <c r="N649" t="inlineStr">
        <is>
          <t>no</t>
        </is>
      </c>
      <c r="O649" t="inlineStr">
        <is>
          <t>none</t>
        </is>
      </c>
      <c r="P649">
        <f>HYPERLINK("https://knru.ru/catalog/pr-kt-moskovskij-d-65-lit-e-561441/","ссылка")</f>
        <v/>
      </c>
      <c r="Q649" t="inlineStr"/>
      <c r="R649" t="inlineStr">
        <is>
          <t>Нет у нас</t>
        </is>
      </c>
      <c r="S649" t="n">
        <v>0</v>
      </c>
      <c r="T649" t="inlineStr">
        <is>
          <t>Совпадений по улице+дому не найдено</t>
        </is>
      </c>
      <c r="U649" t="n">
        <v>897</v>
      </c>
      <c r="V649" t="n">
        <v>38</v>
      </c>
      <c r="W649" t="n">
        <v>9</v>
      </c>
      <c r="X649" t="n">
        <v>207167955</v>
      </c>
      <c r="Y649" t="inlineStr"/>
      <c r="Z649" t="inlineStr"/>
      <c r="AA649" t="inlineStr">
        <is>
          <t>https://knru.ru/catalog/pr-kt-moskovskij-d-65-lit-e-561441/</t>
        </is>
      </c>
      <c r="AB649" t="inlineStr">
        <is>
          <t>C</t>
        </is>
      </c>
    </row>
    <row r="650">
      <c r="A650" t="n">
        <v>898</v>
      </c>
      <c r="B650" t="n">
        <v>38</v>
      </c>
      <c r="C650" t="n">
        <v>10</v>
      </c>
      <c r="D650" t="n">
        <v>561439</v>
      </c>
      <c r="E650" t="inlineStr">
        <is>
          <t>Московский</t>
        </is>
      </c>
      <c r="F650" t="inlineStr">
        <is>
          <t>Московский пр-кт, 65 Э</t>
        </is>
      </c>
      <c r="G650" t="n">
        <v>548</v>
      </c>
      <c r="H650" t="inlineStr">
        <is>
          <t>201 847 700</t>
        </is>
      </c>
      <c r="I650" t="inlineStr"/>
      <c r="J650" t="inlineStr"/>
      <c r="K650" t="inlineStr"/>
      <c r="L650" t="inlineStr"/>
      <c r="M650" t="inlineStr"/>
      <c r="N650" t="inlineStr">
        <is>
          <t>no</t>
        </is>
      </c>
      <c r="O650" t="inlineStr">
        <is>
          <t>none</t>
        </is>
      </c>
      <c r="P650">
        <f>HYPERLINK("https://knru.ru/catalog/pr-kt-moskovskij-d-65-lit-e-561439/","ссылка")</f>
        <v/>
      </c>
      <c r="Q650" t="inlineStr"/>
      <c r="R650" t="inlineStr">
        <is>
          <t>Нет у нас</t>
        </is>
      </c>
      <c r="S650" t="n">
        <v>0</v>
      </c>
      <c r="T650" t="inlineStr">
        <is>
          <t>Совпадений по улице+дому не найдено</t>
        </is>
      </c>
      <c r="U650" t="n">
        <v>898</v>
      </c>
      <c r="V650" t="n">
        <v>38</v>
      </c>
      <c r="W650" t="n">
        <v>10</v>
      </c>
      <c r="X650" t="n">
        <v>201847700</v>
      </c>
      <c r="Y650" t="inlineStr"/>
      <c r="Z650" t="inlineStr"/>
      <c r="AA650" t="inlineStr">
        <is>
          <t>https://knru.ru/catalog/pr-kt-moskovskij-d-65-lit-e-561439/</t>
        </is>
      </c>
      <c r="AB650" t="inlineStr">
        <is>
          <t>C</t>
        </is>
      </c>
    </row>
    <row r="651">
      <c r="A651" t="n">
        <v>899</v>
      </c>
      <c r="B651" t="n">
        <v>38</v>
      </c>
      <c r="C651" t="n">
        <v>11</v>
      </c>
      <c r="D651" t="n">
        <v>561438</v>
      </c>
      <c r="E651" t="inlineStr">
        <is>
          <t>Московский</t>
        </is>
      </c>
      <c r="F651" t="inlineStr">
        <is>
          <t>Московский пр-кт, 65 Э</t>
        </is>
      </c>
      <c r="G651" t="n">
        <v>542</v>
      </c>
      <c r="H651" t="inlineStr">
        <is>
          <t>193 619 116</t>
        </is>
      </c>
      <c r="I651" t="inlineStr"/>
      <c r="J651" t="inlineStr"/>
      <c r="K651" t="inlineStr"/>
      <c r="L651" t="inlineStr"/>
      <c r="M651" t="inlineStr"/>
      <c r="N651" t="inlineStr">
        <is>
          <t>no</t>
        </is>
      </c>
      <c r="O651" t="inlineStr">
        <is>
          <t>none</t>
        </is>
      </c>
      <c r="P651">
        <f>HYPERLINK("https://knru.ru/catalog/pr-kt-moskovskij-d-65-lit-e-561438/","ссылка")</f>
        <v/>
      </c>
      <c r="Q651" t="inlineStr"/>
      <c r="R651" t="inlineStr">
        <is>
          <t>Нет у нас</t>
        </is>
      </c>
      <c r="S651" t="n">
        <v>0</v>
      </c>
      <c r="T651" t="inlineStr">
        <is>
          <t>Совпадений по улице+дому не найдено</t>
        </is>
      </c>
      <c r="U651" t="n">
        <v>899</v>
      </c>
      <c r="V651" t="n">
        <v>38</v>
      </c>
      <c r="W651" t="n">
        <v>11</v>
      </c>
      <c r="X651" t="n">
        <v>193619116</v>
      </c>
      <c r="Y651" t="inlineStr"/>
      <c r="Z651" t="inlineStr"/>
      <c r="AA651" t="inlineStr">
        <is>
          <t>https://knru.ru/catalog/pr-kt-moskovskij-d-65-lit-e-561438/</t>
        </is>
      </c>
      <c r="AB651" t="inlineStr">
        <is>
          <t>C</t>
        </is>
      </c>
    </row>
    <row r="652">
      <c r="A652" t="n">
        <v>900</v>
      </c>
      <c r="B652" t="n">
        <v>38</v>
      </c>
      <c r="C652" t="n">
        <v>12</v>
      </c>
      <c r="D652" t="inlineStr"/>
      <c r="E652" t="inlineStr">
        <is>
          <t>Московский</t>
        </is>
      </c>
      <c r="F652" t="inlineStr">
        <is>
          <t>Московский пр-кт, 65 Э</t>
        </is>
      </c>
      <c r="G652" t="n">
        <v>6966</v>
      </c>
      <c r="H652" t="inlineStr">
        <is>
          <t>1 652 637 217</t>
        </is>
      </c>
      <c r="I652" t="inlineStr"/>
      <c r="J652" t="inlineStr"/>
      <c r="K652" t="inlineStr"/>
      <c r="L652" t="inlineStr"/>
      <c r="M652" t="inlineStr"/>
      <c r="N652" t="inlineStr">
        <is>
          <t>no</t>
        </is>
      </c>
      <c r="O652" t="inlineStr">
        <is>
          <t>none</t>
        </is>
      </c>
      <c r="P652">
        <f>HYPERLINK("https://knru.ru/catalog/pr-kt-moskovskij-d-65-lit-e/","ссылка")</f>
        <v/>
      </c>
      <c r="Q652" t="inlineStr"/>
      <c r="R652" t="inlineStr">
        <is>
          <t>Нет у нас</t>
        </is>
      </c>
      <c r="S652" t="n">
        <v>0</v>
      </c>
      <c r="T652" t="inlineStr">
        <is>
          <t>Совпадений по улице+дому не найдено</t>
        </is>
      </c>
      <c r="U652" t="n">
        <v>900</v>
      </c>
      <c r="V652" t="n">
        <v>38</v>
      </c>
      <c r="W652" t="n">
        <v>12</v>
      </c>
      <c r="X652" t="n">
        <v>1652637217</v>
      </c>
      <c r="Y652" t="inlineStr"/>
      <c r="Z652" t="inlineStr"/>
      <c r="AA652" t="inlineStr">
        <is>
          <t>https://knru.ru/catalog/pr-kt-moskovskij-d-65-lit-e/</t>
        </is>
      </c>
      <c r="AB652" t="inlineStr">
        <is>
          <t>C</t>
        </is>
      </c>
    </row>
    <row r="653">
      <c r="A653" t="n">
        <v>901</v>
      </c>
      <c r="B653" t="n">
        <v>38</v>
      </c>
      <c r="C653" t="n">
        <v>13</v>
      </c>
      <c r="D653" t="n">
        <v>561436</v>
      </c>
      <c r="E653" t="inlineStr"/>
      <c r="F653" t="inlineStr">
        <is>
          <t>ул Питерская, 2.1</t>
        </is>
      </c>
      <c r="G653" t="n">
        <v>127.1</v>
      </c>
      <c r="H653" t="inlineStr">
        <is>
          <t>30 504 000</t>
        </is>
      </c>
      <c r="I653" t="inlineStr"/>
      <c r="J653" t="inlineStr"/>
      <c r="K653" t="inlineStr"/>
      <c r="L653" t="inlineStr"/>
      <c r="M653" t="inlineStr"/>
      <c r="N653" t="inlineStr">
        <is>
          <t>no</t>
        </is>
      </c>
      <c r="O653" t="inlineStr">
        <is>
          <t>none</t>
        </is>
      </c>
      <c r="P653">
        <f>HYPERLINK("https://knru.ru/catalog/novosele-piterskij-pr-561436/","ссылка")</f>
        <v/>
      </c>
      <c r="Q653" t="inlineStr"/>
      <c r="R653" t="inlineStr">
        <is>
          <t>Нет у нас</t>
        </is>
      </c>
      <c r="S653" t="n">
        <v>0</v>
      </c>
      <c r="T653" t="inlineStr">
        <is>
          <t>Совпадений по улице+дому не найдено</t>
        </is>
      </c>
      <c r="U653" t="n">
        <v>901</v>
      </c>
      <c r="V653" t="n">
        <v>38</v>
      </c>
      <c r="W653" t="n">
        <v>13</v>
      </c>
      <c r="X653" t="n">
        <v>30504000</v>
      </c>
      <c r="Y653" t="inlineStr"/>
      <c r="Z653" t="inlineStr"/>
      <c r="AA653" t="inlineStr">
        <is>
          <t>https://knru.ru/catalog/novosele-piterskij-pr-561436/</t>
        </is>
      </c>
      <c r="AB653" t="inlineStr">
        <is>
          <t>C</t>
        </is>
      </c>
    </row>
    <row r="654">
      <c r="A654" t="n">
        <v>902</v>
      </c>
      <c r="B654" t="n">
        <v>38</v>
      </c>
      <c r="C654" t="n">
        <v>14</v>
      </c>
      <c r="D654" t="n">
        <v>561433</v>
      </c>
      <c r="E654" t="inlineStr"/>
      <c r="F654" t="inlineStr">
        <is>
          <t>ул Питерская, 2.1</t>
        </is>
      </c>
      <c r="G654" t="n">
        <v>126.9</v>
      </c>
      <c r="H654" t="inlineStr">
        <is>
          <t>30 456 000</t>
        </is>
      </c>
      <c r="I654" t="inlineStr"/>
      <c r="J654" t="inlineStr"/>
      <c r="K654" t="inlineStr"/>
      <c r="L654" t="inlineStr"/>
      <c r="M654" t="inlineStr"/>
      <c r="N654" t="inlineStr">
        <is>
          <t>no</t>
        </is>
      </c>
      <c r="O654" t="inlineStr">
        <is>
          <t>none</t>
        </is>
      </c>
      <c r="P654">
        <f>HYPERLINK("https://knru.ru/catalog/novosele-piterskij-pr-561433/","ссылка")</f>
        <v/>
      </c>
      <c r="Q654" t="inlineStr"/>
      <c r="R654" t="inlineStr">
        <is>
          <t>Нет у нас</t>
        </is>
      </c>
      <c r="S654" t="n">
        <v>0</v>
      </c>
      <c r="T654" t="inlineStr">
        <is>
          <t>Совпадений по улице+дому не найдено</t>
        </is>
      </c>
      <c r="U654" t="n">
        <v>902</v>
      </c>
      <c r="V654" t="n">
        <v>38</v>
      </c>
      <c r="W654" t="n">
        <v>14</v>
      </c>
      <c r="X654" t="n">
        <v>30456000</v>
      </c>
      <c r="Y654" t="inlineStr"/>
      <c r="Z654" t="inlineStr"/>
      <c r="AA654" t="inlineStr">
        <is>
          <t>https://knru.ru/catalog/novosele-piterskij-pr-561433/</t>
        </is>
      </c>
      <c r="AB654" t="inlineStr">
        <is>
          <t>C</t>
        </is>
      </c>
    </row>
    <row r="655">
      <c r="A655" t="n">
        <v>903</v>
      </c>
      <c r="B655" t="n">
        <v>38</v>
      </c>
      <c r="C655" t="n">
        <v>15</v>
      </c>
      <c r="D655" t="n">
        <v>561431</v>
      </c>
      <c r="E655" t="inlineStr"/>
      <c r="F655" t="inlineStr">
        <is>
          <t>ул Питерская, 2.1</t>
        </is>
      </c>
      <c r="G655" t="n">
        <v>114</v>
      </c>
      <c r="H655" t="inlineStr">
        <is>
          <t>27 930 000</t>
        </is>
      </c>
      <c r="I655" t="inlineStr"/>
      <c r="J655" t="inlineStr"/>
      <c r="K655" t="inlineStr"/>
      <c r="L655" t="inlineStr"/>
      <c r="M655" t="inlineStr"/>
      <c r="N655" t="inlineStr">
        <is>
          <t>no</t>
        </is>
      </c>
      <c r="O655" t="inlineStr">
        <is>
          <t>none</t>
        </is>
      </c>
      <c r="P655">
        <f>HYPERLINK("https://knru.ru/catalog/novosele-piterskij-pr-561431/","ссылка")</f>
        <v/>
      </c>
      <c r="Q655" t="inlineStr"/>
      <c r="R655" t="inlineStr">
        <is>
          <t>Нет у нас</t>
        </is>
      </c>
      <c r="S655" t="n">
        <v>0</v>
      </c>
      <c r="T655" t="inlineStr">
        <is>
          <t>Совпадений по улице+дому не найдено</t>
        </is>
      </c>
      <c r="U655" t="n">
        <v>903</v>
      </c>
      <c r="V655" t="n">
        <v>38</v>
      </c>
      <c r="W655" t="n">
        <v>15</v>
      </c>
      <c r="X655" t="n">
        <v>27930000</v>
      </c>
      <c r="Y655" t="inlineStr"/>
      <c r="Z655" t="inlineStr"/>
      <c r="AA655" t="inlineStr">
        <is>
          <t>https://knru.ru/catalog/novosele-piterskij-pr-561431/</t>
        </is>
      </c>
      <c r="AB655" t="inlineStr">
        <is>
          <t>C</t>
        </is>
      </c>
    </row>
    <row r="656">
      <c r="A656" t="n">
        <v>906</v>
      </c>
      <c r="B656" t="n">
        <v>38</v>
      </c>
      <c r="C656" t="n">
        <v>18</v>
      </c>
      <c r="D656" t="n">
        <v>561410</v>
      </c>
      <c r="E656" t="inlineStr">
        <is>
          <t>Калининский</t>
        </is>
      </c>
      <c r="F656" t="inlineStr">
        <is>
          <t>Пискарёвский пр-кт, 159к8 А</t>
        </is>
      </c>
      <c r="G656" t="n">
        <v>30.2</v>
      </c>
      <c r="H656" t="inlineStr">
        <is>
          <t>12 375 000</t>
        </is>
      </c>
      <c r="I656" t="inlineStr"/>
      <c r="J656" t="inlineStr"/>
      <c r="K656" t="inlineStr"/>
      <c r="L656" t="inlineStr"/>
      <c r="M656" t="inlineStr"/>
      <c r="N656" t="inlineStr">
        <is>
          <t>no</t>
        </is>
      </c>
      <c r="O656" t="inlineStr">
        <is>
          <t>none</t>
        </is>
      </c>
      <c r="P656">
        <f>HYPERLINK("https://knru.ru/catalog/piskarevskij-prospekt-d-159k8-561410/","ссылка")</f>
        <v/>
      </c>
      <c r="Q656" t="inlineStr"/>
      <c r="R656" t="inlineStr">
        <is>
          <t>Нет у нас</t>
        </is>
      </c>
      <c r="S656" t="n">
        <v>0</v>
      </c>
      <c r="T656" t="inlineStr">
        <is>
          <t>Совпадений по улице+дому не найдено</t>
        </is>
      </c>
      <c r="U656" t="n">
        <v>906</v>
      </c>
      <c r="V656" t="n">
        <v>38</v>
      </c>
      <c r="W656" t="n">
        <v>18</v>
      </c>
      <c r="X656" t="n">
        <v>12375000</v>
      </c>
      <c r="Y656" t="inlineStr"/>
      <c r="Z656" t="inlineStr"/>
      <c r="AA656" t="inlineStr">
        <is>
          <t>https://knru.ru/catalog/piskarevskij-prospekt-d-159k8-561410/</t>
        </is>
      </c>
      <c r="AB656" t="inlineStr">
        <is>
          <t>C</t>
        </is>
      </c>
    </row>
    <row r="657">
      <c r="A657" t="n">
        <v>907</v>
      </c>
      <c r="B657" t="n">
        <v>38</v>
      </c>
      <c r="C657" t="n">
        <v>19</v>
      </c>
      <c r="D657" t="n">
        <v>561393</v>
      </c>
      <c r="E657" t="inlineStr">
        <is>
          <t>Калининский</t>
        </is>
      </c>
      <c r="F657" t="inlineStr">
        <is>
          <t>Пискарёвский пр-кт, 159к8 А</t>
        </is>
      </c>
      <c r="G657" t="n">
        <v>59.7</v>
      </c>
      <c r="H657" t="inlineStr">
        <is>
          <t>15 900 000</t>
        </is>
      </c>
      <c r="I657" t="inlineStr"/>
      <c r="J657" t="inlineStr"/>
      <c r="K657" t="inlineStr"/>
      <c r="L657" t="inlineStr"/>
      <c r="M657" t="inlineStr"/>
      <c r="N657" t="inlineStr">
        <is>
          <t>no</t>
        </is>
      </c>
      <c r="O657" t="inlineStr">
        <is>
          <t>none</t>
        </is>
      </c>
      <c r="P657">
        <f>HYPERLINK("https://knru.ru/catalog/piskarevskij-prospekt-d-159k8-561393/","ссылка")</f>
        <v/>
      </c>
      <c r="Q657" t="inlineStr"/>
      <c r="R657" t="inlineStr">
        <is>
          <t>Нет у нас</t>
        </is>
      </c>
      <c r="S657" t="n">
        <v>0</v>
      </c>
      <c r="T657" t="inlineStr">
        <is>
          <t>Совпадений по улице+дому не найдено</t>
        </is>
      </c>
      <c r="U657" t="n">
        <v>907</v>
      </c>
      <c r="V657" t="n">
        <v>38</v>
      </c>
      <c r="W657" t="n">
        <v>19</v>
      </c>
      <c r="X657" t="n">
        <v>15900000</v>
      </c>
      <c r="Y657" t="inlineStr"/>
      <c r="Z657" t="inlineStr"/>
      <c r="AA657" t="inlineStr">
        <is>
          <t>https://knru.ru/catalog/piskarevskij-prospekt-d-159k8-561393/</t>
        </is>
      </c>
      <c r="AB657" t="inlineStr">
        <is>
          <t>C</t>
        </is>
      </c>
    </row>
    <row r="658">
      <c r="A658" t="n">
        <v>908</v>
      </c>
      <c r="B658" t="n">
        <v>38</v>
      </c>
      <c r="C658" t="n">
        <v>20</v>
      </c>
      <c r="D658" t="n">
        <v>561391</v>
      </c>
      <c r="E658" t="inlineStr">
        <is>
          <t>Калининский</t>
        </is>
      </c>
      <c r="F658" t="inlineStr">
        <is>
          <t>Пискарёвский пр-кт, 159к8 А</t>
        </is>
      </c>
      <c r="G658" t="n">
        <v>48.4</v>
      </c>
      <c r="H658" t="inlineStr">
        <is>
          <t>15 000 000</t>
        </is>
      </c>
      <c r="I658" t="inlineStr"/>
      <c r="J658" t="inlineStr"/>
      <c r="K658" t="inlineStr"/>
      <c r="L658" t="inlineStr"/>
      <c r="M658" t="inlineStr"/>
      <c r="N658" t="inlineStr">
        <is>
          <t>no</t>
        </is>
      </c>
      <c r="O658" t="inlineStr">
        <is>
          <t>none</t>
        </is>
      </c>
      <c r="P658">
        <f>HYPERLINK("https://knru.ru/catalog/piskarevskij-prospekt-d-159k8-561391/","ссылка")</f>
        <v/>
      </c>
      <c r="Q658" t="inlineStr"/>
      <c r="R658" t="inlineStr">
        <is>
          <t>Нет у нас</t>
        </is>
      </c>
      <c r="S658" t="n">
        <v>0</v>
      </c>
      <c r="T658" t="inlineStr">
        <is>
          <t>Совпадений по улице+дому не найдено</t>
        </is>
      </c>
      <c r="U658" t="n">
        <v>908</v>
      </c>
      <c r="V658" t="n">
        <v>38</v>
      </c>
      <c r="W658" t="n">
        <v>20</v>
      </c>
      <c r="X658" t="n">
        <v>15000000</v>
      </c>
      <c r="Y658" t="inlineStr"/>
      <c r="Z658" t="inlineStr"/>
      <c r="AA658" t="inlineStr">
        <is>
          <t>https://knru.ru/catalog/piskarevskij-prospekt-d-159k8-561391/</t>
        </is>
      </c>
      <c r="AB658" t="inlineStr">
        <is>
          <t>C</t>
        </is>
      </c>
    </row>
    <row r="659">
      <c r="A659" t="n">
        <v>909</v>
      </c>
      <c r="B659" t="n">
        <v>38</v>
      </c>
      <c r="C659" t="n">
        <v>21</v>
      </c>
      <c r="D659" t="n">
        <v>561385</v>
      </c>
      <c r="E659" t="inlineStr">
        <is>
          <t>Калининский</t>
        </is>
      </c>
      <c r="F659" t="inlineStr">
        <is>
          <t>Пискарёвский пр-кт, 159к8 А</t>
        </is>
      </c>
      <c r="G659" t="n">
        <v>91.2</v>
      </c>
      <c r="H659" t="inlineStr">
        <is>
          <t>29 900 000</t>
        </is>
      </c>
      <c r="I659" t="inlineStr"/>
      <c r="J659" t="inlineStr"/>
      <c r="K659" t="inlineStr"/>
      <c r="L659" t="inlineStr"/>
      <c r="M659" t="inlineStr"/>
      <c r="N659" t="inlineStr">
        <is>
          <t>no</t>
        </is>
      </c>
      <c r="O659" t="inlineStr">
        <is>
          <t>none</t>
        </is>
      </c>
      <c r="P659">
        <f>HYPERLINK("https://knru.ru/catalog/piskarevskij-prospekt-d-159k8-561385/","ссылка")</f>
        <v/>
      </c>
      <c r="Q659" t="inlineStr"/>
      <c r="R659" t="inlineStr">
        <is>
          <t>Нет у нас</t>
        </is>
      </c>
      <c r="S659" t="n">
        <v>0</v>
      </c>
      <c r="T659" t="inlineStr">
        <is>
          <t>Совпадений по улице+дому не найдено</t>
        </is>
      </c>
      <c r="U659" t="n">
        <v>909</v>
      </c>
      <c r="V659" t="n">
        <v>38</v>
      </c>
      <c r="W659" t="n">
        <v>21</v>
      </c>
      <c r="X659" t="n">
        <v>29900000</v>
      </c>
      <c r="Y659" t="inlineStr"/>
      <c r="Z659" t="inlineStr"/>
      <c r="AA659" t="inlineStr">
        <is>
          <t>https://knru.ru/catalog/piskarevskij-prospekt-d-159k8-561385/</t>
        </is>
      </c>
      <c r="AB659" t="inlineStr">
        <is>
          <t>C</t>
        </is>
      </c>
    </row>
    <row r="660">
      <c r="A660" t="n">
        <v>910</v>
      </c>
      <c r="B660" t="n">
        <v>38</v>
      </c>
      <c r="C660" t="n">
        <v>22</v>
      </c>
      <c r="D660" t="n">
        <v>1</v>
      </c>
      <c r="E660" t="inlineStr"/>
      <c r="F660" t="inlineStr">
        <is>
          <t>Кленовый пер, 1</t>
        </is>
      </c>
      <c r="G660" t="n">
        <v>6853600</v>
      </c>
      <c r="H660" t="inlineStr">
        <is>
          <t>350 000 000</t>
        </is>
      </c>
      <c r="I660" t="inlineStr"/>
      <c r="J660" t="inlineStr"/>
      <c r="K660" t="inlineStr"/>
      <c r="L660" t="inlineStr"/>
      <c r="M660" t="inlineStr"/>
      <c r="N660" t="inlineStr">
        <is>
          <t>no</t>
        </is>
      </c>
      <c r="O660" t="inlineStr">
        <is>
          <t>none</t>
        </is>
      </c>
      <c r="P660">
        <f>HYPERLINK("https://knru.ru/catalog/klenovyj-per-1/","ссылка")</f>
        <v/>
      </c>
      <c r="Q660" t="inlineStr"/>
      <c r="R660" t="inlineStr">
        <is>
          <t>Нет у нас</t>
        </is>
      </c>
      <c r="S660" t="n">
        <v>0</v>
      </c>
      <c r="T660" t="inlineStr">
        <is>
          <t>Совпадений по улице+дому не найдено</t>
        </is>
      </c>
      <c r="U660" t="n">
        <v>910</v>
      </c>
      <c r="V660" t="n">
        <v>38</v>
      </c>
      <c r="W660" t="n">
        <v>22</v>
      </c>
      <c r="X660" t="n">
        <v>350000000</v>
      </c>
      <c r="Y660" t="inlineStr"/>
      <c r="Z660" t="inlineStr"/>
      <c r="AA660" t="inlineStr">
        <is>
          <t>https://knru.ru/catalog/klenovyj-per-1/</t>
        </is>
      </c>
      <c r="AB660" t="inlineStr">
        <is>
          <t>C</t>
        </is>
      </c>
    </row>
    <row r="661">
      <c r="A661" t="n">
        <v>911</v>
      </c>
      <c r="B661" t="n">
        <v>38</v>
      </c>
      <c r="C661" t="n">
        <v>23</v>
      </c>
      <c r="D661" t="n">
        <v>53</v>
      </c>
      <c r="E661" t="inlineStr">
        <is>
          <t>мкр Волховский</t>
        </is>
      </c>
      <c r="F661" t="inlineStr">
        <is>
          <t>Волховский мкр, 53</t>
        </is>
      </c>
      <c r="G661" t="n">
        <v>4000</v>
      </c>
      <c r="H661" t="inlineStr">
        <is>
          <t>440 000 000</t>
        </is>
      </c>
      <c r="I661" t="inlineStr"/>
      <c r="J661" t="inlineStr"/>
      <c r="K661" t="inlineStr"/>
      <c r="L661" t="inlineStr"/>
      <c r="M661" t="inlineStr"/>
      <c r="N661" t="inlineStr">
        <is>
          <t>no</t>
        </is>
      </c>
      <c r="O661" t="inlineStr">
        <is>
          <t>none</t>
        </is>
      </c>
      <c r="P661">
        <f>HYPERLINK("https://knru.ru/catalog/leningradskaya-oblast-g-volxov-volxovskij-pr-d-53/","ссылка")</f>
        <v/>
      </c>
      <c r="Q661" t="inlineStr"/>
      <c r="R661" t="inlineStr">
        <is>
          <t>Нет у нас</t>
        </is>
      </c>
      <c r="S661" t="n">
        <v>0</v>
      </c>
      <c r="T661" t="inlineStr">
        <is>
          <t>Совпадений по улице+дому не найдено</t>
        </is>
      </c>
      <c r="U661" t="n">
        <v>911</v>
      </c>
      <c r="V661" t="n">
        <v>38</v>
      </c>
      <c r="W661" t="n">
        <v>23</v>
      </c>
      <c r="X661" t="n">
        <v>440000000</v>
      </c>
      <c r="Y661" t="inlineStr"/>
      <c r="Z661" t="inlineStr"/>
      <c r="AA661" t="inlineStr">
        <is>
          <t>https://knru.ru/catalog/leningradskaya-oblast-g-volxov-volxovskij-pr-d-53/</t>
        </is>
      </c>
      <c r="AB661" t="inlineStr">
        <is>
          <t>C</t>
        </is>
      </c>
    </row>
    <row r="662">
      <c r="A662" t="n">
        <v>916</v>
      </c>
      <c r="B662" t="n">
        <v>39</v>
      </c>
      <c r="C662" t="n">
        <v>4</v>
      </c>
      <c r="D662" t="inlineStr"/>
      <c r="E662" t="inlineStr">
        <is>
          <t>Пушкинский</t>
        </is>
      </c>
      <c r="F662" t="inlineStr">
        <is>
          <t>Школьная ул, 1 А</t>
        </is>
      </c>
      <c r="G662" t="n">
        <v>66</v>
      </c>
      <c r="H662" t="inlineStr">
        <is>
          <t>12 595 484</t>
        </is>
      </c>
      <c r="I662" t="inlineStr"/>
      <c r="J662" t="inlineStr"/>
      <c r="K662" t="inlineStr"/>
      <c r="L662" t="inlineStr"/>
      <c r="M662" t="inlineStr"/>
      <c r="N662" t="inlineStr">
        <is>
          <t>no</t>
        </is>
      </c>
      <c r="O662" t="inlineStr">
        <is>
          <t>none</t>
        </is>
      </c>
      <c r="P662">
        <f>HYPERLINK("https://knru.ru/catalog/shushary-shkolnaya-ul-s1/","ссылка")</f>
        <v/>
      </c>
      <c r="Q662" t="inlineStr"/>
      <c r="R662" t="inlineStr">
        <is>
          <t>Нет у нас</t>
        </is>
      </c>
      <c r="S662" t="n">
        <v>0</v>
      </c>
      <c r="T662" t="inlineStr">
        <is>
          <t>Совпадений по улице+дому не найдено</t>
        </is>
      </c>
      <c r="U662" t="n">
        <v>916</v>
      </c>
      <c r="V662" t="n">
        <v>39</v>
      </c>
      <c r="W662" t="n">
        <v>4</v>
      </c>
      <c r="X662" t="n">
        <v>12595484</v>
      </c>
      <c r="Y662" t="inlineStr"/>
      <c r="Z662" t="inlineStr"/>
      <c r="AA662" t="inlineStr">
        <is>
          <t>https://knru.ru/catalog/shushary-shkolnaya-ul-s1/</t>
        </is>
      </c>
      <c r="AB662" t="inlineStr">
        <is>
          <t>C</t>
        </is>
      </c>
    </row>
    <row r="663">
      <c r="A663" t="n">
        <v>917</v>
      </c>
      <c r="B663" t="n">
        <v>39</v>
      </c>
      <c r="C663" t="n">
        <v>5</v>
      </c>
      <c r="D663" t="n">
        <v>561299</v>
      </c>
      <c r="E663" t="inlineStr">
        <is>
          <t>Петродворцовый</t>
        </is>
      </c>
      <c r="F663" t="inlineStr">
        <is>
          <t>Буденного пр-кт, 20к1стр1</t>
        </is>
      </c>
      <c r="G663" t="n">
        <v>34.9</v>
      </c>
      <c r="H663" t="inlineStr">
        <is>
          <t>10 042 560</t>
        </is>
      </c>
      <c r="I663" t="inlineStr"/>
      <c r="J663" t="inlineStr"/>
      <c r="K663" t="inlineStr"/>
      <c r="L663" t="inlineStr"/>
      <c r="M663" t="inlineStr"/>
      <c r="N663" t="inlineStr">
        <is>
          <t>no</t>
        </is>
      </c>
      <c r="O663" t="inlineStr">
        <is>
          <t>none</t>
        </is>
      </c>
      <c r="P663">
        <f>HYPERLINK("https://knru.ru/catalog/p-strelna-pr-budyennogo-d-20-k-1-561299/","ссылка")</f>
        <v/>
      </c>
      <c r="Q663" t="inlineStr"/>
      <c r="R663" t="inlineStr">
        <is>
          <t>Нет у нас</t>
        </is>
      </c>
      <c r="S663" t="n">
        <v>0</v>
      </c>
      <c r="T663" t="inlineStr">
        <is>
          <t>Совпадений по улице+дому не найдено</t>
        </is>
      </c>
      <c r="U663" t="n">
        <v>917</v>
      </c>
      <c r="V663" t="n">
        <v>39</v>
      </c>
      <c r="W663" t="n">
        <v>5</v>
      </c>
      <c r="X663" t="n">
        <v>10042560</v>
      </c>
      <c r="Y663" t="inlineStr"/>
      <c r="Z663" t="inlineStr"/>
      <c r="AA663" t="inlineStr">
        <is>
          <t>https://knru.ru/catalog/p-strelna-pr-budyennogo-d-20-k-1-561299/</t>
        </is>
      </c>
      <c r="AB663" t="inlineStr">
        <is>
          <t>C</t>
        </is>
      </c>
    </row>
    <row r="664">
      <c r="A664" t="n">
        <v>918</v>
      </c>
      <c r="B664" t="n">
        <v>39</v>
      </c>
      <c r="C664" t="n">
        <v>6</v>
      </c>
      <c r="D664" t="n">
        <v>561298</v>
      </c>
      <c r="E664" t="inlineStr">
        <is>
          <t>Петродворцовый</t>
        </is>
      </c>
      <c r="F664" t="inlineStr">
        <is>
          <t>Буденного пр-кт, 20к1стр1</t>
        </is>
      </c>
      <c r="G664" t="n">
        <v>75.5</v>
      </c>
      <c r="H664" t="inlineStr">
        <is>
          <t>19 702 890</t>
        </is>
      </c>
      <c r="I664" t="inlineStr"/>
      <c r="J664" t="inlineStr"/>
      <c r="K664" t="inlineStr"/>
      <c r="L664" t="inlineStr"/>
      <c r="M664" t="inlineStr"/>
      <c r="N664" t="inlineStr">
        <is>
          <t>no</t>
        </is>
      </c>
      <c r="O664" t="inlineStr">
        <is>
          <t>none</t>
        </is>
      </c>
      <c r="P664">
        <f>HYPERLINK("https://knru.ru/catalog/p-strelna-pr-budyennogo-d-20-k-1-561298/","ссылка")</f>
        <v/>
      </c>
      <c r="Q664" t="inlineStr"/>
      <c r="R664" t="inlineStr">
        <is>
          <t>Нет у нас</t>
        </is>
      </c>
      <c r="S664" t="n">
        <v>0</v>
      </c>
      <c r="T664" t="inlineStr">
        <is>
          <t>Совпадений по улице+дому не найдено</t>
        </is>
      </c>
      <c r="U664" t="n">
        <v>918</v>
      </c>
      <c r="V664" t="n">
        <v>39</v>
      </c>
      <c r="W664" t="n">
        <v>6</v>
      </c>
      <c r="X664" t="n">
        <v>19702890</v>
      </c>
      <c r="Y664" t="inlineStr"/>
      <c r="Z664" t="inlineStr"/>
      <c r="AA664" t="inlineStr">
        <is>
          <t>https://knru.ru/catalog/p-strelna-pr-budyennogo-d-20-k-1-561298/</t>
        </is>
      </c>
      <c r="AB664" t="inlineStr">
        <is>
          <t>C</t>
        </is>
      </c>
    </row>
    <row r="665">
      <c r="A665" t="n">
        <v>919</v>
      </c>
      <c r="B665" t="n">
        <v>39</v>
      </c>
      <c r="C665" t="n">
        <v>7</v>
      </c>
      <c r="D665" t="n">
        <v>561297</v>
      </c>
      <c r="E665" t="inlineStr">
        <is>
          <t>Петродворцовый</t>
        </is>
      </c>
      <c r="F665" t="inlineStr">
        <is>
          <t>Буденного пр-кт, 20к1стр1</t>
        </is>
      </c>
      <c r="G665" t="n">
        <v>29.2</v>
      </c>
      <c r="H665" t="inlineStr">
        <is>
          <t>14 155 830</t>
        </is>
      </c>
      <c r="I665" t="inlineStr"/>
      <c r="J665" t="inlineStr"/>
      <c r="K665" t="inlineStr"/>
      <c r="L665" t="inlineStr"/>
      <c r="M665" t="inlineStr"/>
      <c r="N665" t="inlineStr">
        <is>
          <t>no</t>
        </is>
      </c>
      <c r="O665" t="inlineStr">
        <is>
          <t>none</t>
        </is>
      </c>
      <c r="P665">
        <f>HYPERLINK("https://knru.ru/catalog/p-strelna-pr-budyennogo-d-20-k-1-561297/","ссылка")</f>
        <v/>
      </c>
      <c r="Q665" t="inlineStr"/>
      <c r="R665" t="inlineStr">
        <is>
          <t>Нет у нас</t>
        </is>
      </c>
      <c r="S665" t="n">
        <v>0</v>
      </c>
      <c r="T665" t="inlineStr">
        <is>
          <t>Совпадений по улице+дому не найдено</t>
        </is>
      </c>
      <c r="U665" t="n">
        <v>919</v>
      </c>
      <c r="V665" t="n">
        <v>39</v>
      </c>
      <c r="W665" t="n">
        <v>7</v>
      </c>
      <c r="X665" t="n">
        <v>14155830</v>
      </c>
      <c r="Y665" t="inlineStr"/>
      <c r="Z665" t="inlineStr"/>
      <c r="AA665" t="inlineStr">
        <is>
          <t>https://knru.ru/catalog/p-strelna-pr-budyennogo-d-20-k-1-561297/</t>
        </is>
      </c>
      <c r="AB665" t="inlineStr">
        <is>
          <t>C</t>
        </is>
      </c>
    </row>
    <row r="666">
      <c r="A666" t="n">
        <v>920</v>
      </c>
      <c r="B666" t="n">
        <v>39</v>
      </c>
      <c r="C666" t="n">
        <v>8</v>
      </c>
      <c r="D666" t="n">
        <v>561296</v>
      </c>
      <c r="E666" t="inlineStr">
        <is>
          <t>Петродворцовый</t>
        </is>
      </c>
      <c r="F666" t="inlineStr">
        <is>
          <t>Буденного пр-кт, 20к1стр1</t>
        </is>
      </c>
      <c r="G666" t="n">
        <v>59.9</v>
      </c>
      <c r="H666" t="inlineStr">
        <is>
          <t>17 796 240</t>
        </is>
      </c>
      <c r="I666" t="inlineStr"/>
      <c r="J666" t="inlineStr"/>
      <c r="K666" t="inlineStr"/>
      <c r="L666" t="inlineStr"/>
      <c r="M666" t="inlineStr"/>
      <c r="N666" t="inlineStr">
        <is>
          <t>no</t>
        </is>
      </c>
      <c r="O666" t="inlineStr">
        <is>
          <t>none</t>
        </is>
      </c>
      <c r="P666">
        <f>HYPERLINK("https://knru.ru/catalog/p-strelna-pr-budyennogo-d-20-k-1-561296/","ссылка")</f>
        <v/>
      </c>
      <c r="Q666" t="inlineStr"/>
      <c r="R666" t="inlineStr">
        <is>
          <t>Нет у нас</t>
        </is>
      </c>
      <c r="S666" t="n">
        <v>0</v>
      </c>
      <c r="T666" t="inlineStr">
        <is>
          <t>Совпадений по улице+дому не найдено</t>
        </is>
      </c>
      <c r="U666" t="n">
        <v>920</v>
      </c>
      <c r="V666" t="n">
        <v>39</v>
      </c>
      <c r="W666" t="n">
        <v>8</v>
      </c>
      <c r="X666" t="n">
        <v>17796240</v>
      </c>
      <c r="Y666" t="inlineStr"/>
      <c r="Z666" t="inlineStr"/>
      <c r="AA666" t="inlineStr">
        <is>
          <t>https://knru.ru/catalog/p-strelna-pr-budyennogo-d-20-k-1-561296/</t>
        </is>
      </c>
      <c r="AB666" t="inlineStr">
        <is>
          <t>C</t>
        </is>
      </c>
    </row>
    <row r="667">
      <c r="A667" t="n">
        <v>921</v>
      </c>
      <c r="B667" t="n">
        <v>39</v>
      </c>
      <c r="C667" t="n">
        <v>9</v>
      </c>
      <c r="D667" t="n">
        <v>561295</v>
      </c>
      <c r="E667" t="inlineStr">
        <is>
          <t>Петродворцовый</t>
        </is>
      </c>
      <c r="F667" t="inlineStr">
        <is>
          <t>Буденного пр-кт, 20к1стр1</t>
        </is>
      </c>
      <c r="G667" t="n">
        <v>42.5</v>
      </c>
      <c r="H667" t="inlineStr">
        <is>
          <t>14 155 830</t>
        </is>
      </c>
      <c r="I667" t="inlineStr"/>
      <c r="J667" t="inlineStr"/>
      <c r="K667" t="inlineStr"/>
      <c r="L667" t="inlineStr"/>
      <c r="M667" t="inlineStr"/>
      <c r="N667" t="inlineStr">
        <is>
          <t>no</t>
        </is>
      </c>
      <c r="O667" t="inlineStr">
        <is>
          <t>none</t>
        </is>
      </c>
      <c r="P667">
        <f>HYPERLINK("https://knru.ru/catalog/p-strelna-pr-budyennogo-d-20-k-1-561295/","ссылка")</f>
        <v/>
      </c>
      <c r="Q667" t="inlineStr"/>
      <c r="R667" t="inlineStr">
        <is>
          <t>Нет у нас</t>
        </is>
      </c>
      <c r="S667" t="n">
        <v>0</v>
      </c>
      <c r="T667" t="inlineStr">
        <is>
          <t>Совпадений по улице+дому не найдено</t>
        </is>
      </c>
      <c r="U667" t="n">
        <v>921</v>
      </c>
      <c r="V667" t="n">
        <v>39</v>
      </c>
      <c r="W667" t="n">
        <v>9</v>
      </c>
      <c r="X667" t="n">
        <v>14155830</v>
      </c>
      <c r="Y667" t="inlineStr"/>
      <c r="Z667" t="inlineStr"/>
      <c r="AA667" t="inlineStr">
        <is>
          <t>https://knru.ru/catalog/p-strelna-pr-budyennogo-d-20-k-1-561295/</t>
        </is>
      </c>
      <c r="AB667" t="inlineStr">
        <is>
          <t>C</t>
        </is>
      </c>
    </row>
    <row r="668">
      <c r="A668" t="n">
        <v>922</v>
      </c>
      <c r="B668" t="n">
        <v>39</v>
      </c>
      <c r="C668" t="n">
        <v>10</v>
      </c>
      <c r="D668" t="n">
        <v>1</v>
      </c>
      <c r="E668" t="inlineStr">
        <is>
          <t>Петродворцовый</t>
        </is>
      </c>
      <c r="F668" t="inlineStr">
        <is>
          <t>Буденного пр-кт, 20к1стр1</t>
        </is>
      </c>
      <c r="G668" t="n">
        <v>32.5</v>
      </c>
      <c r="H668" t="inlineStr">
        <is>
          <t>11 700 000</t>
        </is>
      </c>
      <c r="I668" t="inlineStr"/>
      <c r="J668" t="inlineStr"/>
      <c r="K668" t="inlineStr"/>
      <c r="L668" t="inlineStr"/>
      <c r="M668" t="inlineStr"/>
      <c r="N668" t="inlineStr">
        <is>
          <t>no</t>
        </is>
      </c>
      <c r="O668" t="inlineStr">
        <is>
          <t>none</t>
        </is>
      </c>
      <c r="P668">
        <f>HYPERLINK("https://knru.ru/catalog/p-strelna-pr-budyennogo-d-20-k-1/","ссылка")</f>
        <v/>
      </c>
      <c r="Q668" t="inlineStr"/>
      <c r="R668" t="inlineStr">
        <is>
          <t>Нет у нас</t>
        </is>
      </c>
      <c r="S668" t="n">
        <v>0</v>
      </c>
      <c r="T668" t="inlineStr">
        <is>
          <t>Совпадений по улице+дому не найдено</t>
        </is>
      </c>
      <c r="U668" t="n">
        <v>922</v>
      </c>
      <c r="V668" t="n">
        <v>39</v>
      </c>
      <c r="W668" t="n">
        <v>10</v>
      </c>
      <c r="X668" t="n">
        <v>11700000</v>
      </c>
      <c r="Y668" t="inlineStr"/>
      <c r="Z668" t="inlineStr"/>
      <c r="AA668" t="inlineStr">
        <is>
          <t>https://knru.ru/catalog/p-strelna-pr-budyennogo-d-20-k-1/</t>
        </is>
      </c>
      <c r="AB668" t="inlineStr">
        <is>
          <t>C</t>
        </is>
      </c>
    </row>
    <row r="669">
      <c r="A669" t="n">
        <v>923</v>
      </c>
      <c r="B669" t="n">
        <v>39</v>
      </c>
      <c r="C669" t="n">
        <v>11</v>
      </c>
      <c r="D669" t="n">
        <v>561265</v>
      </c>
      <c r="E669" t="inlineStr">
        <is>
          <t>Московский</t>
        </is>
      </c>
      <c r="F669" t="inlineStr">
        <is>
          <t>Кубинская ул, 76к4 литА</t>
        </is>
      </c>
      <c r="G669" t="n">
        <v>87.2</v>
      </c>
      <c r="H669" t="inlineStr">
        <is>
          <t>28 265 760</t>
        </is>
      </c>
      <c r="I669" t="inlineStr"/>
      <c r="J669" t="inlineStr"/>
      <c r="K669" t="inlineStr"/>
      <c r="L669" t="inlineStr"/>
      <c r="M669" t="inlineStr"/>
      <c r="N669" t="inlineStr">
        <is>
          <t>no</t>
        </is>
      </c>
      <c r="O669" t="inlineStr">
        <is>
          <t>none</t>
        </is>
      </c>
      <c r="P669">
        <f>HYPERLINK("https://knru.ru/catalog/kubinskaya-ulitsa-d-76-k-1-561265/","ссылка")</f>
        <v/>
      </c>
      <c r="Q669" t="inlineStr"/>
      <c r="R669" t="inlineStr">
        <is>
          <t>Нет у нас</t>
        </is>
      </c>
      <c r="S669" t="n">
        <v>0</v>
      </c>
      <c r="T669" t="inlineStr">
        <is>
          <t>Совпадений по улице+дому не найдено</t>
        </is>
      </c>
      <c r="U669" t="n">
        <v>923</v>
      </c>
      <c r="V669" t="n">
        <v>39</v>
      </c>
      <c r="W669" t="n">
        <v>11</v>
      </c>
      <c r="X669" t="n">
        <v>28265760</v>
      </c>
      <c r="Y669" t="inlineStr"/>
      <c r="Z669" t="inlineStr"/>
      <c r="AA669" t="inlineStr">
        <is>
          <t>https://knru.ru/catalog/kubinskaya-ulitsa-d-76-k-1-561265/</t>
        </is>
      </c>
      <c r="AB669" t="inlineStr">
        <is>
          <t>C</t>
        </is>
      </c>
    </row>
    <row r="670">
      <c r="A670" t="n">
        <v>924</v>
      </c>
      <c r="B670" t="n">
        <v>39</v>
      </c>
      <c r="C670" t="n">
        <v>12</v>
      </c>
      <c r="D670" t="n">
        <v>561266</v>
      </c>
      <c r="E670" t="inlineStr">
        <is>
          <t>Московский</t>
        </is>
      </c>
      <c r="F670" t="inlineStr">
        <is>
          <t>Кубинская ул, 76к4 литА</t>
        </is>
      </c>
      <c r="G670" t="n">
        <v>82.2</v>
      </c>
      <c r="H670" t="inlineStr">
        <is>
          <t>27 379 260</t>
        </is>
      </c>
      <c r="I670" t="inlineStr"/>
      <c r="J670" t="inlineStr"/>
      <c r="K670" t="inlineStr"/>
      <c r="L670" t="inlineStr"/>
      <c r="M670" t="inlineStr"/>
      <c r="N670" t="inlineStr">
        <is>
          <t>no</t>
        </is>
      </c>
      <c r="O670" t="inlineStr">
        <is>
          <t>none</t>
        </is>
      </c>
      <c r="P670">
        <f>HYPERLINK("https://knru.ru/catalog/kubinskaya-ulitsa-d-76-k-1-561266/","ссылка")</f>
        <v/>
      </c>
      <c r="Q670" t="inlineStr"/>
      <c r="R670" t="inlineStr">
        <is>
          <t>Нет у нас</t>
        </is>
      </c>
      <c r="S670" t="n">
        <v>0</v>
      </c>
      <c r="T670" t="inlineStr">
        <is>
          <t>Совпадений по улице+дому не найдено</t>
        </is>
      </c>
      <c r="U670" t="n">
        <v>924</v>
      </c>
      <c r="V670" t="n">
        <v>39</v>
      </c>
      <c r="W670" t="n">
        <v>12</v>
      </c>
      <c r="X670" t="n">
        <v>27379260</v>
      </c>
      <c r="Y670" t="inlineStr"/>
      <c r="Z670" t="inlineStr"/>
      <c r="AA670" t="inlineStr">
        <is>
          <t>https://knru.ru/catalog/kubinskaya-ulitsa-d-76-k-1-561266/</t>
        </is>
      </c>
      <c r="AB670" t="inlineStr">
        <is>
          <t>C</t>
        </is>
      </c>
    </row>
    <row r="671">
      <c r="A671" t="n">
        <v>925</v>
      </c>
      <c r="B671" t="n">
        <v>39</v>
      </c>
      <c r="C671" t="n">
        <v>13</v>
      </c>
      <c r="D671" t="n">
        <v>1</v>
      </c>
      <c r="E671" t="inlineStr">
        <is>
          <t>Московский</t>
        </is>
      </c>
      <c r="F671" t="inlineStr">
        <is>
          <t>Кубинская ул, 76к4 литА</t>
        </is>
      </c>
      <c r="G671" t="n">
        <v>58.6</v>
      </c>
      <c r="H671" t="inlineStr">
        <is>
          <t>22 150 800</t>
        </is>
      </c>
      <c r="I671" t="inlineStr"/>
      <c r="J671" t="inlineStr"/>
      <c r="K671" t="inlineStr"/>
      <c r="L671" t="inlineStr"/>
      <c r="M671" t="inlineStr"/>
      <c r="N671" t="inlineStr">
        <is>
          <t>no</t>
        </is>
      </c>
      <c r="O671" t="inlineStr">
        <is>
          <t>none</t>
        </is>
      </c>
      <c r="P671">
        <f>HYPERLINK("https://knru.ru/catalog/kubinskaya-ulitsa-d-76-k-1/","ссылка")</f>
        <v/>
      </c>
      <c r="Q671" t="inlineStr"/>
      <c r="R671" t="inlineStr">
        <is>
          <t>Нет у нас</t>
        </is>
      </c>
      <c r="S671" t="n">
        <v>0</v>
      </c>
      <c r="T671" t="inlineStr">
        <is>
          <t>Совпадений по улице+дому не найдено</t>
        </is>
      </c>
      <c r="U671" t="n">
        <v>925</v>
      </c>
      <c r="V671" t="n">
        <v>39</v>
      </c>
      <c r="W671" t="n">
        <v>13</v>
      </c>
      <c r="X671" t="n">
        <v>22150800</v>
      </c>
      <c r="Y671" t="inlineStr"/>
      <c r="Z671" t="inlineStr"/>
      <c r="AA671" t="inlineStr">
        <is>
          <t>https://knru.ru/catalog/kubinskaya-ulitsa-d-76-k-1/</t>
        </is>
      </c>
      <c r="AB671" t="inlineStr">
        <is>
          <t>C</t>
        </is>
      </c>
    </row>
    <row r="672">
      <c r="A672" t="n">
        <v>926</v>
      </c>
      <c r="B672" t="n">
        <v>39</v>
      </c>
      <c r="C672" t="n">
        <v>14</v>
      </c>
      <c r="D672" t="n">
        <v>561245</v>
      </c>
      <c r="E672" t="inlineStr">
        <is>
          <t>Невский</t>
        </is>
      </c>
      <c r="F672" t="inlineStr">
        <is>
          <t>Обуховской Обороны пр-кт, 36к1 А</t>
        </is>
      </c>
      <c r="G672" t="n">
        <v>100.6</v>
      </c>
      <c r="H672" t="inlineStr">
        <is>
          <t>40 738 950</t>
        </is>
      </c>
      <c r="I672" t="inlineStr"/>
      <c r="J672" t="inlineStr"/>
      <c r="K672" t="inlineStr"/>
      <c r="L672" t="inlineStr"/>
      <c r="M672" t="inlineStr"/>
      <c r="N672" t="inlineStr">
        <is>
          <t>no</t>
        </is>
      </c>
      <c r="O672" t="inlineStr">
        <is>
          <t>none</t>
        </is>
      </c>
      <c r="P672">
        <f>HYPERLINK("https://knru.ru/catalog/pr-obuxovskoj-oborony-d-36-561245/","ссылка")</f>
        <v/>
      </c>
      <c r="Q672" t="inlineStr"/>
      <c r="R672" t="inlineStr">
        <is>
          <t>Нет у нас</t>
        </is>
      </c>
      <c r="S672" t="n">
        <v>0</v>
      </c>
      <c r="T672" t="inlineStr">
        <is>
          <t>Совпадений по улице+дому не найдено</t>
        </is>
      </c>
      <c r="U672" t="n">
        <v>926</v>
      </c>
      <c r="V672" t="n">
        <v>39</v>
      </c>
      <c r="W672" t="n">
        <v>14</v>
      </c>
      <c r="X672" t="n">
        <v>40738950</v>
      </c>
      <c r="Y672" t="inlineStr"/>
      <c r="Z672" t="inlineStr"/>
      <c r="AA672" t="inlineStr">
        <is>
          <t>https://knru.ru/catalog/pr-obuxovskoj-oborony-d-36-561245/</t>
        </is>
      </c>
      <c r="AB672" t="inlineStr">
        <is>
          <t>C</t>
        </is>
      </c>
    </row>
    <row r="673">
      <c r="A673" t="n">
        <v>927</v>
      </c>
      <c r="B673" t="n">
        <v>39</v>
      </c>
      <c r="C673" t="n">
        <v>15</v>
      </c>
      <c r="D673" t="inlineStr"/>
      <c r="E673" t="inlineStr">
        <is>
          <t>Василеостровский</t>
        </is>
      </c>
      <c r="F673" t="inlineStr">
        <is>
          <t>Масляный канал ул, 2</t>
        </is>
      </c>
      <c r="G673" t="n">
        <v>75</v>
      </c>
      <c r="H673" t="inlineStr">
        <is>
          <t>35 217 000</t>
        </is>
      </c>
      <c r="I673" t="inlineStr"/>
      <c r="J673" t="inlineStr"/>
      <c r="K673" t="inlineStr"/>
      <c r="L673" t="inlineStr"/>
      <c r="M673" t="inlineStr"/>
      <c r="N673" t="inlineStr">
        <is>
          <t>no</t>
        </is>
      </c>
      <c r="O673" t="inlineStr">
        <is>
          <t>none</t>
        </is>
      </c>
      <c r="P673">
        <f>HYPERLINK("https://knru.ru/catalog/maslyanyj-kanal/","ссылка")</f>
        <v/>
      </c>
      <c r="Q673" t="inlineStr"/>
      <c r="R673" t="inlineStr">
        <is>
          <t>Нет у нас</t>
        </is>
      </c>
      <c r="S673" t="n">
        <v>0</v>
      </c>
      <c r="T673" t="inlineStr">
        <is>
          <t>Совпадений по улице+дому не найдено</t>
        </is>
      </c>
      <c r="U673" t="n">
        <v>927</v>
      </c>
      <c r="V673" t="n">
        <v>39</v>
      </c>
      <c r="W673" t="n">
        <v>15</v>
      </c>
      <c r="X673" t="n">
        <v>35217000</v>
      </c>
      <c r="Y673" t="inlineStr"/>
      <c r="Z673" t="inlineStr"/>
      <c r="AA673" t="inlineStr">
        <is>
          <t>https://knru.ru/catalog/maslyanyj-kanal/</t>
        </is>
      </c>
      <c r="AB673" t="inlineStr">
        <is>
          <t>C</t>
        </is>
      </c>
    </row>
    <row r="674">
      <c r="A674" t="n">
        <v>928</v>
      </c>
      <c r="B674" t="n">
        <v>39</v>
      </c>
      <c r="C674" t="n">
        <v>16</v>
      </c>
      <c r="D674" t="n">
        <v>561167</v>
      </c>
      <c r="E674" t="inlineStr">
        <is>
          <t>Невский</t>
        </is>
      </c>
      <c r="F674" t="inlineStr">
        <is>
          <t>Большой Смоленский пр-кт, 6</t>
        </is>
      </c>
      <c r="G674" t="n">
        <v>94.5</v>
      </c>
      <c r="H674" t="inlineStr">
        <is>
          <t>22 350 000</t>
        </is>
      </c>
      <c r="I674" t="inlineStr"/>
      <c r="J674" t="inlineStr"/>
      <c r="K674" t="inlineStr"/>
      <c r="L674" t="inlineStr"/>
      <c r="M674" t="inlineStr"/>
      <c r="N674" t="inlineStr">
        <is>
          <t>no</t>
        </is>
      </c>
      <c r="O674" t="inlineStr">
        <is>
          <t>none</t>
        </is>
      </c>
      <c r="P674">
        <f>HYPERLINK("https://knru.ru/catalog/bolshoj-smolenskij-pr-d-6-561167/","ссылка")</f>
        <v/>
      </c>
      <c r="Q674" t="inlineStr"/>
      <c r="R674" t="inlineStr">
        <is>
          <t>Нет у нас</t>
        </is>
      </c>
      <c r="S674" t="n">
        <v>0</v>
      </c>
      <c r="T674" t="inlineStr">
        <is>
          <t>Совпадений по улице+дому не найдено</t>
        </is>
      </c>
      <c r="U674" t="n">
        <v>928</v>
      </c>
      <c r="V674" t="n">
        <v>39</v>
      </c>
      <c r="W674" t="n">
        <v>16</v>
      </c>
      <c r="X674" t="n">
        <v>22350000</v>
      </c>
      <c r="Y674" t="inlineStr"/>
      <c r="Z674" t="inlineStr"/>
      <c r="AA674" t="inlineStr">
        <is>
          <t>https://knru.ru/catalog/bolshoj-smolenskij-pr-d-6-561167/</t>
        </is>
      </c>
      <c r="AB674" t="inlineStr">
        <is>
          <t>C</t>
        </is>
      </c>
    </row>
    <row r="675">
      <c r="A675" t="n">
        <v>929</v>
      </c>
      <c r="B675" t="n">
        <v>39</v>
      </c>
      <c r="C675" t="n">
        <v>17</v>
      </c>
      <c r="D675" t="n">
        <v>561166</v>
      </c>
      <c r="E675" t="inlineStr">
        <is>
          <t>Невский</t>
        </is>
      </c>
      <c r="F675" t="inlineStr">
        <is>
          <t>Большой Смоленский пр-кт, 6</t>
        </is>
      </c>
      <c r="G675" t="n">
        <v>97.8</v>
      </c>
      <c r="H675" t="inlineStr">
        <is>
          <t>20 350 000</t>
        </is>
      </c>
      <c r="I675" t="inlineStr"/>
      <c r="J675" t="inlineStr"/>
      <c r="K675" t="inlineStr"/>
      <c r="L675" t="inlineStr"/>
      <c r="M675" t="inlineStr"/>
      <c r="N675" t="inlineStr">
        <is>
          <t>no</t>
        </is>
      </c>
      <c r="O675" t="inlineStr">
        <is>
          <t>none</t>
        </is>
      </c>
      <c r="P675">
        <f>HYPERLINK("https://knru.ru/catalog/bolshoj-smolenskij-pr-d-6-561166/","ссылка")</f>
        <v/>
      </c>
      <c r="Q675" t="inlineStr"/>
      <c r="R675" t="inlineStr">
        <is>
          <t>Нет у нас</t>
        </is>
      </c>
      <c r="S675" t="n">
        <v>0</v>
      </c>
      <c r="T675" t="inlineStr">
        <is>
          <t>Совпадений по улице+дому не найдено</t>
        </is>
      </c>
      <c r="U675" t="n">
        <v>929</v>
      </c>
      <c r="V675" t="n">
        <v>39</v>
      </c>
      <c r="W675" t="n">
        <v>17</v>
      </c>
      <c r="X675" t="n">
        <v>20350000</v>
      </c>
      <c r="Y675" t="inlineStr"/>
      <c r="Z675" t="inlineStr"/>
      <c r="AA675" t="inlineStr">
        <is>
          <t>https://knru.ru/catalog/bolshoj-smolenskij-pr-d-6-561166/</t>
        </is>
      </c>
      <c r="AB675" t="inlineStr">
        <is>
          <t>C</t>
        </is>
      </c>
    </row>
    <row r="676">
      <c r="A676" t="n">
        <v>930</v>
      </c>
      <c r="B676" t="n">
        <v>39</v>
      </c>
      <c r="C676" t="n">
        <v>18</v>
      </c>
      <c r="D676" t="n">
        <v>561165</v>
      </c>
      <c r="E676" t="inlineStr">
        <is>
          <t>Невский</t>
        </is>
      </c>
      <c r="F676" t="inlineStr">
        <is>
          <t>Большой Смоленский пр-кт, 6</t>
        </is>
      </c>
      <c r="G676" t="n">
        <v>80.40000000000001</v>
      </c>
      <c r="H676" t="inlineStr">
        <is>
          <t>20 700 000</t>
        </is>
      </c>
      <c r="I676" t="inlineStr"/>
      <c r="J676" t="inlineStr"/>
      <c r="K676" t="inlineStr"/>
      <c r="L676" t="inlineStr"/>
      <c r="M676" t="inlineStr"/>
      <c r="N676" t="inlineStr">
        <is>
          <t>no</t>
        </is>
      </c>
      <c r="O676" t="inlineStr">
        <is>
          <t>none</t>
        </is>
      </c>
      <c r="P676">
        <f>HYPERLINK("https://knru.ru/catalog/bolshoj-smolenskij-pr-d-6-561165/","ссылка")</f>
        <v/>
      </c>
      <c r="Q676" t="inlineStr"/>
      <c r="R676" t="inlineStr">
        <is>
          <t>Нет у нас</t>
        </is>
      </c>
      <c r="S676" t="n">
        <v>0</v>
      </c>
      <c r="T676" t="inlineStr">
        <is>
          <t>Совпадений по улице+дому не найдено</t>
        </is>
      </c>
      <c r="U676" t="n">
        <v>930</v>
      </c>
      <c r="V676" t="n">
        <v>39</v>
      </c>
      <c r="W676" t="n">
        <v>18</v>
      </c>
      <c r="X676" t="n">
        <v>20700000</v>
      </c>
      <c r="Y676" t="inlineStr"/>
      <c r="Z676" t="inlineStr"/>
      <c r="AA676" t="inlineStr">
        <is>
          <t>https://knru.ru/catalog/bolshoj-smolenskij-pr-d-6-561165/</t>
        </is>
      </c>
      <c r="AB676" t="inlineStr">
        <is>
          <t>C</t>
        </is>
      </c>
    </row>
    <row r="677">
      <c r="A677" t="n">
        <v>931</v>
      </c>
      <c r="B677" t="n">
        <v>39</v>
      </c>
      <c r="C677" t="n">
        <v>19</v>
      </c>
      <c r="D677" t="n">
        <v>561164</v>
      </c>
      <c r="E677" t="inlineStr">
        <is>
          <t>Невский</t>
        </is>
      </c>
      <c r="F677" t="inlineStr">
        <is>
          <t>Большой Смоленский пр-кт, 6</t>
        </is>
      </c>
      <c r="G677" t="n">
        <v>102</v>
      </c>
      <c r="H677" t="inlineStr">
        <is>
          <t>28 400 000</t>
        </is>
      </c>
      <c r="I677" t="inlineStr"/>
      <c r="J677" t="inlineStr"/>
      <c r="K677" t="inlineStr"/>
      <c r="L677" t="inlineStr"/>
      <c r="M677" t="inlineStr"/>
      <c r="N677" t="inlineStr">
        <is>
          <t>no</t>
        </is>
      </c>
      <c r="O677" t="inlineStr">
        <is>
          <t>none</t>
        </is>
      </c>
      <c r="P677">
        <f>HYPERLINK("https://knru.ru/catalog/bolshoj-smolenskij-pr-d-6-561164/","ссылка")</f>
        <v/>
      </c>
      <c r="Q677" t="inlineStr"/>
      <c r="R677" t="inlineStr">
        <is>
          <t>Нет у нас</t>
        </is>
      </c>
      <c r="S677" t="n">
        <v>0</v>
      </c>
      <c r="T677" t="inlineStr">
        <is>
          <t>Совпадений по улице+дому не найдено</t>
        </is>
      </c>
      <c r="U677" t="n">
        <v>931</v>
      </c>
      <c r="V677" t="n">
        <v>39</v>
      </c>
      <c r="W677" t="n">
        <v>19</v>
      </c>
      <c r="X677" t="n">
        <v>28400000</v>
      </c>
      <c r="Y677" t="inlineStr"/>
      <c r="Z677" t="inlineStr"/>
      <c r="AA677" t="inlineStr">
        <is>
          <t>https://knru.ru/catalog/bolshoj-smolenskij-pr-d-6-561164/</t>
        </is>
      </c>
      <c r="AB677" t="inlineStr">
        <is>
          <t>C</t>
        </is>
      </c>
    </row>
    <row r="678">
      <c r="A678" t="n">
        <v>932</v>
      </c>
      <c r="B678" t="n">
        <v>39</v>
      </c>
      <c r="C678" t="n">
        <v>20</v>
      </c>
      <c r="D678" t="n">
        <v>561163</v>
      </c>
      <c r="E678" t="inlineStr">
        <is>
          <t>Невский</t>
        </is>
      </c>
      <c r="F678" t="inlineStr">
        <is>
          <t>Большой Смоленский пр-кт, 6</t>
        </is>
      </c>
      <c r="G678" t="n">
        <v>58.9</v>
      </c>
      <c r="H678" t="inlineStr">
        <is>
          <t>19 250 000</t>
        </is>
      </c>
      <c r="I678" t="inlineStr"/>
      <c r="J678" t="inlineStr"/>
      <c r="K678" t="inlineStr"/>
      <c r="L678" t="inlineStr"/>
      <c r="M678" t="inlineStr"/>
      <c r="N678" t="inlineStr">
        <is>
          <t>no</t>
        </is>
      </c>
      <c r="O678" t="inlineStr">
        <is>
          <t>none</t>
        </is>
      </c>
      <c r="P678">
        <f>HYPERLINK("https://knru.ru/catalog/bolshoj-smolenskij-pr-d-6-561163/","ссылка")</f>
        <v/>
      </c>
      <c r="Q678" t="inlineStr"/>
      <c r="R678" t="inlineStr">
        <is>
          <t>Нет у нас</t>
        </is>
      </c>
      <c r="S678" t="n">
        <v>0</v>
      </c>
      <c r="T678" t="inlineStr">
        <is>
          <t>Совпадений по улице+дому не найдено</t>
        </is>
      </c>
      <c r="U678" t="n">
        <v>932</v>
      </c>
      <c r="V678" t="n">
        <v>39</v>
      </c>
      <c r="W678" t="n">
        <v>20</v>
      </c>
      <c r="X678" t="n">
        <v>19250000</v>
      </c>
      <c r="Y678" t="inlineStr"/>
      <c r="Z678" t="inlineStr"/>
      <c r="AA678" t="inlineStr">
        <is>
          <t>https://knru.ru/catalog/bolshoj-smolenskij-pr-d-6-561163/</t>
        </is>
      </c>
      <c r="AB678" t="inlineStr">
        <is>
          <t>C</t>
        </is>
      </c>
    </row>
    <row r="679">
      <c r="A679" t="n">
        <v>933</v>
      </c>
      <c r="B679" t="n">
        <v>39</v>
      </c>
      <c r="C679" t="n">
        <v>21</v>
      </c>
      <c r="D679" t="n">
        <v>561162</v>
      </c>
      <c r="E679" t="inlineStr">
        <is>
          <t>Невский</t>
        </is>
      </c>
      <c r="F679" t="inlineStr">
        <is>
          <t>Большой Смоленский пр-кт, 6</t>
        </is>
      </c>
      <c r="G679" t="n">
        <v>82.09999999999999</v>
      </c>
      <c r="H679" t="inlineStr">
        <is>
          <t>22 900 000</t>
        </is>
      </c>
      <c r="I679" t="inlineStr"/>
      <c r="J679" t="inlineStr"/>
      <c r="K679" t="inlineStr"/>
      <c r="L679" t="inlineStr"/>
      <c r="M679" t="inlineStr"/>
      <c r="N679" t="inlineStr">
        <is>
          <t>no</t>
        </is>
      </c>
      <c r="O679" t="inlineStr">
        <is>
          <t>none</t>
        </is>
      </c>
      <c r="P679">
        <f>HYPERLINK("https://knru.ru/catalog/bolshoj-smolenskij-pr-d-6-561162/","ссылка")</f>
        <v/>
      </c>
      <c r="Q679" t="inlineStr"/>
      <c r="R679" t="inlineStr">
        <is>
          <t>Нет у нас</t>
        </is>
      </c>
      <c r="S679" t="n">
        <v>0</v>
      </c>
      <c r="T679" t="inlineStr">
        <is>
          <t>Совпадений по улице+дому не найдено</t>
        </is>
      </c>
      <c r="U679" t="n">
        <v>933</v>
      </c>
      <c r="V679" t="n">
        <v>39</v>
      </c>
      <c r="W679" t="n">
        <v>21</v>
      </c>
      <c r="X679" t="n">
        <v>22900000</v>
      </c>
      <c r="Y679" t="inlineStr"/>
      <c r="Z679" t="inlineStr"/>
      <c r="AA679" t="inlineStr">
        <is>
          <t>https://knru.ru/catalog/bolshoj-smolenskij-pr-d-6-561162/</t>
        </is>
      </c>
      <c r="AB679" t="inlineStr">
        <is>
          <t>C</t>
        </is>
      </c>
    </row>
    <row r="680">
      <c r="A680" t="n">
        <v>934</v>
      </c>
      <c r="B680" t="n">
        <v>39</v>
      </c>
      <c r="C680" t="n">
        <v>22</v>
      </c>
      <c r="D680" t="n">
        <v>561161</v>
      </c>
      <c r="E680" t="inlineStr">
        <is>
          <t>Невский</t>
        </is>
      </c>
      <c r="F680" t="inlineStr">
        <is>
          <t>Большой Смоленский пр-кт, 6</t>
        </is>
      </c>
      <c r="G680" t="n">
        <v>52.2</v>
      </c>
      <c r="H680" t="inlineStr">
        <is>
          <t>15 000 000</t>
        </is>
      </c>
      <c r="I680" t="inlineStr"/>
      <c r="J680" t="inlineStr"/>
      <c r="K680" t="inlineStr"/>
      <c r="L680" t="inlineStr"/>
      <c r="M680" t="inlineStr"/>
      <c r="N680" t="inlineStr">
        <is>
          <t>no</t>
        </is>
      </c>
      <c r="O680" t="inlineStr">
        <is>
          <t>none</t>
        </is>
      </c>
      <c r="P680">
        <f>HYPERLINK("https://knru.ru/catalog/bolshoj-smolenskij-pr-d-6-561161/","ссылка")</f>
        <v/>
      </c>
      <c r="Q680" t="inlineStr"/>
      <c r="R680" t="inlineStr">
        <is>
          <t>Нет у нас</t>
        </is>
      </c>
      <c r="S680" t="n">
        <v>0</v>
      </c>
      <c r="T680" t="inlineStr">
        <is>
          <t>Совпадений по улице+дому не найдено</t>
        </is>
      </c>
      <c r="U680" t="n">
        <v>934</v>
      </c>
      <c r="V680" t="n">
        <v>39</v>
      </c>
      <c r="W680" t="n">
        <v>22</v>
      </c>
      <c r="X680" t="n">
        <v>15000000</v>
      </c>
      <c r="Y680" t="inlineStr"/>
      <c r="Z680" t="inlineStr"/>
      <c r="AA680" t="inlineStr">
        <is>
          <t>https://knru.ru/catalog/bolshoj-smolenskij-pr-d-6-561161/</t>
        </is>
      </c>
      <c r="AB680" t="inlineStr">
        <is>
          <t>C</t>
        </is>
      </c>
    </row>
    <row r="681">
      <c r="A681" t="n">
        <v>935</v>
      </c>
      <c r="B681" t="n">
        <v>39</v>
      </c>
      <c r="C681" t="n">
        <v>23</v>
      </c>
      <c r="D681" t="n">
        <v>561160</v>
      </c>
      <c r="E681" t="inlineStr">
        <is>
          <t>Невский</t>
        </is>
      </c>
      <c r="F681" t="inlineStr">
        <is>
          <t>Большой Смоленский пр-кт, 6</t>
        </is>
      </c>
      <c r="G681" t="n">
        <v>29.8</v>
      </c>
      <c r="H681" t="inlineStr">
        <is>
          <t>8 900 000</t>
        </is>
      </c>
      <c r="I681" t="inlineStr"/>
      <c r="J681" t="inlineStr"/>
      <c r="K681" t="inlineStr"/>
      <c r="L681" t="inlineStr"/>
      <c r="M681" t="inlineStr"/>
      <c r="N681" t="inlineStr">
        <is>
          <t>no</t>
        </is>
      </c>
      <c r="O681" t="inlineStr">
        <is>
          <t>none</t>
        </is>
      </c>
      <c r="P681">
        <f>HYPERLINK("https://knru.ru/catalog/bolshoj-smolenskij-pr-d-6-561160/","ссылка")</f>
        <v/>
      </c>
      <c r="Q681" t="inlineStr"/>
      <c r="R681" t="inlineStr">
        <is>
          <t>Нет у нас</t>
        </is>
      </c>
      <c r="S681" t="n">
        <v>0</v>
      </c>
      <c r="T681" t="inlineStr">
        <is>
          <t>Совпадений по улице+дому не найдено</t>
        </is>
      </c>
      <c r="U681" t="n">
        <v>935</v>
      </c>
      <c r="V681" t="n">
        <v>39</v>
      </c>
      <c r="W681" t="n">
        <v>23</v>
      </c>
      <c r="X681" t="n">
        <v>8900000</v>
      </c>
      <c r="Y681" t="inlineStr"/>
      <c r="Z681" t="inlineStr"/>
      <c r="AA681" t="inlineStr">
        <is>
          <t>https://knru.ru/catalog/bolshoj-smolenskij-pr-d-6-561160/</t>
        </is>
      </c>
      <c r="AB681" t="inlineStr">
        <is>
          <t>C</t>
        </is>
      </c>
    </row>
    <row r="682">
      <c r="A682" t="n">
        <v>936</v>
      </c>
      <c r="B682" t="n">
        <v>39</v>
      </c>
      <c r="C682" t="n">
        <v>24</v>
      </c>
      <c r="D682" t="n">
        <v>561159</v>
      </c>
      <c r="E682" t="inlineStr">
        <is>
          <t>Невский</t>
        </is>
      </c>
      <c r="F682" t="inlineStr">
        <is>
          <t>Большой Смоленский пр-кт, 6</t>
        </is>
      </c>
      <c r="G682" t="n">
        <v>51</v>
      </c>
      <c r="H682" t="inlineStr">
        <is>
          <t>14 650 000</t>
        </is>
      </c>
      <c r="I682" t="inlineStr"/>
      <c r="J682" t="inlineStr"/>
      <c r="K682" t="inlineStr"/>
      <c r="L682" t="inlineStr"/>
      <c r="M682" t="inlineStr"/>
      <c r="N682" t="inlineStr">
        <is>
          <t>no</t>
        </is>
      </c>
      <c r="O682" t="inlineStr">
        <is>
          <t>none</t>
        </is>
      </c>
      <c r="P682">
        <f>HYPERLINK("https://knru.ru/catalog/bolshoj-smolenskij-pr-d-6-561159/","ссылка")</f>
        <v/>
      </c>
      <c r="Q682" t="inlineStr"/>
      <c r="R682" t="inlineStr">
        <is>
          <t>Нет у нас</t>
        </is>
      </c>
      <c r="S682" t="n">
        <v>0</v>
      </c>
      <c r="T682" t="inlineStr">
        <is>
          <t>Совпадений по улице+дому не найдено</t>
        </is>
      </c>
      <c r="U682" t="n">
        <v>936</v>
      </c>
      <c r="V682" t="n">
        <v>39</v>
      </c>
      <c r="W682" t="n">
        <v>24</v>
      </c>
      <c r="X682" t="n">
        <v>14650000</v>
      </c>
      <c r="Y682" t="inlineStr"/>
      <c r="Z682" t="inlineStr"/>
      <c r="AA682" t="inlineStr">
        <is>
          <t>https://knru.ru/catalog/bolshoj-smolenskij-pr-d-6-561159/</t>
        </is>
      </c>
      <c r="AB682" t="inlineStr">
        <is>
          <t>C</t>
        </is>
      </c>
    </row>
    <row r="683">
      <c r="A683" t="n">
        <v>937</v>
      </c>
      <c r="B683" t="n">
        <v>40</v>
      </c>
      <c r="C683" t="n">
        <v>1</v>
      </c>
      <c r="D683" t="n">
        <v>561157</v>
      </c>
      <c r="E683" t="inlineStr">
        <is>
          <t>Невский</t>
        </is>
      </c>
      <c r="F683" t="inlineStr">
        <is>
          <t>Большой Смоленский пр-кт, 6</t>
        </is>
      </c>
      <c r="G683" t="n">
        <v>39.3</v>
      </c>
      <c r="H683" t="inlineStr">
        <is>
          <t>11 700 000</t>
        </is>
      </c>
      <c r="I683" t="inlineStr"/>
      <c r="J683" t="inlineStr"/>
      <c r="K683" t="inlineStr"/>
      <c r="L683" t="inlineStr"/>
      <c r="M683" t="inlineStr"/>
      <c r="N683" t="inlineStr">
        <is>
          <t>no</t>
        </is>
      </c>
      <c r="O683" t="inlineStr">
        <is>
          <t>none</t>
        </is>
      </c>
      <c r="P683">
        <f>HYPERLINK("https://knru.ru/catalog/bolshoj-smolenskij-pr-d-6-561157/","ссылка")</f>
        <v/>
      </c>
      <c r="Q683" t="inlineStr"/>
      <c r="R683" t="inlineStr">
        <is>
          <t>Нет у нас</t>
        </is>
      </c>
      <c r="S683" t="n">
        <v>0</v>
      </c>
      <c r="T683" t="inlineStr">
        <is>
          <t>Совпадений по улице+дому не найдено</t>
        </is>
      </c>
      <c r="U683" t="n">
        <v>937</v>
      </c>
      <c r="V683" t="n">
        <v>40</v>
      </c>
      <c r="W683" t="n">
        <v>1</v>
      </c>
      <c r="X683" t="n">
        <v>11700000</v>
      </c>
      <c r="Y683" t="inlineStr"/>
      <c r="Z683" t="inlineStr"/>
      <c r="AA683" t="inlineStr">
        <is>
          <t>https://knru.ru/catalog/bolshoj-smolenskij-pr-d-6-561157/</t>
        </is>
      </c>
      <c r="AB683" t="inlineStr">
        <is>
          <t>C</t>
        </is>
      </c>
    </row>
    <row r="684">
      <c r="A684" t="n">
        <v>938</v>
      </c>
      <c r="B684" t="n">
        <v>40</v>
      </c>
      <c r="C684" t="n">
        <v>2</v>
      </c>
      <c r="D684" t="n">
        <v>6</v>
      </c>
      <c r="E684" t="inlineStr">
        <is>
          <t>Невский</t>
        </is>
      </c>
      <c r="F684" t="inlineStr">
        <is>
          <t>Большой Смоленский пр-кт, 6</t>
        </is>
      </c>
      <c r="G684" t="n">
        <v>98.90000000000001</v>
      </c>
      <c r="H684" t="inlineStr">
        <is>
          <t>24 200 000</t>
        </is>
      </c>
      <c r="I684" t="inlineStr"/>
      <c r="J684" t="inlineStr"/>
      <c r="K684" t="inlineStr"/>
      <c r="L684" t="inlineStr"/>
      <c r="M684" t="inlineStr"/>
      <c r="N684" t="inlineStr">
        <is>
          <t>no</t>
        </is>
      </c>
      <c r="O684" t="inlineStr">
        <is>
          <t>none</t>
        </is>
      </c>
      <c r="P684">
        <f>HYPERLINK("https://knru.ru/catalog/bolshoj-smolenskij-pr-d-6/","ссылка")</f>
        <v/>
      </c>
      <c r="Q684" t="inlineStr"/>
      <c r="R684" t="inlineStr">
        <is>
          <t>Нет у нас</t>
        </is>
      </c>
      <c r="S684" t="n">
        <v>0</v>
      </c>
      <c r="T684" t="inlineStr">
        <is>
          <t>Совпадений по улице+дому не найдено</t>
        </is>
      </c>
      <c r="U684" t="n">
        <v>938</v>
      </c>
      <c r="V684" t="n">
        <v>40</v>
      </c>
      <c r="W684" t="n">
        <v>2</v>
      </c>
      <c r="X684" t="n">
        <v>24200000</v>
      </c>
      <c r="Y684" t="inlineStr"/>
      <c r="Z684" t="inlineStr"/>
      <c r="AA684" t="inlineStr">
        <is>
          <t>https://knru.ru/catalog/bolshoj-smolenskij-pr-d-6/</t>
        </is>
      </c>
      <c r="AB684" t="inlineStr">
        <is>
          <t>C</t>
        </is>
      </c>
    </row>
    <row r="685">
      <c r="A685" t="n">
        <v>939</v>
      </c>
      <c r="B685" t="n">
        <v>40</v>
      </c>
      <c r="C685" t="n">
        <v>3</v>
      </c>
      <c r="D685" t="n">
        <v>8</v>
      </c>
      <c r="E685" t="inlineStr">
        <is>
          <t>Центральный</t>
        </is>
      </c>
      <c r="F685" t="inlineStr">
        <is>
          <t>Константина Заслонова ул, 8 Б</t>
        </is>
      </c>
      <c r="G685" t="n">
        <v>92.5</v>
      </c>
      <c r="H685" t="inlineStr">
        <is>
          <t>21 275 000</t>
        </is>
      </c>
      <c r="I685" t="inlineStr"/>
      <c r="J685" t="inlineStr"/>
      <c r="K685" t="inlineStr"/>
      <c r="L685" t="inlineStr"/>
      <c r="M685" t="inlineStr"/>
      <c r="N685" t="inlineStr">
        <is>
          <t>no</t>
        </is>
      </c>
      <c r="O685" t="inlineStr">
        <is>
          <t>none</t>
        </is>
      </c>
      <c r="P685">
        <f>HYPERLINK("https://knru.ru/catalog/spb-ul-konstantina-zaslonova-8/","ссылка")</f>
        <v/>
      </c>
      <c r="Q685" t="inlineStr"/>
      <c r="R685" t="inlineStr">
        <is>
          <t>Нет у нас</t>
        </is>
      </c>
      <c r="S685" t="n">
        <v>0</v>
      </c>
      <c r="T685" t="inlineStr">
        <is>
          <t>Совпадений по улице+дому не найдено</t>
        </is>
      </c>
      <c r="U685" t="n">
        <v>939</v>
      </c>
      <c r="V685" t="n">
        <v>40</v>
      </c>
      <c r="W685" t="n">
        <v>3</v>
      </c>
      <c r="X685" t="n">
        <v>21275000</v>
      </c>
      <c r="Y685" t="inlineStr"/>
      <c r="Z685" t="inlineStr"/>
      <c r="AA685" t="inlineStr">
        <is>
          <t>https://knru.ru/catalog/spb-ul-konstantina-zaslonova-8/</t>
        </is>
      </c>
      <c r="AB685" t="inlineStr">
        <is>
          <t>C</t>
        </is>
      </c>
    </row>
    <row r="686">
      <c r="A686" t="n">
        <v>940</v>
      </c>
      <c r="B686" t="n">
        <v>40</v>
      </c>
      <c r="C686" t="n">
        <v>4</v>
      </c>
      <c r="D686" t="n">
        <v>561375</v>
      </c>
      <c r="E686" t="inlineStr">
        <is>
          <t>Калининский</t>
        </is>
      </c>
      <c r="F686" t="inlineStr">
        <is>
          <t>Пискарёвский пр-кт, 159к8 А</t>
        </is>
      </c>
      <c r="G686" t="n">
        <v>12.9</v>
      </c>
      <c r="H686" t="inlineStr">
        <is>
          <t>1 800 000</t>
        </is>
      </c>
      <c r="I686" t="inlineStr"/>
      <c r="J686" t="inlineStr"/>
      <c r="K686" t="inlineStr"/>
      <c r="L686" t="inlineStr"/>
      <c r="M686" t="inlineStr"/>
      <c r="N686" t="inlineStr">
        <is>
          <t>no</t>
        </is>
      </c>
      <c r="O686" t="inlineStr">
        <is>
          <t>none</t>
        </is>
      </c>
      <c r="P686">
        <f>HYPERLINK("https://knru.ru/catalog/piskarevskij-prospekt-d-159k8-561375/","ссылка")</f>
        <v/>
      </c>
      <c r="Q686" t="inlineStr"/>
      <c r="R686" t="inlineStr">
        <is>
          <t>Нет у нас</t>
        </is>
      </c>
      <c r="S686" t="n">
        <v>0</v>
      </c>
      <c r="T686" t="inlineStr">
        <is>
          <t>Совпадений по улице+дому не найдено</t>
        </is>
      </c>
      <c r="U686" t="n">
        <v>940</v>
      </c>
      <c r="V686" t="n">
        <v>40</v>
      </c>
      <c r="W686" t="n">
        <v>4</v>
      </c>
      <c r="X686" t="n">
        <v>1800000</v>
      </c>
      <c r="Y686" t="inlineStr"/>
      <c r="Z686" t="inlineStr"/>
      <c r="AA686" t="inlineStr">
        <is>
          <t>https://knru.ru/catalog/piskarevskij-prospekt-d-159k8-561375/</t>
        </is>
      </c>
      <c r="AB686" t="inlineStr">
        <is>
          <t>C</t>
        </is>
      </c>
    </row>
    <row r="687">
      <c r="A687" t="n">
        <v>941</v>
      </c>
      <c r="B687" t="n">
        <v>40</v>
      </c>
      <c r="C687" t="n">
        <v>5</v>
      </c>
      <c r="D687" t="n">
        <v>561372</v>
      </c>
      <c r="E687" t="inlineStr">
        <is>
          <t>Калининский</t>
        </is>
      </c>
      <c r="F687" t="inlineStr">
        <is>
          <t>Пискарёвский пр-кт, 159к8 А</t>
        </is>
      </c>
      <c r="G687" t="n">
        <v>12.8</v>
      </c>
      <c r="H687" t="inlineStr">
        <is>
          <t>6 900 000</t>
        </is>
      </c>
      <c r="I687" t="inlineStr"/>
      <c r="J687" t="inlineStr"/>
      <c r="K687" t="inlineStr"/>
      <c r="L687" t="inlineStr"/>
      <c r="M687" t="inlineStr"/>
      <c r="N687" t="inlineStr">
        <is>
          <t>no</t>
        </is>
      </c>
      <c r="O687" t="inlineStr">
        <is>
          <t>none</t>
        </is>
      </c>
      <c r="P687">
        <f>HYPERLINK("https://knru.ru/catalog/piskarevskij-prospekt-d-159k8-561372/","ссылка")</f>
        <v/>
      </c>
      <c r="Q687" t="inlineStr"/>
      <c r="R687" t="inlineStr">
        <is>
          <t>Нет у нас</t>
        </is>
      </c>
      <c r="S687" t="n">
        <v>0</v>
      </c>
      <c r="T687" t="inlineStr">
        <is>
          <t>Совпадений по улице+дому не найдено</t>
        </is>
      </c>
      <c r="U687" t="n">
        <v>941</v>
      </c>
      <c r="V687" t="n">
        <v>40</v>
      </c>
      <c r="W687" t="n">
        <v>5</v>
      </c>
      <c r="X687" t="n">
        <v>6900000</v>
      </c>
      <c r="Y687" t="inlineStr"/>
      <c r="Z687" t="inlineStr"/>
      <c r="AA687" t="inlineStr">
        <is>
          <t>https://knru.ru/catalog/piskarevskij-prospekt-d-159k8-561372/</t>
        </is>
      </c>
      <c r="AB687" t="inlineStr">
        <is>
          <t>C</t>
        </is>
      </c>
    </row>
    <row r="688">
      <c r="A688" t="n">
        <v>942</v>
      </c>
      <c r="B688" t="n">
        <v>40</v>
      </c>
      <c r="C688" t="n">
        <v>6</v>
      </c>
      <c r="D688" t="n">
        <v>561371</v>
      </c>
      <c r="E688" t="inlineStr">
        <is>
          <t>Калининский</t>
        </is>
      </c>
      <c r="F688" t="inlineStr">
        <is>
          <t>Пискарёвский пр-кт, 159к8 А</t>
        </is>
      </c>
      <c r="G688" t="n">
        <v>9.300000000000001</v>
      </c>
      <c r="H688" t="inlineStr">
        <is>
          <t>5 980 000</t>
        </is>
      </c>
      <c r="I688" t="inlineStr"/>
      <c r="J688" t="inlineStr"/>
      <c r="K688" t="inlineStr"/>
      <c r="L688" t="inlineStr"/>
      <c r="M688" t="inlineStr"/>
      <c r="N688" t="inlineStr">
        <is>
          <t>no</t>
        </is>
      </c>
      <c r="O688" t="inlineStr">
        <is>
          <t>none</t>
        </is>
      </c>
      <c r="P688">
        <f>HYPERLINK("https://knru.ru/catalog/piskarevskij-prospekt-d-159k8-561371/","ссылка")</f>
        <v/>
      </c>
      <c r="Q688" t="inlineStr"/>
      <c r="R688" t="inlineStr">
        <is>
          <t>Нет у нас</t>
        </is>
      </c>
      <c r="S688" t="n">
        <v>0</v>
      </c>
      <c r="T688" t="inlineStr">
        <is>
          <t>Совпадений по улице+дому не найдено</t>
        </is>
      </c>
      <c r="U688" t="n">
        <v>942</v>
      </c>
      <c r="V688" t="n">
        <v>40</v>
      </c>
      <c r="W688" t="n">
        <v>6</v>
      </c>
      <c r="X688" t="n">
        <v>5980000</v>
      </c>
      <c r="Y688" t="inlineStr"/>
      <c r="Z688" t="inlineStr"/>
      <c r="AA688" t="inlineStr">
        <is>
          <t>https://knru.ru/catalog/piskarevskij-prospekt-d-159k8-561371/</t>
        </is>
      </c>
      <c r="AB688" t="inlineStr">
        <is>
          <t>C</t>
        </is>
      </c>
    </row>
    <row r="689">
      <c r="A689" t="n">
        <v>943</v>
      </c>
      <c r="B689" t="n">
        <v>40</v>
      </c>
      <c r="C689" t="n">
        <v>7</v>
      </c>
      <c r="D689" t="n">
        <v>561369</v>
      </c>
      <c r="E689" t="inlineStr">
        <is>
          <t>Калининский</t>
        </is>
      </c>
      <c r="F689" t="inlineStr">
        <is>
          <t>Пискарёвский пр-кт, 159к8 А</t>
        </is>
      </c>
      <c r="G689" t="n">
        <v>65.2</v>
      </c>
      <c r="H689" t="inlineStr">
        <is>
          <t>11 125 000</t>
        </is>
      </c>
      <c r="I689" t="inlineStr"/>
      <c r="J689" t="inlineStr"/>
      <c r="K689" t="inlineStr"/>
      <c r="L689" t="inlineStr"/>
      <c r="M689" t="inlineStr"/>
      <c r="N689" t="inlineStr">
        <is>
          <t>no</t>
        </is>
      </c>
      <c r="O689" t="inlineStr">
        <is>
          <t>none</t>
        </is>
      </c>
      <c r="P689">
        <f>HYPERLINK("https://knru.ru/catalog/piskarevskij-prospekt-d-159k8-561369/","ссылка")</f>
        <v/>
      </c>
      <c r="Q689" t="inlineStr"/>
      <c r="R689" t="inlineStr">
        <is>
          <t>Нет у нас</t>
        </is>
      </c>
      <c r="S689" t="n">
        <v>0</v>
      </c>
      <c r="T689" t="inlineStr">
        <is>
          <t>Совпадений по улице+дому не найдено</t>
        </is>
      </c>
      <c r="U689" t="n">
        <v>943</v>
      </c>
      <c r="V689" t="n">
        <v>40</v>
      </c>
      <c r="W689" t="n">
        <v>7</v>
      </c>
      <c r="X689" t="n">
        <v>11125000</v>
      </c>
      <c r="Y689" t="inlineStr"/>
      <c r="Z689" t="inlineStr"/>
      <c r="AA689" t="inlineStr">
        <is>
          <t>https://knru.ru/catalog/piskarevskij-prospekt-d-159k8-561369/</t>
        </is>
      </c>
      <c r="AB689" t="inlineStr">
        <is>
          <t>C</t>
        </is>
      </c>
    </row>
    <row r="690">
      <c r="A690" t="n">
        <v>944</v>
      </c>
      <c r="B690" t="n">
        <v>40</v>
      </c>
      <c r="C690" t="n">
        <v>8</v>
      </c>
      <c r="D690" t="n">
        <v>32</v>
      </c>
      <c r="E690" t="inlineStr">
        <is>
          <t>Невский</t>
        </is>
      </c>
      <c r="F690" t="inlineStr">
        <is>
          <t>Народная ул, 32 Р</t>
        </is>
      </c>
      <c r="G690" t="n">
        <v>899</v>
      </c>
      <c r="H690" t="inlineStr">
        <is>
          <t>242 550 000</t>
        </is>
      </c>
      <c r="I690" t="inlineStr"/>
      <c r="J690" t="inlineStr"/>
      <c r="K690" t="inlineStr"/>
      <c r="L690" t="inlineStr"/>
      <c r="M690" t="inlineStr"/>
      <c r="N690" t="inlineStr">
        <is>
          <t>no</t>
        </is>
      </c>
      <c r="O690" t="inlineStr">
        <is>
          <t>none</t>
        </is>
      </c>
      <c r="P690">
        <f>HYPERLINK("https://knru.ru/catalog/ul-narodnaya-d-32/","ссылка")</f>
        <v/>
      </c>
      <c r="Q690" t="inlineStr"/>
      <c r="R690" t="inlineStr">
        <is>
          <t>Нет у нас</t>
        </is>
      </c>
      <c r="S690" t="n">
        <v>0</v>
      </c>
      <c r="T690" t="inlineStr">
        <is>
          <t>Совпадений по улице+дому не найдено</t>
        </is>
      </c>
      <c r="U690" t="n">
        <v>944</v>
      </c>
      <c r="V690" t="n">
        <v>40</v>
      </c>
      <c r="W690" t="n">
        <v>8</v>
      </c>
      <c r="X690" t="n">
        <v>242550000</v>
      </c>
      <c r="Y690" t="inlineStr"/>
      <c r="Z690" t="inlineStr"/>
      <c r="AA690" t="inlineStr">
        <is>
          <t>https://knru.ru/catalog/ul-narodnaya-d-32/</t>
        </is>
      </c>
      <c r="AB690" t="inlineStr">
        <is>
          <t>C</t>
        </is>
      </c>
    </row>
    <row r="691">
      <c r="A691" t="n">
        <v>945</v>
      </c>
      <c r="B691" t="n">
        <v>40</v>
      </c>
      <c r="C691" t="n">
        <v>9</v>
      </c>
      <c r="D691" t="n">
        <v>4</v>
      </c>
      <c r="E691" t="inlineStr">
        <is>
          <t>Василеостровский</t>
        </is>
      </c>
      <c r="F691" t="inlineStr">
        <is>
          <t>Головнина б-р, 4</t>
        </is>
      </c>
      <c r="G691" t="n">
        <v>3296</v>
      </c>
      <c r="H691" t="inlineStr">
        <is>
          <t>997 865 000</t>
        </is>
      </c>
      <c r="I691" t="inlineStr"/>
      <c r="J691" t="inlineStr"/>
      <c r="K691" t="inlineStr"/>
      <c r="L691" t="inlineStr"/>
      <c r="M691" t="inlineStr"/>
      <c r="N691" t="inlineStr">
        <is>
          <t>no</t>
        </is>
      </c>
      <c r="O691" t="inlineStr">
        <is>
          <t>none</t>
        </is>
      </c>
      <c r="P691">
        <f>HYPERLINK("https://knru.ru/catalog/bulvar-golovnina-d-4/","ссылка")</f>
        <v/>
      </c>
      <c r="Q691" t="inlineStr"/>
      <c r="R691" t="inlineStr">
        <is>
          <t>Нет у нас</t>
        </is>
      </c>
      <c r="S691" t="n">
        <v>0</v>
      </c>
      <c r="T691" t="inlineStr">
        <is>
          <t>Совпадений по улице+дому не найдено</t>
        </is>
      </c>
      <c r="U691" t="n">
        <v>945</v>
      </c>
      <c r="V691" t="n">
        <v>40</v>
      </c>
      <c r="W691" t="n">
        <v>9</v>
      </c>
      <c r="X691" t="n">
        <v>997865000</v>
      </c>
      <c r="Y691" t="inlineStr"/>
      <c r="Z691" t="inlineStr"/>
      <c r="AA691" t="inlineStr">
        <is>
          <t>https://knru.ru/catalog/bulvar-golovnina-d-4/</t>
        </is>
      </c>
      <c r="AB691" t="inlineStr">
        <is>
          <t>C</t>
        </is>
      </c>
    </row>
    <row r="692">
      <c r="A692" t="n">
        <v>946</v>
      </c>
      <c r="B692" t="n">
        <v>40</v>
      </c>
      <c r="C692" t="n">
        <v>10</v>
      </c>
      <c r="D692" t="n">
        <v>561043</v>
      </c>
      <c r="E692" t="inlineStr">
        <is>
          <t>Василеостровский</t>
        </is>
      </c>
      <c r="F692" t="inlineStr">
        <is>
          <t>Вилькицкий б-р, 7стр1</t>
        </is>
      </c>
      <c r="G692" t="n">
        <v>361.4</v>
      </c>
      <c r="H692" t="inlineStr">
        <is>
          <t>97 578 000</t>
        </is>
      </c>
      <c r="I692" t="inlineStr"/>
      <c r="J692" t="inlineStr"/>
      <c r="K692" t="inlineStr"/>
      <c r="L692" t="inlineStr"/>
      <c r="M692" t="inlineStr"/>
      <c r="N692" t="inlineStr">
        <is>
          <t>no</t>
        </is>
      </c>
      <c r="O692" t="inlineStr">
        <is>
          <t>none</t>
        </is>
      </c>
      <c r="P692">
        <f>HYPERLINK("https://knru.ru/catalog/vilkitskij-b-r-d-7-561043/","ссылка")</f>
        <v/>
      </c>
      <c r="Q692" t="inlineStr"/>
      <c r="R692" t="inlineStr">
        <is>
          <t>Нет у нас</t>
        </is>
      </c>
      <c r="S692" t="n">
        <v>0</v>
      </c>
      <c r="T692" t="inlineStr">
        <is>
          <t>Совпадений по улице+дому не найдено</t>
        </is>
      </c>
      <c r="U692" t="n">
        <v>946</v>
      </c>
      <c r="V692" t="n">
        <v>40</v>
      </c>
      <c r="W692" t="n">
        <v>10</v>
      </c>
      <c r="X692" t="n">
        <v>97578000</v>
      </c>
      <c r="Y692" t="inlineStr"/>
      <c r="Z692" t="inlineStr"/>
      <c r="AA692" t="inlineStr">
        <is>
          <t>https://knru.ru/catalog/vilkitskij-b-r-d-7-561043/</t>
        </is>
      </c>
      <c r="AB692" t="inlineStr">
        <is>
          <t>C</t>
        </is>
      </c>
    </row>
    <row r="693">
      <c r="A693" t="n">
        <v>947</v>
      </c>
      <c r="B693" t="n">
        <v>40</v>
      </c>
      <c r="C693" t="n">
        <v>11</v>
      </c>
      <c r="D693" t="n">
        <v>561042</v>
      </c>
      <c r="E693" t="inlineStr">
        <is>
          <t>Василеостровский</t>
        </is>
      </c>
      <c r="F693" t="inlineStr">
        <is>
          <t>Вилькицкий б-р, 7стр1</t>
        </is>
      </c>
      <c r="G693" t="n">
        <v>173.5</v>
      </c>
      <c r="H693" t="inlineStr">
        <is>
          <t>46 845 000</t>
        </is>
      </c>
      <c r="I693" t="inlineStr"/>
      <c r="J693" t="inlineStr"/>
      <c r="K693" t="inlineStr"/>
      <c r="L693" t="inlineStr"/>
      <c r="M693" t="inlineStr"/>
      <c r="N693" t="inlineStr">
        <is>
          <t>no</t>
        </is>
      </c>
      <c r="O693" t="inlineStr">
        <is>
          <t>none</t>
        </is>
      </c>
      <c r="P693">
        <f>HYPERLINK("https://knru.ru/catalog/vilkitskij-b-r-d-7-561042/","ссылка")</f>
        <v/>
      </c>
      <c r="Q693" t="inlineStr"/>
      <c r="R693" t="inlineStr">
        <is>
          <t>Нет у нас</t>
        </is>
      </c>
      <c r="S693" t="n">
        <v>0</v>
      </c>
      <c r="T693" t="inlineStr">
        <is>
          <t>Совпадений по улице+дому не найдено</t>
        </is>
      </c>
      <c r="U693" t="n">
        <v>947</v>
      </c>
      <c r="V693" t="n">
        <v>40</v>
      </c>
      <c r="W693" t="n">
        <v>11</v>
      </c>
      <c r="X693" t="n">
        <v>46845000</v>
      </c>
      <c r="Y693" t="inlineStr"/>
      <c r="Z693" t="inlineStr"/>
      <c r="AA693" t="inlineStr">
        <is>
          <t>https://knru.ru/catalog/vilkitskij-b-r-d-7-561042/</t>
        </is>
      </c>
      <c r="AB693" t="inlineStr">
        <is>
          <t>C</t>
        </is>
      </c>
    </row>
    <row r="694">
      <c r="A694" t="n">
        <v>948</v>
      </c>
      <c r="B694" t="n">
        <v>40</v>
      </c>
      <c r="C694" t="n">
        <v>12</v>
      </c>
      <c r="D694" t="n">
        <v>7</v>
      </c>
      <c r="E694" t="inlineStr">
        <is>
          <t>Василеостровский</t>
        </is>
      </c>
      <c r="F694" t="inlineStr">
        <is>
          <t>Вилькицкий б-р, 7стр1</t>
        </is>
      </c>
      <c r="G694" t="n">
        <v>84</v>
      </c>
      <c r="H694" t="inlineStr">
        <is>
          <t>23 520 000</t>
        </is>
      </c>
      <c r="I694" t="inlineStr"/>
      <c r="J694" t="inlineStr"/>
      <c r="K694" t="inlineStr"/>
      <c r="L694" t="inlineStr"/>
      <c r="M694" t="inlineStr"/>
      <c r="N694" t="inlineStr">
        <is>
          <t>no</t>
        </is>
      </c>
      <c r="O694" t="inlineStr">
        <is>
          <t>none</t>
        </is>
      </c>
      <c r="P694">
        <f>HYPERLINK("https://knru.ru/catalog/vilkitskij-b-r-d-7/","ссылка")</f>
        <v/>
      </c>
      <c r="Q694" t="inlineStr"/>
      <c r="R694" t="inlineStr">
        <is>
          <t>Нет у нас</t>
        </is>
      </c>
      <c r="S694" t="n">
        <v>0</v>
      </c>
      <c r="T694" t="inlineStr">
        <is>
          <t>Совпадений по улице+дому не найдено</t>
        </is>
      </c>
      <c r="U694" t="n">
        <v>948</v>
      </c>
      <c r="V694" t="n">
        <v>40</v>
      </c>
      <c r="W694" t="n">
        <v>12</v>
      </c>
      <c r="X694" t="n">
        <v>23520000</v>
      </c>
      <c r="Y694" t="inlineStr"/>
      <c r="Z694" t="inlineStr"/>
      <c r="AA694" t="inlineStr">
        <is>
          <t>https://knru.ru/catalog/vilkitskij-b-r-d-7/</t>
        </is>
      </c>
      <c r="AB694" t="inlineStr">
        <is>
          <t>C</t>
        </is>
      </c>
    </row>
    <row r="695">
      <c r="A695" t="n">
        <v>949</v>
      </c>
      <c r="B695" t="n">
        <v>40</v>
      </c>
      <c r="C695" t="n">
        <v>13</v>
      </c>
      <c r="D695" t="n">
        <v>560998</v>
      </c>
      <c r="E695" t="inlineStr">
        <is>
          <t>Приморский</t>
        </is>
      </c>
      <c r="F695" t="inlineStr">
        <is>
          <t>Крузенштерна пр-кт, 4</t>
        </is>
      </c>
      <c r="G695" t="n">
        <v>96.5</v>
      </c>
      <c r="H695" t="inlineStr">
        <is>
          <t>30 796 260</t>
        </is>
      </c>
      <c r="I695" t="inlineStr"/>
      <c r="J695" t="inlineStr"/>
      <c r="K695" t="inlineStr"/>
      <c r="L695" t="inlineStr"/>
      <c r="M695" t="inlineStr"/>
      <c r="N695" t="inlineStr">
        <is>
          <t>no</t>
        </is>
      </c>
      <c r="O695" t="inlineStr">
        <is>
          <t>none</t>
        </is>
      </c>
      <c r="P695">
        <f>HYPERLINK("https://knru.ru/catalog/pr-kruzenshterna-d-4-560998/","ссылка")</f>
        <v/>
      </c>
      <c r="Q695" t="inlineStr"/>
      <c r="R695" t="inlineStr">
        <is>
          <t>Нет у нас</t>
        </is>
      </c>
      <c r="S695" t="n">
        <v>0</v>
      </c>
      <c r="T695" t="inlineStr">
        <is>
          <t>Совпадений по улице+дому не найдено</t>
        </is>
      </c>
      <c r="U695" t="n">
        <v>949</v>
      </c>
      <c r="V695" t="n">
        <v>40</v>
      </c>
      <c r="W695" t="n">
        <v>13</v>
      </c>
      <c r="X695" t="n">
        <v>30796260</v>
      </c>
      <c r="Y695" t="inlineStr"/>
      <c r="Z695" t="inlineStr"/>
      <c r="AA695" t="inlineStr">
        <is>
          <t>https://knru.ru/catalog/pr-kruzenshterna-d-4-560998/</t>
        </is>
      </c>
      <c r="AB695" t="inlineStr">
        <is>
          <t>C</t>
        </is>
      </c>
    </row>
    <row r="696">
      <c r="A696" t="n">
        <v>950</v>
      </c>
      <c r="B696" t="n">
        <v>40</v>
      </c>
      <c r="C696" t="n">
        <v>14</v>
      </c>
      <c r="D696" t="n">
        <v>560997</v>
      </c>
      <c r="E696" t="inlineStr">
        <is>
          <t>Приморский</t>
        </is>
      </c>
      <c r="F696" t="inlineStr">
        <is>
          <t>Крузенштерна пр-кт, 4</t>
        </is>
      </c>
      <c r="G696" t="n">
        <v>86</v>
      </c>
      <c r="H696" t="inlineStr">
        <is>
          <t>25 163 320</t>
        </is>
      </c>
      <c r="I696" t="inlineStr"/>
      <c r="J696" t="inlineStr"/>
      <c r="K696" t="inlineStr"/>
      <c r="L696" t="inlineStr"/>
      <c r="M696" t="inlineStr"/>
      <c r="N696" t="inlineStr">
        <is>
          <t>no</t>
        </is>
      </c>
      <c r="O696" t="inlineStr">
        <is>
          <t>none</t>
        </is>
      </c>
      <c r="P696">
        <f>HYPERLINK("https://knru.ru/catalog/pr-kruzenshterna-d-4-560997/","ссылка")</f>
        <v/>
      </c>
      <c r="Q696" t="inlineStr"/>
      <c r="R696" t="inlineStr">
        <is>
          <t>Нет у нас</t>
        </is>
      </c>
      <c r="S696" t="n">
        <v>0</v>
      </c>
      <c r="T696" t="inlineStr">
        <is>
          <t>Совпадений по улице+дому не найдено</t>
        </is>
      </c>
      <c r="U696" t="n">
        <v>950</v>
      </c>
      <c r="V696" t="n">
        <v>40</v>
      </c>
      <c r="W696" t="n">
        <v>14</v>
      </c>
      <c r="X696" t="n">
        <v>25163320</v>
      </c>
      <c r="Y696" t="inlineStr"/>
      <c r="Z696" t="inlineStr"/>
      <c r="AA696" t="inlineStr">
        <is>
          <t>https://knru.ru/catalog/pr-kruzenshterna-d-4-560997/</t>
        </is>
      </c>
      <c r="AB696" t="inlineStr">
        <is>
          <t>C</t>
        </is>
      </c>
    </row>
    <row r="697">
      <c r="A697" t="n">
        <v>951</v>
      </c>
      <c r="B697" t="n">
        <v>40</v>
      </c>
      <c r="C697" t="n">
        <v>15</v>
      </c>
      <c r="D697" t="n">
        <v>560996</v>
      </c>
      <c r="E697" t="inlineStr">
        <is>
          <t>Приморский</t>
        </is>
      </c>
      <c r="F697" t="inlineStr">
        <is>
          <t>Крузенштерна пр-кт, 4</t>
        </is>
      </c>
      <c r="G697" t="n">
        <v>83</v>
      </c>
      <c r="H697" t="inlineStr">
        <is>
          <t>26 461 050</t>
        </is>
      </c>
      <c r="I697" t="inlineStr"/>
      <c r="J697" t="inlineStr"/>
      <c r="K697" t="inlineStr"/>
      <c r="L697" t="inlineStr"/>
      <c r="M697" t="inlineStr"/>
      <c r="N697" t="inlineStr">
        <is>
          <t>no</t>
        </is>
      </c>
      <c r="O697" t="inlineStr">
        <is>
          <t>none</t>
        </is>
      </c>
      <c r="P697">
        <f>HYPERLINK("https://knru.ru/catalog/pr-kruzenshterna-d-4-560996/","ссылка")</f>
        <v/>
      </c>
      <c r="Q697" t="inlineStr"/>
      <c r="R697" t="inlineStr">
        <is>
          <t>Нет у нас</t>
        </is>
      </c>
      <c r="S697" t="n">
        <v>0</v>
      </c>
      <c r="T697" t="inlineStr">
        <is>
          <t>Совпадений по улице+дому не найдено</t>
        </is>
      </c>
      <c r="U697" t="n">
        <v>951</v>
      </c>
      <c r="V697" t="n">
        <v>40</v>
      </c>
      <c r="W697" t="n">
        <v>15</v>
      </c>
      <c r="X697" t="n">
        <v>26461050</v>
      </c>
      <c r="Y697" t="inlineStr"/>
      <c r="Z697" t="inlineStr"/>
      <c r="AA697" t="inlineStr">
        <is>
          <t>https://knru.ru/catalog/pr-kruzenshterna-d-4-560996/</t>
        </is>
      </c>
      <c r="AB697" t="inlineStr">
        <is>
          <t>C</t>
        </is>
      </c>
    </row>
    <row r="698">
      <c r="A698" t="n">
        <v>952</v>
      </c>
      <c r="B698" t="n">
        <v>40</v>
      </c>
      <c r="C698" t="n">
        <v>16</v>
      </c>
      <c r="D698" t="n">
        <v>560995</v>
      </c>
      <c r="E698" t="inlineStr">
        <is>
          <t>Приморский</t>
        </is>
      </c>
      <c r="F698" t="inlineStr">
        <is>
          <t>Крузенштерна пр-кт, 4</t>
        </is>
      </c>
      <c r="G698" t="n">
        <v>61.2</v>
      </c>
      <c r="H698" t="inlineStr">
        <is>
          <t>19 336 040</t>
        </is>
      </c>
      <c r="I698" t="inlineStr"/>
      <c r="J698" t="inlineStr"/>
      <c r="K698" t="inlineStr"/>
      <c r="L698" t="inlineStr"/>
      <c r="M698" t="inlineStr"/>
      <c r="N698" t="inlineStr">
        <is>
          <t>no</t>
        </is>
      </c>
      <c r="O698" t="inlineStr">
        <is>
          <t>none</t>
        </is>
      </c>
      <c r="P698">
        <f>HYPERLINK("https://knru.ru/catalog/pr-kruzenshterna-d-4-560995/","ссылка")</f>
        <v/>
      </c>
      <c r="Q698" t="inlineStr"/>
      <c r="R698" t="inlineStr">
        <is>
          <t>Нет у нас</t>
        </is>
      </c>
      <c r="S698" t="n">
        <v>0</v>
      </c>
      <c r="T698" t="inlineStr">
        <is>
          <t>Совпадений по улице+дому не найдено</t>
        </is>
      </c>
      <c r="U698" t="n">
        <v>952</v>
      </c>
      <c r="V698" t="n">
        <v>40</v>
      </c>
      <c r="W698" t="n">
        <v>16</v>
      </c>
      <c r="X698" t="n">
        <v>19336040</v>
      </c>
      <c r="Y698" t="inlineStr"/>
      <c r="Z698" t="inlineStr"/>
      <c r="AA698" t="inlineStr">
        <is>
          <t>https://knru.ru/catalog/pr-kruzenshterna-d-4-560995/</t>
        </is>
      </c>
      <c r="AB698" t="inlineStr">
        <is>
          <t>C</t>
        </is>
      </c>
    </row>
    <row r="699">
      <c r="A699" t="n">
        <v>953</v>
      </c>
      <c r="B699" t="n">
        <v>40</v>
      </c>
      <c r="C699" t="n">
        <v>17</v>
      </c>
      <c r="D699" t="n">
        <v>4</v>
      </c>
      <c r="E699" t="inlineStr">
        <is>
          <t>Приморский</t>
        </is>
      </c>
      <c r="F699" t="inlineStr">
        <is>
          <t>Крузенштерна пр-кт, 4</t>
        </is>
      </c>
      <c r="G699" t="n">
        <v>50.8</v>
      </c>
      <c r="H699" t="inlineStr">
        <is>
          <t>17 539 800</t>
        </is>
      </c>
      <c r="I699" t="inlineStr"/>
      <c r="J699" t="inlineStr"/>
      <c r="K699" t="inlineStr"/>
      <c r="L699" t="inlineStr"/>
      <c r="M699" t="inlineStr"/>
      <c r="N699" t="inlineStr">
        <is>
          <t>no</t>
        </is>
      </c>
      <c r="O699" t="inlineStr">
        <is>
          <t>none</t>
        </is>
      </c>
      <c r="P699">
        <f>HYPERLINK("https://knru.ru/catalog/pr-kruzenshterna-d-4/","ссылка")</f>
        <v/>
      </c>
      <c r="Q699" t="inlineStr"/>
      <c r="R699" t="inlineStr">
        <is>
          <t>Нет у нас</t>
        </is>
      </c>
      <c r="S699" t="n">
        <v>0</v>
      </c>
      <c r="T699" t="inlineStr">
        <is>
          <t>Совпадений по улице+дому не найдено</t>
        </is>
      </c>
      <c r="U699" t="n">
        <v>953</v>
      </c>
      <c r="V699" t="n">
        <v>40</v>
      </c>
      <c r="W699" t="n">
        <v>17</v>
      </c>
      <c r="X699" t="n">
        <v>17539800</v>
      </c>
      <c r="Y699" t="inlineStr"/>
      <c r="Z699" t="inlineStr"/>
      <c r="AA699" t="inlineStr">
        <is>
          <t>https://knru.ru/catalog/pr-kruzenshterna-d-4/</t>
        </is>
      </c>
      <c r="AB699" t="inlineStr">
        <is>
          <t>C</t>
        </is>
      </c>
    </row>
    <row r="700">
      <c r="A700" t="n">
        <v>954</v>
      </c>
      <c r="B700" t="n">
        <v>40</v>
      </c>
      <c r="C700" t="n">
        <v>18</v>
      </c>
      <c r="D700" t="n">
        <v>559399</v>
      </c>
      <c r="E700" t="inlineStr"/>
      <c r="F700" t="inlineStr">
        <is>
          <t>Гатчинское шоссе , 131</t>
        </is>
      </c>
      <c r="G700" t="n">
        <v>123.5</v>
      </c>
      <c r="H700" t="inlineStr">
        <is>
          <t>24 436 400</t>
        </is>
      </c>
      <c r="I700" t="inlineStr"/>
      <c r="J700" t="inlineStr"/>
      <c r="K700" t="inlineStr"/>
      <c r="L700" t="inlineStr"/>
      <c r="M700" t="inlineStr"/>
      <c r="N700" t="inlineStr">
        <is>
          <t>no</t>
        </is>
      </c>
      <c r="O700" t="inlineStr">
        <is>
          <t>none</t>
        </is>
      </c>
      <c r="P700">
        <f>HYPERLINK("https://knru.ru/catalog/krasnoe-selo-gatchinskoe-sh-559399/","ссылка")</f>
        <v/>
      </c>
      <c r="Q700" t="inlineStr"/>
      <c r="R700" t="inlineStr">
        <is>
          <t>Нет у нас</t>
        </is>
      </c>
      <c r="S700" t="n">
        <v>0</v>
      </c>
      <c r="T700" t="inlineStr">
        <is>
          <t>Совпадений по улице+дому не найдено</t>
        </is>
      </c>
      <c r="U700" t="n">
        <v>954</v>
      </c>
      <c r="V700" t="n">
        <v>40</v>
      </c>
      <c r="W700" t="n">
        <v>18</v>
      </c>
      <c r="X700" t="n">
        <v>24436400</v>
      </c>
      <c r="Y700" t="inlineStr"/>
      <c r="Z700" t="inlineStr"/>
      <c r="AA700" t="inlineStr">
        <is>
          <t>https://knru.ru/catalog/krasnoe-selo-gatchinskoe-sh-559399/</t>
        </is>
      </c>
      <c r="AB700" t="inlineStr">
        <is>
          <t>C</t>
        </is>
      </c>
    </row>
    <row r="701">
      <c r="A701" t="n">
        <v>955</v>
      </c>
      <c r="B701" t="n">
        <v>40</v>
      </c>
      <c r="C701" t="n">
        <v>19</v>
      </c>
      <c r="D701" t="inlineStr"/>
      <c r="E701" t="inlineStr"/>
      <c r="F701" t="inlineStr">
        <is>
          <t>Гатчинское шоссе , 131</t>
        </is>
      </c>
      <c r="G701" t="n">
        <v>98.40000000000001</v>
      </c>
      <c r="H701" t="inlineStr">
        <is>
          <t>20 094 165</t>
        </is>
      </c>
      <c r="I701" t="inlineStr"/>
      <c r="J701" t="inlineStr"/>
      <c r="K701" t="inlineStr"/>
      <c r="L701" t="inlineStr"/>
      <c r="M701" t="inlineStr"/>
      <c r="N701" t="inlineStr">
        <is>
          <t>no</t>
        </is>
      </c>
      <c r="O701" t="inlineStr">
        <is>
          <t>none</t>
        </is>
      </c>
      <c r="P701">
        <f>HYPERLINK("https://knru.ru/catalog/krasnoe-selo-gatchinskoe-sh/","ссылка")</f>
        <v/>
      </c>
      <c r="Q701" t="inlineStr"/>
      <c r="R701" t="inlineStr">
        <is>
          <t>Нет у нас</t>
        </is>
      </c>
      <c r="S701" t="n">
        <v>0</v>
      </c>
      <c r="T701" t="inlineStr">
        <is>
          <t>Совпадений по улице+дому не найдено</t>
        </is>
      </c>
      <c r="U701" t="n">
        <v>955</v>
      </c>
      <c r="V701" t="n">
        <v>40</v>
      </c>
      <c r="W701" t="n">
        <v>19</v>
      </c>
      <c r="X701" t="n">
        <v>20094165</v>
      </c>
      <c r="Y701" t="inlineStr"/>
      <c r="Z701" t="inlineStr"/>
      <c r="AA701" t="inlineStr">
        <is>
          <t>https://knru.ru/catalog/krasnoe-selo-gatchinskoe-sh/</t>
        </is>
      </c>
      <c r="AB701" t="inlineStr">
        <is>
          <t>C</t>
        </is>
      </c>
    </row>
    <row r="702">
      <c r="A702" t="n">
        <v>956</v>
      </c>
      <c r="B702" t="n">
        <v>40</v>
      </c>
      <c r="C702" t="n">
        <v>20</v>
      </c>
      <c r="D702" t="n">
        <v>559397</v>
      </c>
      <c r="E702" t="inlineStr"/>
      <c r="F702" t="inlineStr">
        <is>
          <t>Гатчинское шоссе , 1.2-3</t>
        </is>
      </c>
      <c r="G702" t="n">
        <v>35.1</v>
      </c>
      <c r="H702" t="inlineStr">
        <is>
          <t>10 351 006</t>
        </is>
      </c>
      <c r="I702" t="inlineStr"/>
      <c r="J702" t="inlineStr"/>
      <c r="K702" t="inlineStr"/>
      <c r="L702" t="inlineStr"/>
      <c r="M702" t="inlineStr"/>
      <c r="N702" t="inlineStr">
        <is>
          <t>no</t>
        </is>
      </c>
      <c r="O702" t="inlineStr">
        <is>
          <t>none</t>
        </is>
      </c>
      <c r="P702">
        <f>HYPERLINK("https://knru.ru/catalog/krasnoe-selo-gatchinskoe-sh-k-1-1-559397/","ссылка")</f>
        <v/>
      </c>
      <c r="Q702" t="inlineStr"/>
      <c r="R702" t="inlineStr">
        <is>
          <t>Нет у нас</t>
        </is>
      </c>
      <c r="S702" t="n">
        <v>0</v>
      </c>
      <c r="T702" t="inlineStr">
        <is>
          <t>Совпадений по улице+дому не найдено</t>
        </is>
      </c>
      <c r="U702" t="n">
        <v>956</v>
      </c>
      <c r="V702" t="n">
        <v>40</v>
      </c>
      <c r="W702" t="n">
        <v>20</v>
      </c>
      <c r="X702" t="n">
        <v>10351006</v>
      </c>
      <c r="Y702" t="inlineStr"/>
      <c r="Z702" t="inlineStr"/>
      <c r="AA702" t="inlineStr">
        <is>
          <t>https://knru.ru/catalog/krasnoe-selo-gatchinskoe-sh-k-1-1-559397/</t>
        </is>
      </c>
      <c r="AB702" t="inlineStr">
        <is>
          <t>C</t>
        </is>
      </c>
    </row>
    <row r="703">
      <c r="A703" t="n">
        <v>957</v>
      </c>
      <c r="B703" t="n">
        <v>40</v>
      </c>
      <c r="C703" t="n">
        <v>21</v>
      </c>
      <c r="D703" t="n">
        <v>559396</v>
      </c>
      <c r="E703" t="inlineStr"/>
      <c r="F703" t="inlineStr">
        <is>
          <t>Гатчинское шоссе , 1.2-3</t>
        </is>
      </c>
      <c r="G703" t="n">
        <v>94.90000000000001</v>
      </c>
      <c r="H703" t="inlineStr">
        <is>
          <t>20 048 444</t>
        </is>
      </c>
      <c r="I703" t="inlineStr"/>
      <c r="J703" t="inlineStr"/>
      <c r="K703" t="inlineStr"/>
      <c r="L703" t="inlineStr"/>
      <c r="M703" t="inlineStr"/>
      <c r="N703" t="inlineStr">
        <is>
          <t>no</t>
        </is>
      </c>
      <c r="O703" t="inlineStr">
        <is>
          <t>none</t>
        </is>
      </c>
      <c r="P703">
        <f>HYPERLINK("https://knru.ru/catalog/krasnoe-selo-gatchinskoe-sh-k-1-1-559396/","ссылка")</f>
        <v/>
      </c>
      <c r="Q703" t="inlineStr"/>
      <c r="R703" t="inlineStr">
        <is>
          <t>Нет у нас</t>
        </is>
      </c>
      <c r="S703" t="n">
        <v>0</v>
      </c>
      <c r="T703" t="inlineStr">
        <is>
          <t>Совпадений по улице+дому не найдено</t>
        </is>
      </c>
      <c r="U703" t="n">
        <v>957</v>
      </c>
      <c r="V703" t="n">
        <v>40</v>
      </c>
      <c r="W703" t="n">
        <v>21</v>
      </c>
      <c r="X703" t="n">
        <v>20048444</v>
      </c>
      <c r="Y703" t="inlineStr"/>
      <c r="Z703" t="inlineStr"/>
      <c r="AA703" t="inlineStr">
        <is>
          <t>https://knru.ru/catalog/krasnoe-selo-gatchinskoe-sh-k-1-1-559396/</t>
        </is>
      </c>
      <c r="AB703" t="inlineStr">
        <is>
          <t>C</t>
        </is>
      </c>
    </row>
    <row r="704">
      <c r="A704" t="n">
        <v>958</v>
      </c>
      <c r="B704" t="n">
        <v>40</v>
      </c>
      <c r="C704" t="n">
        <v>22</v>
      </c>
      <c r="D704" t="n">
        <v>559395</v>
      </c>
      <c r="E704" t="inlineStr"/>
      <c r="F704" t="inlineStr">
        <is>
          <t>Гатчинское шоссе , 1.2-3</t>
        </is>
      </c>
      <c r="G704" t="n">
        <v>80.2</v>
      </c>
      <c r="H704" t="inlineStr">
        <is>
          <t>18 770 637</t>
        </is>
      </c>
      <c r="I704" t="inlineStr"/>
      <c r="J704" t="inlineStr"/>
      <c r="K704" t="inlineStr"/>
      <c r="L704" t="inlineStr"/>
      <c r="M704" t="inlineStr"/>
      <c r="N704" t="inlineStr">
        <is>
          <t>no</t>
        </is>
      </c>
      <c r="O704" t="inlineStr">
        <is>
          <t>none</t>
        </is>
      </c>
      <c r="P704">
        <f>HYPERLINK("https://knru.ru/catalog/krasnoe-selo-gatchinskoe-sh-k-1-1-559395/","ссылка")</f>
        <v/>
      </c>
      <c r="Q704" t="inlineStr"/>
      <c r="R704" t="inlineStr">
        <is>
          <t>Нет у нас</t>
        </is>
      </c>
      <c r="S704" t="n">
        <v>0</v>
      </c>
      <c r="T704" t="inlineStr">
        <is>
          <t>Совпадений по улице+дому не найдено</t>
        </is>
      </c>
      <c r="U704" t="n">
        <v>958</v>
      </c>
      <c r="V704" t="n">
        <v>40</v>
      </c>
      <c r="W704" t="n">
        <v>22</v>
      </c>
      <c r="X704" t="n">
        <v>18770637</v>
      </c>
      <c r="Y704" t="inlineStr"/>
      <c r="Z704" t="inlineStr"/>
      <c r="AA704" t="inlineStr">
        <is>
          <t>https://knru.ru/catalog/krasnoe-selo-gatchinskoe-sh-k-1-1-559395/</t>
        </is>
      </c>
      <c r="AB704" t="inlineStr">
        <is>
          <t>C</t>
        </is>
      </c>
    </row>
    <row r="705">
      <c r="A705" t="n">
        <v>959</v>
      </c>
      <c r="B705" t="n">
        <v>40</v>
      </c>
      <c r="C705" t="n">
        <v>23</v>
      </c>
      <c r="D705" t="n">
        <v>559394</v>
      </c>
      <c r="E705" t="inlineStr"/>
      <c r="F705" t="inlineStr">
        <is>
          <t>Гатчинское шоссе , 1.2-3</t>
        </is>
      </c>
      <c r="G705" t="n">
        <v>73.09999999999999</v>
      </c>
      <c r="H705" t="inlineStr">
        <is>
          <t>17 300 380</t>
        </is>
      </c>
      <c r="I705" t="inlineStr"/>
      <c r="J705" t="inlineStr"/>
      <c r="K705" t="inlineStr"/>
      <c r="L705" t="inlineStr"/>
      <c r="M705" t="inlineStr"/>
      <c r="N705" t="inlineStr">
        <is>
          <t>no</t>
        </is>
      </c>
      <c r="O705" t="inlineStr">
        <is>
          <t>none</t>
        </is>
      </c>
      <c r="P705">
        <f>HYPERLINK("https://knru.ru/catalog/krasnoe-selo-gatchinskoe-sh-k-1-1-559394/","ссылка")</f>
        <v/>
      </c>
      <c r="Q705" t="inlineStr"/>
      <c r="R705" t="inlineStr">
        <is>
          <t>Нет у нас</t>
        </is>
      </c>
      <c r="S705" t="n">
        <v>0</v>
      </c>
      <c r="T705" t="inlineStr">
        <is>
          <t>Совпадений по улице+дому не найдено</t>
        </is>
      </c>
      <c r="U705" t="n">
        <v>959</v>
      </c>
      <c r="V705" t="n">
        <v>40</v>
      </c>
      <c r="W705" t="n">
        <v>23</v>
      </c>
      <c r="X705" t="n">
        <v>17300380</v>
      </c>
      <c r="Y705" t="inlineStr"/>
      <c r="Z705" t="inlineStr"/>
      <c r="AA705" t="inlineStr">
        <is>
          <t>https://knru.ru/catalog/krasnoe-selo-gatchinskoe-sh-k-1-1-559394/</t>
        </is>
      </c>
      <c r="AB705" t="inlineStr">
        <is>
          <t>C</t>
        </is>
      </c>
    </row>
    <row r="706">
      <c r="A706" t="n">
        <v>960</v>
      </c>
      <c r="B706" t="n">
        <v>40</v>
      </c>
      <c r="C706" t="n">
        <v>24</v>
      </c>
      <c r="D706" t="n">
        <v>1</v>
      </c>
      <c r="E706" t="inlineStr"/>
      <c r="F706" t="inlineStr">
        <is>
          <t>Гатчинское шоссе , 1.1</t>
        </is>
      </c>
      <c r="G706" t="n">
        <v>61.5</v>
      </c>
      <c r="H706" t="inlineStr">
        <is>
          <t>15 063 900</t>
        </is>
      </c>
      <c r="I706" t="inlineStr"/>
      <c r="J706" t="inlineStr"/>
      <c r="K706" t="inlineStr"/>
      <c r="L706" t="inlineStr"/>
      <c r="M706" t="inlineStr"/>
      <c r="N706" t="inlineStr">
        <is>
          <t>no</t>
        </is>
      </c>
      <c r="O706" t="inlineStr">
        <is>
          <t>none</t>
        </is>
      </c>
      <c r="P706">
        <f>HYPERLINK("https://knru.ru/catalog/krasnoe-selo-gatchinskoe-sh-k-1-1/","ссылка")</f>
        <v/>
      </c>
      <c r="Q706" t="inlineStr"/>
      <c r="R706" t="inlineStr">
        <is>
          <t>Нет у нас</t>
        </is>
      </c>
      <c r="S706" t="n">
        <v>0</v>
      </c>
      <c r="T706" t="inlineStr">
        <is>
          <t>Совпадений по улице+дому не найдено</t>
        </is>
      </c>
      <c r="U706" t="n">
        <v>960</v>
      </c>
      <c r="V706" t="n">
        <v>40</v>
      </c>
      <c r="W706" t="n">
        <v>24</v>
      </c>
      <c r="X706" t="n">
        <v>15063900</v>
      </c>
      <c r="Y706" t="inlineStr"/>
      <c r="Z706" t="inlineStr"/>
      <c r="AA706" t="inlineStr">
        <is>
          <t>https://knru.ru/catalog/krasnoe-selo-gatchinskoe-sh-k-1-1/</t>
        </is>
      </c>
      <c r="AB706" t="inlineStr">
        <is>
          <t>C</t>
        </is>
      </c>
    </row>
    <row r="707">
      <c r="A707" t="n">
        <v>961</v>
      </c>
      <c r="B707" t="n">
        <v>41</v>
      </c>
      <c r="C707" t="n">
        <v>1</v>
      </c>
      <c r="D707" t="n">
        <v>559357</v>
      </c>
      <c r="E707" t="inlineStr">
        <is>
          <t>Всеволожский</t>
        </is>
      </c>
      <c r="F707" t="inlineStr">
        <is>
          <t>Колтушское ш, 1.1</t>
        </is>
      </c>
      <c r="G707" t="n">
        <v>67.7</v>
      </c>
      <c r="H707" t="inlineStr">
        <is>
          <t>14 657 990</t>
        </is>
      </c>
      <c r="I707" t="inlineStr"/>
      <c r="J707" t="inlineStr"/>
      <c r="K707" t="inlineStr"/>
      <c r="L707" t="inlineStr"/>
      <c r="M707" t="inlineStr"/>
      <c r="N707" t="inlineStr">
        <is>
          <t>no</t>
        </is>
      </c>
      <c r="O707" t="inlineStr">
        <is>
          <t>none</t>
        </is>
      </c>
      <c r="P707">
        <f>HYPERLINK("https://knru.ru/catalog/vsevolozhsk-mkrn-yuzhnyj-k1-1-559357/","ссылка")</f>
        <v/>
      </c>
      <c r="Q707" t="inlineStr"/>
      <c r="R707" t="inlineStr">
        <is>
          <t>Нет у нас</t>
        </is>
      </c>
      <c r="S707" t="n">
        <v>0</v>
      </c>
      <c r="T707" t="inlineStr">
        <is>
          <t>Совпадений по улице+дому не найдено</t>
        </is>
      </c>
      <c r="U707" t="n">
        <v>961</v>
      </c>
      <c r="V707" t="n">
        <v>41</v>
      </c>
      <c r="W707" t="n">
        <v>1</v>
      </c>
      <c r="X707" t="n">
        <v>14657990</v>
      </c>
      <c r="Y707" t="inlineStr"/>
      <c r="Z707" t="inlineStr"/>
      <c r="AA707" t="inlineStr">
        <is>
          <t>https://knru.ru/catalog/vsevolozhsk-mkrn-yuzhnyj-k1-1-559357/</t>
        </is>
      </c>
      <c r="AB707" t="inlineStr">
        <is>
          <t>C</t>
        </is>
      </c>
    </row>
    <row r="708">
      <c r="A708" t="n">
        <v>962</v>
      </c>
      <c r="B708" t="n">
        <v>41</v>
      </c>
      <c r="C708" t="n">
        <v>2</v>
      </c>
      <c r="D708" t="n">
        <v>547140</v>
      </c>
      <c r="E708" t="inlineStr">
        <is>
          <t>Петроградский</t>
        </is>
      </c>
      <c r="F708" t="inlineStr">
        <is>
          <t>Рентгена ул, 25</t>
        </is>
      </c>
      <c r="G708" t="n">
        <v>327</v>
      </c>
      <c r="H708" t="inlineStr">
        <is>
          <t>115 000 000</t>
        </is>
      </c>
      <c r="I708" t="inlineStr"/>
      <c r="J708" t="inlineStr"/>
      <c r="K708" t="inlineStr"/>
      <c r="L708" t="inlineStr"/>
      <c r="M708" t="inlineStr"/>
      <c r="N708" t="inlineStr">
        <is>
          <t>no</t>
        </is>
      </c>
      <c r="O708" t="inlineStr">
        <is>
          <t>none</t>
        </is>
      </c>
      <c r="P708">
        <f>HYPERLINK("https://knru.ru/catalog/rentgena-ul-d-25-547140/","ссылка")</f>
        <v/>
      </c>
      <c r="Q708" t="inlineStr"/>
      <c r="R708" t="inlineStr">
        <is>
          <t>Нет у нас</t>
        </is>
      </c>
      <c r="S708" t="n">
        <v>0</v>
      </c>
      <c r="T708" t="inlineStr">
        <is>
          <t>Совпадений по улице+дому не найдено</t>
        </is>
      </c>
      <c r="U708" t="n">
        <v>962</v>
      </c>
      <c r="V708" t="n">
        <v>41</v>
      </c>
      <c r="W708" t="n">
        <v>2</v>
      </c>
      <c r="X708" t="n">
        <v>115000000</v>
      </c>
      <c r="Y708" t="inlineStr"/>
      <c r="Z708" t="inlineStr"/>
      <c r="AA708" t="inlineStr">
        <is>
          <t>https://knru.ru/catalog/rentgena-ul-d-25-547140/</t>
        </is>
      </c>
      <c r="AB708" t="inlineStr">
        <is>
          <t>C</t>
        </is>
      </c>
    </row>
    <row r="709">
      <c r="A709" t="n">
        <v>963</v>
      </c>
      <c r="B709" t="n">
        <v>41</v>
      </c>
      <c r="C709" t="n">
        <v>3</v>
      </c>
      <c r="D709" t="n">
        <v>7</v>
      </c>
      <c r="E709" t="inlineStr">
        <is>
          <t>Петроградский</t>
        </is>
      </c>
      <c r="F709" t="inlineStr">
        <is>
          <t>Лодейнопольская ул, 7стр1</t>
        </is>
      </c>
      <c r="G709" t="n">
        <v>85.40000000000001</v>
      </c>
      <c r="H709" t="inlineStr">
        <is>
          <t>32 720 758</t>
        </is>
      </c>
      <c r="I709" t="inlineStr"/>
      <c r="J709" t="inlineStr"/>
      <c r="K709" t="inlineStr"/>
      <c r="L709" t="inlineStr"/>
      <c r="M709" t="inlineStr"/>
      <c r="N709" t="inlineStr">
        <is>
          <t>no</t>
        </is>
      </c>
      <c r="O709" t="inlineStr">
        <is>
          <t>none</t>
        </is>
      </c>
      <c r="P709">
        <f>HYPERLINK("https://knru.ru/catalog/lodejnopolskaya-ul-d-7/","ссылка")</f>
        <v/>
      </c>
      <c r="Q709" t="inlineStr"/>
      <c r="R709" t="inlineStr">
        <is>
          <t>Нет у нас</t>
        </is>
      </c>
      <c r="S709" t="n">
        <v>0</v>
      </c>
      <c r="T709" t="inlineStr">
        <is>
          <t>Совпадений по улице+дому не найдено</t>
        </is>
      </c>
      <c r="U709" t="n">
        <v>963</v>
      </c>
      <c r="V709" t="n">
        <v>41</v>
      </c>
      <c r="W709" t="n">
        <v>3</v>
      </c>
      <c r="X709" t="n">
        <v>32720758</v>
      </c>
      <c r="Y709" t="inlineStr"/>
      <c r="Z709" t="inlineStr"/>
      <c r="AA709" t="inlineStr">
        <is>
          <t>https://knru.ru/catalog/lodejnopolskaya-ul-d-7/</t>
        </is>
      </c>
      <c r="AB709" t="inlineStr">
        <is>
          <t>C</t>
        </is>
      </c>
    </row>
    <row r="710">
      <c r="A710" t="n">
        <v>964</v>
      </c>
      <c r="B710" t="n">
        <v>41</v>
      </c>
      <c r="C710" t="n">
        <v>4</v>
      </c>
      <c r="D710" t="n">
        <v>110</v>
      </c>
      <c r="E710" t="inlineStr">
        <is>
          <t>Кировский</t>
        </is>
      </c>
      <c r="F710" t="inlineStr">
        <is>
          <t>Ветеранов пр-кт, 110 А</t>
        </is>
      </c>
      <c r="G710" t="n">
        <v>277</v>
      </c>
      <c r="H710" t="inlineStr">
        <is>
          <t>85 000 000</t>
        </is>
      </c>
      <c r="I710" t="inlineStr"/>
      <c r="J710" t="inlineStr"/>
      <c r="K710" t="inlineStr"/>
      <c r="L710" t="inlineStr"/>
      <c r="M710" t="inlineStr"/>
      <c r="N710" t="inlineStr">
        <is>
          <t>no</t>
        </is>
      </c>
      <c r="O710" t="inlineStr">
        <is>
          <t>none</t>
        </is>
      </c>
      <c r="P710">
        <f>HYPERLINK("https://knru.ru/catalog/pr-veteranov-d-110/","ссылка")</f>
        <v/>
      </c>
      <c r="Q710" t="inlineStr"/>
      <c r="R710" t="inlineStr">
        <is>
          <t>Нет у нас</t>
        </is>
      </c>
      <c r="S710" t="n">
        <v>0</v>
      </c>
      <c r="T710" t="inlineStr">
        <is>
          <t>Совпадений по улице+дому не найдено</t>
        </is>
      </c>
      <c r="U710" t="n">
        <v>964</v>
      </c>
      <c r="V710" t="n">
        <v>41</v>
      </c>
      <c r="W710" t="n">
        <v>4</v>
      </c>
      <c r="X710" t="n">
        <v>85000000</v>
      </c>
      <c r="Y710" t="inlineStr"/>
      <c r="Z710" t="inlineStr"/>
      <c r="AA710" t="inlineStr">
        <is>
          <t>https://knru.ru/catalog/pr-veteranov-d-110/</t>
        </is>
      </c>
      <c r="AB710" t="inlineStr">
        <is>
          <t>C</t>
        </is>
      </c>
    </row>
    <row r="711">
      <c r="A711" t="n">
        <v>965</v>
      </c>
      <c r="B711" t="n">
        <v>41</v>
      </c>
      <c r="C711" t="n">
        <v>5</v>
      </c>
      <c r="D711" t="n">
        <v>561026</v>
      </c>
      <c r="E711" t="inlineStr">
        <is>
          <t>Красногвардейский</t>
        </is>
      </c>
      <c r="F711" t="inlineStr">
        <is>
          <t>Ириновский пр-кт, 38</t>
        </is>
      </c>
      <c r="G711" t="n">
        <v>419.6</v>
      </c>
      <c r="H711" t="inlineStr">
        <is>
          <t>79 729 700</t>
        </is>
      </c>
      <c r="I711" t="inlineStr"/>
      <c r="J711" t="inlineStr"/>
      <c r="K711" t="inlineStr"/>
      <c r="L711" t="inlineStr"/>
      <c r="M711" t="inlineStr"/>
      <c r="N711" t="inlineStr">
        <is>
          <t>no</t>
        </is>
      </c>
      <c r="O711" t="inlineStr">
        <is>
          <t>none</t>
        </is>
      </c>
      <c r="P711">
        <f>HYPERLINK("https://knru.ru/catalog/irinovskij-pr-d-38-561026/","ссылка")</f>
        <v/>
      </c>
      <c r="Q711" t="inlineStr"/>
      <c r="R711" t="inlineStr">
        <is>
          <t>Нет у нас</t>
        </is>
      </c>
      <c r="S711" t="n">
        <v>0</v>
      </c>
      <c r="T711" t="inlineStr">
        <is>
          <t>Совпадений по улице+дому не найдено</t>
        </is>
      </c>
      <c r="U711" t="n">
        <v>965</v>
      </c>
      <c r="V711" t="n">
        <v>41</v>
      </c>
      <c r="W711" t="n">
        <v>5</v>
      </c>
      <c r="X711" t="n">
        <v>79729700</v>
      </c>
      <c r="Y711" t="inlineStr"/>
      <c r="Z711" t="inlineStr"/>
      <c r="AA711" t="inlineStr">
        <is>
          <t>https://knru.ru/catalog/irinovskij-pr-d-38-561026/</t>
        </is>
      </c>
      <c r="AB711" t="inlineStr">
        <is>
          <t>C</t>
        </is>
      </c>
    </row>
    <row r="712">
      <c r="A712" t="n">
        <v>966</v>
      </c>
      <c r="B712" t="n">
        <v>41</v>
      </c>
      <c r="C712" t="n">
        <v>6</v>
      </c>
      <c r="D712" t="n">
        <v>561025</v>
      </c>
      <c r="E712" t="inlineStr">
        <is>
          <t>Красногвардейский</t>
        </is>
      </c>
      <c r="F712" t="inlineStr">
        <is>
          <t>Ириновский пр-кт, 38</t>
        </is>
      </c>
      <c r="G712" t="n">
        <v>137.2</v>
      </c>
      <c r="H712" t="inlineStr">
        <is>
          <t>28 812 000</t>
        </is>
      </c>
      <c r="I712" t="inlineStr"/>
      <c r="J712" t="inlineStr"/>
      <c r="K712" t="inlineStr"/>
      <c r="L712" t="inlineStr"/>
      <c r="M712" t="inlineStr"/>
      <c r="N712" t="inlineStr">
        <is>
          <t>no</t>
        </is>
      </c>
      <c r="O712" t="inlineStr">
        <is>
          <t>none</t>
        </is>
      </c>
      <c r="P712">
        <f>HYPERLINK("https://knru.ru/catalog/irinovskij-pr-d-38-561025/","ссылка")</f>
        <v/>
      </c>
      <c r="Q712" t="inlineStr"/>
      <c r="R712" t="inlineStr">
        <is>
          <t>Нет у нас</t>
        </is>
      </c>
      <c r="S712" t="n">
        <v>0</v>
      </c>
      <c r="T712" t="inlineStr">
        <is>
          <t>Совпадений по улице+дому не найдено</t>
        </is>
      </c>
      <c r="U712" t="n">
        <v>966</v>
      </c>
      <c r="V712" t="n">
        <v>41</v>
      </c>
      <c r="W712" t="n">
        <v>6</v>
      </c>
      <c r="X712" t="n">
        <v>28812000</v>
      </c>
      <c r="Y712" t="inlineStr"/>
      <c r="Z712" t="inlineStr"/>
      <c r="AA712" t="inlineStr">
        <is>
          <t>https://knru.ru/catalog/irinovskij-pr-d-38-561025/</t>
        </is>
      </c>
      <c r="AB712" t="inlineStr">
        <is>
          <t>C</t>
        </is>
      </c>
    </row>
    <row r="713">
      <c r="A713" t="n">
        <v>967</v>
      </c>
      <c r="B713" t="n">
        <v>41</v>
      </c>
      <c r="C713" t="n">
        <v>7</v>
      </c>
      <c r="D713" t="n">
        <v>561020</v>
      </c>
      <c r="E713" t="inlineStr">
        <is>
          <t>Красногвардейский</t>
        </is>
      </c>
      <c r="F713" t="inlineStr">
        <is>
          <t>Ириновский пр-кт, 38</t>
        </is>
      </c>
      <c r="G713" t="n">
        <v>17.9</v>
      </c>
      <c r="H713" t="inlineStr">
        <is>
          <t>6 261 500</t>
        </is>
      </c>
      <c r="I713" t="inlineStr"/>
      <c r="J713" t="inlineStr"/>
      <c r="K713" t="inlineStr"/>
      <c r="L713" t="inlineStr"/>
      <c r="M713" t="inlineStr"/>
      <c r="N713" t="inlineStr">
        <is>
          <t>no</t>
        </is>
      </c>
      <c r="O713" t="inlineStr">
        <is>
          <t>none</t>
        </is>
      </c>
      <c r="P713">
        <f>HYPERLINK("https://knru.ru/catalog/irinovskij-pr-d-38-561020/","ссылка")</f>
        <v/>
      </c>
      <c r="Q713" t="inlineStr"/>
      <c r="R713" t="inlineStr">
        <is>
          <t>Нет у нас</t>
        </is>
      </c>
      <c r="S713" t="n">
        <v>0</v>
      </c>
      <c r="T713" t="inlineStr">
        <is>
          <t>Совпадений по улице+дому не найдено</t>
        </is>
      </c>
      <c r="U713" t="n">
        <v>967</v>
      </c>
      <c r="V713" t="n">
        <v>41</v>
      </c>
      <c r="W713" t="n">
        <v>7</v>
      </c>
      <c r="X713" t="n">
        <v>6261500</v>
      </c>
      <c r="Y713" t="inlineStr"/>
      <c r="Z713" t="inlineStr"/>
      <c r="AA713" t="inlineStr">
        <is>
          <t>https://knru.ru/catalog/irinovskij-pr-d-38-561020/</t>
        </is>
      </c>
      <c r="AB713" t="inlineStr">
        <is>
          <t>C</t>
        </is>
      </c>
    </row>
    <row r="714">
      <c r="A714" t="n">
        <v>968</v>
      </c>
      <c r="B714" t="n">
        <v>41</v>
      </c>
      <c r="C714" t="n">
        <v>8</v>
      </c>
      <c r="D714" t="n">
        <v>561018</v>
      </c>
      <c r="E714" t="inlineStr">
        <is>
          <t>Красногвардейский</t>
        </is>
      </c>
      <c r="F714" t="inlineStr">
        <is>
          <t>Ириновский пр-кт, 38</t>
        </is>
      </c>
      <c r="G714" t="n">
        <v>471.9</v>
      </c>
      <c r="H714" t="inlineStr">
        <is>
          <t>117 975 000</t>
        </is>
      </c>
      <c r="I714" t="inlineStr"/>
      <c r="J714" t="inlineStr"/>
      <c r="K714" t="inlineStr"/>
      <c r="L714" t="inlineStr"/>
      <c r="M714" t="inlineStr"/>
      <c r="N714" t="inlineStr">
        <is>
          <t>no</t>
        </is>
      </c>
      <c r="O714" t="inlineStr">
        <is>
          <t>none</t>
        </is>
      </c>
      <c r="P714">
        <f>HYPERLINK("https://knru.ru/catalog/irinovskij-pr-d-38-561018/","ссылка")</f>
        <v/>
      </c>
      <c r="Q714" t="inlineStr"/>
      <c r="R714" t="inlineStr">
        <is>
          <t>Нет у нас</t>
        </is>
      </c>
      <c r="S714" t="n">
        <v>0</v>
      </c>
      <c r="T714" t="inlineStr">
        <is>
          <t>Совпадений по улице+дому не найдено</t>
        </is>
      </c>
      <c r="U714" t="n">
        <v>968</v>
      </c>
      <c r="V714" t="n">
        <v>41</v>
      </c>
      <c r="W714" t="n">
        <v>8</v>
      </c>
      <c r="X714" t="n">
        <v>117975000</v>
      </c>
      <c r="Y714" t="inlineStr"/>
      <c r="Z714" t="inlineStr"/>
      <c r="AA714" t="inlineStr">
        <is>
          <t>https://knru.ru/catalog/irinovskij-pr-d-38-561018/</t>
        </is>
      </c>
      <c r="AB714" t="inlineStr">
        <is>
          <t>C</t>
        </is>
      </c>
    </row>
    <row r="715">
      <c r="A715" t="n">
        <v>969</v>
      </c>
      <c r="B715" t="n">
        <v>41</v>
      </c>
      <c r="C715" t="n">
        <v>9</v>
      </c>
      <c r="D715" t="n">
        <v>561016</v>
      </c>
      <c r="E715" t="inlineStr">
        <is>
          <t>Красногвардейский</t>
        </is>
      </c>
      <c r="F715" t="inlineStr">
        <is>
          <t>Ириновский пр-кт, 38</t>
        </is>
      </c>
      <c r="G715" t="n">
        <v>101</v>
      </c>
      <c r="H715" t="inlineStr">
        <is>
          <t>35 336 000</t>
        </is>
      </c>
      <c r="I715" t="inlineStr"/>
      <c r="J715" t="inlineStr"/>
      <c r="K715" t="inlineStr"/>
      <c r="L715" t="inlineStr"/>
      <c r="M715" t="inlineStr"/>
      <c r="N715" t="inlineStr">
        <is>
          <t>no</t>
        </is>
      </c>
      <c r="O715" t="inlineStr">
        <is>
          <t>none</t>
        </is>
      </c>
      <c r="P715">
        <f>HYPERLINK("https://knru.ru/catalog/irinovskij-pr-d-38-561016/","ссылка")</f>
        <v/>
      </c>
      <c r="Q715" t="inlineStr"/>
      <c r="R715" t="inlineStr">
        <is>
          <t>Нет у нас</t>
        </is>
      </c>
      <c r="S715" t="n">
        <v>0</v>
      </c>
      <c r="T715" t="inlineStr">
        <is>
          <t>Совпадений по улице+дому не найдено</t>
        </is>
      </c>
      <c r="U715" t="n">
        <v>969</v>
      </c>
      <c r="V715" t="n">
        <v>41</v>
      </c>
      <c r="W715" t="n">
        <v>9</v>
      </c>
      <c r="X715" t="n">
        <v>35336000</v>
      </c>
      <c r="Y715" t="inlineStr"/>
      <c r="Z715" t="inlineStr"/>
      <c r="AA715" t="inlineStr">
        <is>
          <t>https://knru.ru/catalog/irinovskij-pr-d-38-561016/</t>
        </is>
      </c>
      <c r="AB715" t="inlineStr">
        <is>
          <t>C</t>
        </is>
      </c>
    </row>
    <row r="716">
      <c r="A716" t="n">
        <v>970</v>
      </c>
      <c r="B716" t="n">
        <v>41</v>
      </c>
      <c r="C716" t="n">
        <v>10</v>
      </c>
      <c r="D716" t="n">
        <v>561014</v>
      </c>
      <c r="E716" t="inlineStr">
        <is>
          <t>Красногвардейский</t>
        </is>
      </c>
      <c r="F716" t="inlineStr">
        <is>
          <t>Гранитная ул, 42 А</t>
        </is>
      </c>
      <c r="G716" t="n">
        <v>53.9</v>
      </c>
      <c r="H716" t="inlineStr">
        <is>
          <t>19 882 950</t>
        </is>
      </c>
      <c r="I716" t="inlineStr"/>
      <c r="J716" t="inlineStr"/>
      <c r="K716" t="inlineStr"/>
      <c r="L716" t="inlineStr"/>
      <c r="M716" t="inlineStr"/>
      <c r="N716" t="inlineStr">
        <is>
          <t>no</t>
        </is>
      </c>
      <c r="O716" t="inlineStr">
        <is>
          <t>none</t>
        </is>
      </c>
      <c r="P716">
        <f>HYPERLINK("https://knru.ru/catalog/ul-granitnaya-561014/","ссылка")</f>
        <v/>
      </c>
      <c r="Q716" t="inlineStr"/>
      <c r="R716" t="inlineStr">
        <is>
          <t>Нет у нас</t>
        </is>
      </c>
      <c r="S716" t="n">
        <v>0</v>
      </c>
      <c r="T716" t="inlineStr">
        <is>
          <t>Совпадений по улице+дому не найдено</t>
        </is>
      </c>
      <c r="U716" t="n">
        <v>970</v>
      </c>
      <c r="V716" t="n">
        <v>41</v>
      </c>
      <c r="W716" t="n">
        <v>10</v>
      </c>
      <c r="X716" t="n">
        <v>19882950</v>
      </c>
      <c r="Y716" t="inlineStr"/>
      <c r="Z716" t="inlineStr"/>
      <c r="AA716" t="inlineStr">
        <is>
          <t>https://knru.ru/catalog/ul-granitnaya-561014/</t>
        </is>
      </c>
      <c r="AB716" t="inlineStr">
        <is>
          <t>C</t>
        </is>
      </c>
    </row>
    <row r="717">
      <c r="A717" t="n">
        <v>976</v>
      </c>
      <c r="B717" t="n">
        <v>41</v>
      </c>
      <c r="C717" t="n">
        <v>16</v>
      </c>
      <c r="D717" t="n">
        <v>48</v>
      </c>
      <c r="E717" t="inlineStr">
        <is>
          <t>Центральный</t>
        </is>
      </c>
      <c r="F717" t="inlineStr">
        <is>
          <t>Маяковского ул, 48 А</t>
        </is>
      </c>
      <c r="G717" t="n">
        <v>688</v>
      </c>
      <c r="H717" t="inlineStr">
        <is>
          <t>80 000 000</t>
        </is>
      </c>
      <c r="I717" t="inlineStr"/>
      <c r="J717" t="inlineStr"/>
      <c r="K717" t="inlineStr"/>
      <c r="L717" t="inlineStr"/>
      <c r="M717" t="inlineStr"/>
      <c r="N717" t="inlineStr">
        <is>
          <t>no</t>
        </is>
      </c>
      <c r="O717" t="inlineStr">
        <is>
          <t>none</t>
        </is>
      </c>
      <c r="P717">
        <f>HYPERLINK("https://knru.ru/catalog/ul-mayakovskogo-d-48/","ссылка")</f>
        <v/>
      </c>
      <c r="Q717" t="inlineStr"/>
      <c r="R717" t="inlineStr">
        <is>
          <t>Нет у нас</t>
        </is>
      </c>
      <c r="S717" t="n">
        <v>0</v>
      </c>
      <c r="T717" t="inlineStr">
        <is>
          <t>Совпадений по улице+дому не найдено</t>
        </is>
      </c>
      <c r="U717" t="n">
        <v>976</v>
      </c>
      <c r="V717" t="n">
        <v>41</v>
      </c>
      <c r="W717" t="n">
        <v>16</v>
      </c>
      <c r="X717" t="n">
        <v>80000000</v>
      </c>
      <c r="Y717" t="inlineStr"/>
      <c r="Z717" t="inlineStr"/>
      <c r="AA717" t="inlineStr">
        <is>
          <t>https://knru.ru/catalog/ul-mayakovskogo-d-48/</t>
        </is>
      </c>
      <c r="AB717" t="inlineStr">
        <is>
          <t>C</t>
        </is>
      </c>
    </row>
    <row r="718">
      <c r="A718" t="n">
        <v>982</v>
      </c>
      <c r="B718" t="n">
        <v>41</v>
      </c>
      <c r="C718" t="n">
        <v>22</v>
      </c>
      <c r="D718" t="inlineStr"/>
      <c r="E718" t="inlineStr"/>
      <c r="F718" t="inlineStr">
        <is>
          <t>Народного Ополчения пр-кт, 229 А</t>
        </is>
      </c>
      <c r="G718" t="n">
        <v>570000</v>
      </c>
      <c r="H718" t="inlineStr">
        <is>
          <t>47 000 000</t>
        </is>
      </c>
      <c r="I718" t="inlineStr"/>
      <c r="J718" t="inlineStr"/>
      <c r="K718" t="inlineStr"/>
      <c r="L718" t="inlineStr"/>
      <c r="M718" t="inlineStr"/>
      <c r="N718" t="inlineStr">
        <is>
          <t>no</t>
        </is>
      </c>
      <c r="O718" t="inlineStr">
        <is>
          <t>none</t>
        </is>
      </c>
      <c r="P718">
        <f>HYPERLINK("https://knru.ru/catalog/narodnogo-opolcheniya-pr-kt-229-a/","ссылка")</f>
        <v/>
      </c>
      <c r="Q718" t="inlineStr"/>
      <c r="R718" t="inlineStr">
        <is>
          <t>Нет у нас</t>
        </is>
      </c>
      <c r="S718" t="n">
        <v>0</v>
      </c>
      <c r="T718" t="inlineStr">
        <is>
          <t>Совпадений по улице+дому не найдено</t>
        </is>
      </c>
      <c r="U718" t="n">
        <v>982</v>
      </c>
      <c r="V718" t="n">
        <v>41</v>
      </c>
      <c r="W718" t="n">
        <v>22</v>
      </c>
      <c r="X718" t="n">
        <v>47000000</v>
      </c>
      <c r="Y718" t="inlineStr"/>
      <c r="Z718" t="inlineStr"/>
      <c r="AA718" t="inlineStr">
        <is>
          <t>https://knru.ru/catalog/narodnogo-opolcheniya-pr-kt-229-a/</t>
        </is>
      </c>
      <c r="AB718" t="inlineStr">
        <is>
          <t>C</t>
        </is>
      </c>
    </row>
    <row r="719">
      <c r="A719" t="n">
        <v>983</v>
      </c>
      <c r="B719" t="n">
        <v>41</v>
      </c>
      <c r="C719" t="n">
        <v>23</v>
      </c>
      <c r="D719" t="inlineStr"/>
      <c r="E719" t="inlineStr">
        <is>
          <t>Красногвардейский</t>
        </is>
      </c>
      <c r="F719" t="inlineStr">
        <is>
          <t>1-я Жерновская ул, 29 А</t>
        </is>
      </c>
      <c r="G719" t="n">
        <v>1340</v>
      </c>
      <c r="H719" t="inlineStr">
        <is>
          <t>106 000 000</t>
        </is>
      </c>
      <c r="I719" t="inlineStr"/>
      <c r="J719" t="inlineStr"/>
      <c r="K719" t="inlineStr"/>
      <c r="L719" t="inlineStr"/>
      <c r="M719" t="inlineStr"/>
      <c r="N719" t="inlineStr">
        <is>
          <t>no</t>
        </is>
      </c>
      <c r="O719" t="inlineStr">
        <is>
          <t>none</t>
        </is>
      </c>
      <c r="P719">
        <f>HYPERLINK("https://knru.ru/catalog/1-ya-zhernovskaya-ul-29-a/","ссылка")</f>
        <v/>
      </c>
      <c r="Q719" t="inlineStr"/>
      <c r="R719" t="inlineStr">
        <is>
          <t>Нет у нас</t>
        </is>
      </c>
      <c r="S719" t="n">
        <v>0</v>
      </c>
      <c r="T719" t="inlineStr">
        <is>
          <t>Совпадений по улице+дому не найдено</t>
        </is>
      </c>
      <c r="U719" t="n">
        <v>983</v>
      </c>
      <c r="V719" t="n">
        <v>41</v>
      </c>
      <c r="W719" t="n">
        <v>23</v>
      </c>
      <c r="X719" t="n">
        <v>106000000</v>
      </c>
      <c r="Y719" t="inlineStr"/>
      <c r="Z719" t="inlineStr"/>
      <c r="AA719" t="inlineStr">
        <is>
          <t>https://knru.ru/catalog/1-ya-zhernovskaya-ul-29-a/</t>
        </is>
      </c>
      <c r="AB719" t="inlineStr">
        <is>
          <t>C</t>
        </is>
      </c>
    </row>
    <row r="720">
      <c r="A720" t="n">
        <v>984</v>
      </c>
      <c r="B720" t="n">
        <v>41</v>
      </c>
      <c r="C720" t="n">
        <v>24</v>
      </c>
      <c r="D720" t="n">
        <v>13</v>
      </c>
      <c r="E720" t="inlineStr"/>
      <c r="F720" t="inlineStr">
        <is>
          <t>Мира ул, 13</t>
        </is>
      </c>
      <c r="G720" t="n">
        <v>950</v>
      </c>
      <c r="H720" t="inlineStr">
        <is>
          <t>29 000 000</t>
        </is>
      </c>
      <c r="I720" t="inlineStr"/>
      <c r="J720" t="inlineStr"/>
      <c r="K720" t="inlineStr"/>
      <c r="L720" t="inlineStr"/>
      <c r="M720" t="inlineStr"/>
      <c r="N720" t="inlineStr">
        <is>
          <t>no</t>
        </is>
      </c>
      <c r="O720" t="inlineStr">
        <is>
          <t>none</t>
        </is>
      </c>
      <c r="P720">
        <f>HYPERLINK("https://knru.ru/catalog/mira-ul-13/","ссылка")</f>
        <v/>
      </c>
      <c r="Q720" t="inlineStr"/>
      <c r="R720" t="inlineStr">
        <is>
          <t>Нет у нас</t>
        </is>
      </c>
      <c r="S720" t="n">
        <v>0</v>
      </c>
      <c r="T720" t="inlineStr">
        <is>
          <t>Совпадений по улице+дому не найдено</t>
        </is>
      </c>
      <c r="U720" t="n">
        <v>984</v>
      </c>
      <c r="V720" t="n">
        <v>41</v>
      </c>
      <c r="W720" t="n">
        <v>24</v>
      </c>
      <c r="X720" t="n">
        <v>29000000</v>
      </c>
      <c r="Y720" t="inlineStr"/>
      <c r="Z720" t="inlineStr"/>
      <c r="AA720" t="inlineStr">
        <is>
          <t>https://knru.ru/catalog/mira-ul-13/</t>
        </is>
      </c>
      <c r="AB720" t="inlineStr">
        <is>
          <t>C</t>
        </is>
      </c>
    </row>
    <row r="721">
      <c r="A721" t="n">
        <v>985</v>
      </c>
      <c r="B721" t="n">
        <v>42</v>
      </c>
      <c r="C721" t="n">
        <v>1</v>
      </c>
      <c r="D721" t="n">
        <v>560150</v>
      </c>
      <c r="E721" t="inlineStr"/>
      <c r="F721" t="inlineStr">
        <is>
          <t>Покровская дорога ул, 9</t>
        </is>
      </c>
      <c r="G721" t="n">
        <v>57100</v>
      </c>
      <c r="H721" t="inlineStr">
        <is>
          <t>410 000 000</t>
        </is>
      </c>
      <c r="I721" t="inlineStr"/>
      <c r="J721" t="inlineStr"/>
      <c r="K721" t="inlineStr"/>
      <c r="L721" t="inlineStr"/>
      <c r="M721" t="inlineStr"/>
      <c r="N721" t="inlineStr">
        <is>
          <t>no</t>
        </is>
      </c>
      <c r="O721" t="inlineStr">
        <is>
          <t>none</t>
        </is>
      </c>
      <c r="P721">
        <f>HYPERLINK("https://knru.ru/catalog/pokrovskaya-doroga-ul-9-560150/","ссылка")</f>
        <v/>
      </c>
      <c r="Q721" t="inlineStr"/>
      <c r="R721" t="inlineStr">
        <is>
          <t>Нет у нас</t>
        </is>
      </c>
      <c r="S721" t="n">
        <v>0</v>
      </c>
      <c r="T721" t="inlineStr">
        <is>
          <t>Совпадений по улице+дому не найдено</t>
        </is>
      </c>
      <c r="U721" t="n">
        <v>985</v>
      </c>
      <c r="V721" t="n">
        <v>42</v>
      </c>
      <c r="W721" t="n">
        <v>1</v>
      </c>
      <c r="X721" t="n">
        <v>410000000</v>
      </c>
      <c r="Y721" t="inlineStr"/>
      <c r="Z721" t="inlineStr"/>
      <c r="AA721" t="inlineStr">
        <is>
          <t>https://knru.ru/catalog/pokrovskaya-doroga-ul-9-560150/</t>
        </is>
      </c>
      <c r="AB721" t="inlineStr">
        <is>
          <t>C</t>
        </is>
      </c>
    </row>
    <row r="722">
      <c r="A722" t="n">
        <v>986</v>
      </c>
      <c r="B722" t="n">
        <v>42</v>
      </c>
      <c r="C722" t="n">
        <v>2</v>
      </c>
      <c r="D722" t="n">
        <v>18</v>
      </c>
      <c r="E722" t="inlineStr"/>
      <c r="F722" t="inlineStr">
        <is>
          <t>Почтовая ул, 18</t>
        </is>
      </c>
      <c r="G722" t="n">
        <v>2200</v>
      </c>
      <c r="H722" t="inlineStr">
        <is>
          <t>59 000 000</t>
        </is>
      </c>
      <c r="I722" t="inlineStr"/>
      <c r="J722" t="inlineStr"/>
      <c r="K722" t="inlineStr"/>
      <c r="L722" t="inlineStr"/>
      <c r="M722" t="inlineStr"/>
      <c r="N722" t="inlineStr">
        <is>
          <t>no</t>
        </is>
      </c>
      <c r="O722" t="inlineStr">
        <is>
          <t>none</t>
        </is>
      </c>
      <c r="P722">
        <f>HYPERLINK("https://knru.ru/catalog/pochtovaya-ul-18/","ссылка")</f>
        <v/>
      </c>
      <c r="Q722" t="inlineStr"/>
      <c r="R722" t="inlineStr">
        <is>
          <t>Нет у нас</t>
        </is>
      </c>
      <c r="S722" t="n">
        <v>0</v>
      </c>
      <c r="T722" t="inlineStr">
        <is>
          <t>Совпадений по улице+дому не найдено</t>
        </is>
      </c>
      <c r="U722" t="n">
        <v>986</v>
      </c>
      <c r="V722" t="n">
        <v>42</v>
      </c>
      <c r="W722" t="n">
        <v>2</v>
      </c>
      <c r="X722" t="n">
        <v>59000000</v>
      </c>
      <c r="Y722" t="inlineStr"/>
      <c r="Z722" t="inlineStr"/>
      <c r="AA722" t="inlineStr">
        <is>
          <t>https://knru.ru/catalog/pochtovaya-ul-18/</t>
        </is>
      </c>
      <c r="AB722" t="inlineStr">
        <is>
          <t>C</t>
        </is>
      </c>
    </row>
    <row r="723">
      <c r="A723" t="n">
        <v>987</v>
      </c>
      <c r="B723" t="n">
        <v>42</v>
      </c>
      <c r="C723" t="n">
        <v>3</v>
      </c>
      <c r="D723" t="n">
        <v>63</v>
      </c>
      <c r="E723" t="inlineStr"/>
      <c r="F723" t="inlineStr">
        <is>
          <t>Колтушское ш, 63</t>
        </is>
      </c>
      <c r="G723" t="n">
        <v>2700</v>
      </c>
      <c r="H723" t="inlineStr">
        <is>
          <t>37 000 000</t>
        </is>
      </c>
      <c r="I723" t="inlineStr"/>
      <c r="J723" t="inlineStr"/>
      <c r="K723" t="inlineStr"/>
      <c r="L723" t="inlineStr"/>
      <c r="M723" t="inlineStr"/>
      <c r="N723" t="inlineStr">
        <is>
          <t>no</t>
        </is>
      </c>
      <c r="O723" t="inlineStr">
        <is>
          <t>none</t>
        </is>
      </c>
      <c r="P723">
        <f>HYPERLINK("https://knru.ru/catalog/koltushskoe-sh-63/","ссылка")</f>
        <v/>
      </c>
      <c r="Q723" t="inlineStr"/>
      <c r="R723" t="inlineStr">
        <is>
          <t>Нет у нас</t>
        </is>
      </c>
      <c r="S723" t="n">
        <v>0</v>
      </c>
      <c r="T723" t="inlineStr">
        <is>
          <t>Совпадений по улице+дому не найдено</t>
        </is>
      </c>
      <c r="U723" t="n">
        <v>987</v>
      </c>
      <c r="V723" t="n">
        <v>42</v>
      </c>
      <c r="W723" t="n">
        <v>3</v>
      </c>
      <c r="X723" t="n">
        <v>37000000</v>
      </c>
      <c r="Y723" t="inlineStr"/>
      <c r="Z723" t="inlineStr"/>
      <c r="AA723" t="inlineStr">
        <is>
          <t>https://knru.ru/catalog/koltushskoe-sh-63/</t>
        </is>
      </c>
      <c r="AB723" t="inlineStr">
        <is>
          <t>C</t>
        </is>
      </c>
    </row>
    <row r="724">
      <c r="A724" t="n">
        <v>988</v>
      </c>
      <c r="B724" t="n">
        <v>42</v>
      </c>
      <c r="C724" t="n">
        <v>4</v>
      </c>
      <c r="D724" t="n">
        <v>13</v>
      </c>
      <c r="E724" t="inlineStr"/>
      <c r="F724" t="inlineStr">
        <is>
          <t>Гостилицкое, 13</t>
        </is>
      </c>
      <c r="G724" t="n">
        <v>774</v>
      </c>
      <c r="H724" t="inlineStr">
        <is>
          <t>53 000 000</t>
        </is>
      </c>
      <c r="I724" t="inlineStr"/>
      <c r="J724" t="inlineStr"/>
      <c r="K724" t="inlineStr"/>
      <c r="L724" t="inlineStr"/>
      <c r="M724" t="inlineStr"/>
      <c r="N724" t="inlineStr">
        <is>
          <t>no</t>
        </is>
      </c>
      <c r="O724" t="inlineStr">
        <is>
          <t>none</t>
        </is>
      </c>
      <c r="P724">
        <f>HYPERLINK("https://knru.ru/catalog/gostilitskoe-13/","ссылка")</f>
        <v/>
      </c>
      <c r="Q724" t="inlineStr"/>
      <c r="R724" t="inlineStr">
        <is>
          <t>Нет у нас</t>
        </is>
      </c>
      <c r="S724" t="n">
        <v>0</v>
      </c>
      <c r="T724" t="inlineStr">
        <is>
          <t>Совпадений по улице+дому не найдено</t>
        </is>
      </c>
      <c r="U724" t="n">
        <v>988</v>
      </c>
      <c r="V724" t="n">
        <v>42</v>
      </c>
      <c r="W724" t="n">
        <v>4</v>
      </c>
      <c r="X724" t="n">
        <v>53000000</v>
      </c>
      <c r="Y724" t="inlineStr"/>
      <c r="Z724" t="inlineStr"/>
      <c r="AA724" t="inlineStr">
        <is>
          <t>https://knru.ru/catalog/gostilitskoe-13/</t>
        </is>
      </c>
      <c r="AB724" t="inlineStr">
        <is>
          <t>C</t>
        </is>
      </c>
    </row>
    <row r="725">
      <c r="A725" t="n">
        <v>989</v>
      </c>
      <c r="B725" t="n">
        <v>42</v>
      </c>
      <c r="C725" t="n">
        <v>5</v>
      </c>
      <c r="D725" t="n">
        <v>559984</v>
      </c>
      <c r="E725" t="inlineStr"/>
      <c r="F725" t="inlineStr">
        <is>
          <t>Гостилицкое, 13</t>
        </is>
      </c>
      <c r="G725" t="n">
        <v>864</v>
      </c>
      <c r="H725" t="inlineStr">
        <is>
          <t>62 000 000</t>
        </is>
      </c>
      <c r="I725" t="inlineStr"/>
      <c r="J725" t="inlineStr"/>
      <c r="K725" t="inlineStr"/>
      <c r="L725" t="inlineStr"/>
      <c r="M725" t="inlineStr"/>
      <c r="N725" t="inlineStr">
        <is>
          <t>no</t>
        </is>
      </c>
      <c r="O725" t="inlineStr">
        <is>
          <t>none</t>
        </is>
      </c>
      <c r="P725">
        <f>HYPERLINK("https://knru.ru/catalog/gostilitskoe-13-559984/","ссылка")</f>
        <v/>
      </c>
      <c r="Q725" t="inlineStr"/>
      <c r="R725" t="inlineStr">
        <is>
          <t>Нет у нас</t>
        </is>
      </c>
      <c r="S725" t="n">
        <v>0</v>
      </c>
      <c r="T725" t="inlineStr">
        <is>
          <t>Совпадений по улице+дому не найдено</t>
        </is>
      </c>
      <c r="U725" t="n">
        <v>989</v>
      </c>
      <c r="V725" t="n">
        <v>42</v>
      </c>
      <c r="W725" t="n">
        <v>5</v>
      </c>
      <c r="X725" t="n">
        <v>62000000</v>
      </c>
      <c r="Y725" t="inlineStr"/>
      <c r="Z725" t="inlineStr"/>
      <c r="AA725" t="inlineStr">
        <is>
          <t>https://knru.ru/catalog/gostilitskoe-13-559984/</t>
        </is>
      </c>
      <c r="AB725" t="inlineStr">
        <is>
          <t>C</t>
        </is>
      </c>
    </row>
    <row r="726">
      <c r="A726" t="n">
        <v>990</v>
      </c>
      <c r="B726" t="n">
        <v>42</v>
      </c>
      <c r="C726" t="n">
        <v>6</v>
      </c>
      <c r="D726" t="n">
        <v>559974</v>
      </c>
      <c r="E726" t="inlineStr"/>
      <c r="F726" t="inlineStr">
        <is>
          <t>Промзона Мягловская тер., Круговая ул, 13</t>
        </is>
      </c>
      <c r="G726" t="n">
        <v>1440</v>
      </c>
      <c r="H726" t="inlineStr">
        <is>
          <t>115 000 000</t>
        </is>
      </c>
      <c r="I726" t="inlineStr"/>
      <c r="J726" t="inlineStr"/>
      <c r="K726" t="inlineStr"/>
      <c r="L726" t="inlineStr"/>
      <c r="M726" t="inlineStr"/>
      <c r="N726" t="inlineStr">
        <is>
          <t>no</t>
        </is>
      </c>
      <c r="O726" t="inlineStr">
        <is>
          <t>none</t>
        </is>
      </c>
      <c r="P726">
        <f>HYPERLINK("https://knru.ru/catalog/promzona-myaglovskaya-ter-krugovaya-ul-13-559974/","ссылка")</f>
        <v/>
      </c>
      <c r="Q726" t="inlineStr"/>
      <c r="R726" t="inlineStr">
        <is>
          <t>Нет у нас</t>
        </is>
      </c>
      <c r="S726" t="n">
        <v>0</v>
      </c>
      <c r="T726" t="inlineStr">
        <is>
          <t>Совпадений по улице+дому не найдено</t>
        </is>
      </c>
      <c r="U726" t="n">
        <v>990</v>
      </c>
      <c r="V726" t="n">
        <v>42</v>
      </c>
      <c r="W726" t="n">
        <v>6</v>
      </c>
      <c r="X726" t="n">
        <v>115000000</v>
      </c>
      <c r="Y726" t="inlineStr"/>
      <c r="Z726" t="inlineStr"/>
      <c r="AA726" t="inlineStr">
        <is>
          <t>https://knru.ru/catalog/promzona-myaglovskaya-ter-krugovaya-ul-13-559974/</t>
        </is>
      </c>
      <c r="AB726" t="inlineStr">
        <is>
          <t>C</t>
        </is>
      </c>
    </row>
    <row r="727">
      <c r="A727" t="n">
        <v>991</v>
      </c>
      <c r="B727" t="n">
        <v>42</v>
      </c>
      <c r="C727" t="n">
        <v>7</v>
      </c>
      <c r="D727" t="n">
        <v>170</v>
      </c>
      <c r="E727" t="inlineStr"/>
      <c r="F727" t="inlineStr">
        <is>
          <t>41К-170</t>
        </is>
      </c>
      <c r="G727" t="n">
        <v>227852</v>
      </c>
      <c r="H727" t="inlineStr">
        <is>
          <t>34 000 000</t>
        </is>
      </c>
      <c r="I727" t="inlineStr"/>
      <c r="J727" t="inlineStr"/>
      <c r="K727" t="inlineStr"/>
      <c r="L727" t="inlineStr"/>
      <c r="M727" t="inlineStr"/>
      <c r="N727" t="inlineStr">
        <is>
          <t>no</t>
        </is>
      </c>
      <c r="O727" t="inlineStr">
        <is>
          <t>none</t>
        </is>
      </c>
      <c r="P727">
        <f>HYPERLINK("https://knru.ru/catalog/41k-170/","ссылка")</f>
        <v/>
      </c>
      <c r="Q727" t="inlineStr"/>
      <c r="R727" t="inlineStr">
        <is>
          <t>Нет у нас</t>
        </is>
      </c>
      <c r="S727" t="n">
        <v>0</v>
      </c>
      <c r="T727" t="inlineStr">
        <is>
          <t>Совпадений по улице+дому не найдено</t>
        </is>
      </c>
      <c r="U727" t="n">
        <v>991</v>
      </c>
      <c r="V727" t="n">
        <v>42</v>
      </c>
      <c r="W727" t="n">
        <v>7</v>
      </c>
      <c r="X727" t="n">
        <v>34000000</v>
      </c>
      <c r="Y727" t="inlineStr"/>
      <c r="Z727" t="inlineStr"/>
      <c r="AA727" t="inlineStr">
        <is>
          <t>https://knru.ru/catalog/41k-170/</t>
        </is>
      </c>
      <c r="AB727" t="inlineStr">
        <is>
          <t>C</t>
        </is>
      </c>
    </row>
    <row r="728">
      <c r="A728" t="n">
        <v>992</v>
      </c>
      <c r="B728" t="n">
        <v>42</v>
      </c>
      <c r="C728" t="n">
        <v>8</v>
      </c>
      <c r="D728" t="n">
        <v>10</v>
      </c>
      <c r="E728" t="inlineStr"/>
      <c r="F728" t="inlineStr">
        <is>
          <t>Русановская ул, 10</t>
        </is>
      </c>
      <c r="G728" t="n">
        <v>864</v>
      </c>
      <c r="H728" t="inlineStr">
        <is>
          <t>117 148 000</t>
        </is>
      </c>
      <c r="I728" t="inlineStr"/>
      <c r="J728" t="inlineStr"/>
      <c r="K728" t="inlineStr"/>
      <c r="L728" t="inlineStr"/>
      <c r="M728" t="inlineStr"/>
      <c r="N728" t="inlineStr">
        <is>
          <t>no</t>
        </is>
      </c>
      <c r="O728" t="inlineStr">
        <is>
          <t>none</t>
        </is>
      </c>
      <c r="P728">
        <f>HYPERLINK("https://knru.ru/catalog/rusanovskaya-ul-10/","ссылка")</f>
        <v/>
      </c>
      <c r="Q728" t="inlineStr"/>
      <c r="R728" t="inlineStr">
        <is>
          <t>Нет у нас</t>
        </is>
      </c>
      <c r="S728" t="n">
        <v>0</v>
      </c>
      <c r="T728" t="inlineStr">
        <is>
          <t>Совпадений по улице+дому не найдено</t>
        </is>
      </c>
      <c r="U728" t="n">
        <v>992</v>
      </c>
      <c r="V728" t="n">
        <v>42</v>
      </c>
      <c r="W728" t="n">
        <v>8</v>
      </c>
      <c r="X728" t="n">
        <v>117148000</v>
      </c>
      <c r="Y728" t="inlineStr"/>
      <c r="Z728" t="inlineStr"/>
      <c r="AA728" t="inlineStr">
        <is>
          <t>https://knru.ru/catalog/rusanovskaya-ul-10/</t>
        </is>
      </c>
      <c r="AB728" t="inlineStr">
        <is>
          <t>C</t>
        </is>
      </c>
    </row>
    <row r="729">
      <c r="A729" t="n">
        <v>993</v>
      </c>
      <c r="B729" t="n">
        <v>42</v>
      </c>
      <c r="C729" t="n">
        <v>9</v>
      </c>
      <c r="D729" t="inlineStr"/>
      <c r="E729" t="inlineStr"/>
      <c r="F729" t="inlineStr">
        <is>
          <t>Приозерная ул, 2а</t>
        </is>
      </c>
      <c r="G729" t="n">
        <v>278000</v>
      </c>
      <c r="H729" t="inlineStr">
        <is>
          <t>150 000 000</t>
        </is>
      </c>
      <c r="I729" t="inlineStr"/>
      <c r="J729" t="inlineStr"/>
      <c r="K729" t="inlineStr"/>
      <c r="L729" t="inlineStr"/>
      <c r="M729" t="inlineStr"/>
      <c r="N729" t="inlineStr">
        <is>
          <t>no</t>
        </is>
      </c>
      <c r="O729" t="inlineStr">
        <is>
          <t>none</t>
        </is>
      </c>
      <c r="P729">
        <f>HYPERLINK("https://knru.ru/catalog/priozernaya-ul-2a/","ссылка")</f>
        <v/>
      </c>
      <c r="Q729" t="inlineStr"/>
      <c r="R729" t="inlineStr">
        <is>
          <t>Нет у нас</t>
        </is>
      </c>
      <c r="S729" t="n">
        <v>0</v>
      </c>
      <c r="T729" t="inlineStr">
        <is>
          <t>Совпадений по улице+дому не найдено</t>
        </is>
      </c>
      <c r="U729" t="n">
        <v>993</v>
      </c>
      <c r="V729" t="n">
        <v>42</v>
      </c>
      <c r="W729" t="n">
        <v>9</v>
      </c>
      <c r="X729" t="n">
        <v>150000000</v>
      </c>
      <c r="Y729" t="inlineStr"/>
      <c r="Z729" t="inlineStr"/>
      <c r="AA729" t="inlineStr">
        <is>
          <t>https://knru.ru/catalog/priozernaya-ul-2a/</t>
        </is>
      </c>
      <c r="AB729" t="inlineStr">
        <is>
          <t>C</t>
        </is>
      </c>
    </row>
    <row r="730">
      <c r="A730" t="n">
        <v>994</v>
      </c>
      <c r="B730" t="n">
        <v>42</v>
      </c>
      <c r="C730" t="n">
        <v>10</v>
      </c>
      <c r="D730" t="n">
        <v>559495</v>
      </c>
      <c r="E730" t="inlineStr"/>
      <c r="F730" t="inlineStr">
        <is>
          <t>Волхонское, 2Б</t>
        </is>
      </c>
      <c r="G730" t="n">
        <v>8000</v>
      </c>
      <c r="H730" t="inlineStr">
        <is>
          <t>34 000 000</t>
        </is>
      </c>
      <c r="I730" t="inlineStr"/>
      <c r="J730" t="inlineStr"/>
      <c r="K730" t="inlineStr"/>
      <c r="L730" t="inlineStr"/>
      <c r="M730" t="inlineStr"/>
      <c r="N730" t="inlineStr">
        <is>
          <t>no</t>
        </is>
      </c>
      <c r="O730" t="inlineStr">
        <is>
          <t>none</t>
        </is>
      </c>
      <c r="P730">
        <f>HYPERLINK("https://knru.ru/catalog/volxonskoe-2b-559495/","ссылка")</f>
        <v/>
      </c>
      <c r="Q730" t="inlineStr"/>
      <c r="R730" t="inlineStr">
        <is>
          <t>Нет у нас</t>
        </is>
      </c>
      <c r="S730" t="n">
        <v>0</v>
      </c>
      <c r="T730" t="inlineStr">
        <is>
          <t>Совпадений по улице+дому не найдено</t>
        </is>
      </c>
      <c r="U730" t="n">
        <v>994</v>
      </c>
      <c r="V730" t="n">
        <v>42</v>
      </c>
      <c r="W730" t="n">
        <v>10</v>
      </c>
      <c r="X730" t="n">
        <v>34000000</v>
      </c>
      <c r="Y730" t="inlineStr"/>
      <c r="Z730" t="inlineStr"/>
      <c r="AA730" t="inlineStr">
        <is>
          <t>https://knru.ru/catalog/volxonskoe-2b-559495/</t>
        </is>
      </c>
      <c r="AB730" t="inlineStr">
        <is>
          <t>C</t>
        </is>
      </c>
    </row>
    <row r="731">
      <c r="A731" t="n">
        <v>995</v>
      </c>
      <c r="B731" t="n">
        <v>42</v>
      </c>
      <c r="C731" t="n">
        <v>11</v>
      </c>
      <c r="D731" t="n">
        <v>2</v>
      </c>
      <c r="E731" t="inlineStr"/>
      <c r="F731" t="inlineStr">
        <is>
          <t>Пр.зона Горелово кв-л2 тер, Волхонское ш, 2</t>
        </is>
      </c>
      <c r="G731" t="n">
        <v>5000</v>
      </c>
      <c r="H731" t="inlineStr">
        <is>
          <t>22 000 000</t>
        </is>
      </c>
      <c r="I731" t="inlineStr"/>
      <c r="J731" t="inlineStr"/>
      <c r="K731" t="inlineStr"/>
      <c r="L731" t="inlineStr"/>
      <c r="M731" t="inlineStr"/>
      <c r="N731" t="inlineStr">
        <is>
          <t>no</t>
        </is>
      </c>
      <c r="O731" t="inlineStr">
        <is>
          <t>none</t>
        </is>
      </c>
      <c r="P731">
        <f>HYPERLINK("https://knru.ru/catalog/pr-zona-gorelovo-kv-l2-ter-volxonskoe-sh-2/","ссылка")</f>
        <v/>
      </c>
      <c r="Q731" t="inlineStr"/>
      <c r="R731" t="inlineStr">
        <is>
          <t>Нет у нас</t>
        </is>
      </c>
      <c r="S731" t="n">
        <v>0</v>
      </c>
      <c r="T731" t="inlineStr">
        <is>
          <t>Совпадений по улице+дому не найдено</t>
        </is>
      </c>
      <c r="U731" t="n">
        <v>995</v>
      </c>
      <c r="V731" t="n">
        <v>42</v>
      </c>
      <c r="W731" t="n">
        <v>11</v>
      </c>
      <c r="X731" t="n">
        <v>22000000</v>
      </c>
      <c r="Y731" t="inlineStr"/>
      <c r="Z731" t="inlineStr"/>
      <c r="AA731" t="inlineStr">
        <is>
          <t>https://knru.ru/catalog/pr-zona-gorelovo-kv-l2-ter-volxonskoe-sh-2/</t>
        </is>
      </c>
      <c r="AB731" t="inlineStr">
        <is>
          <t>C</t>
        </is>
      </c>
    </row>
    <row r="732">
      <c r="A732" t="n">
        <v>996</v>
      </c>
      <c r="B732" t="n">
        <v>42</v>
      </c>
      <c r="C732" t="n">
        <v>12</v>
      </c>
      <c r="D732" t="inlineStr"/>
      <c r="E732" t="inlineStr"/>
      <c r="F732" t="inlineStr">
        <is>
          <t>Новое, 45 литК</t>
        </is>
      </c>
      <c r="G732" t="n">
        <v>3888</v>
      </c>
      <c r="H732" t="inlineStr">
        <is>
          <t>110 000 000</t>
        </is>
      </c>
      <c r="I732" t="inlineStr"/>
      <c r="J732" t="inlineStr"/>
      <c r="K732" t="inlineStr"/>
      <c r="L732" t="inlineStr"/>
      <c r="M732" t="inlineStr"/>
      <c r="N732" t="inlineStr">
        <is>
          <t>no</t>
        </is>
      </c>
      <c r="O732" t="inlineStr">
        <is>
          <t>none</t>
        </is>
      </c>
      <c r="P732">
        <f>HYPERLINK("https://knru.ru/catalog/novoe-45-litk/","ссылка")</f>
        <v/>
      </c>
      <c r="Q732" t="inlineStr"/>
      <c r="R732" t="inlineStr">
        <is>
          <t>Нет у нас</t>
        </is>
      </c>
      <c r="S732" t="n">
        <v>0</v>
      </c>
      <c r="T732" t="inlineStr">
        <is>
          <t>Совпадений по улице+дому не найдено</t>
        </is>
      </c>
      <c r="U732" t="n">
        <v>996</v>
      </c>
      <c r="V732" t="n">
        <v>42</v>
      </c>
      <c r="W732" t="n">
        <v>12</v>
      </c>
      <c r="X732" t="n">
        <v>110000000</v>
      </c>
      <c r="Y732" t="inlineStr"/>
      <c r="Z732" t="inlineStr"/>
      <c r="AA732" t="inlineStr">
        <is>
          <t>https://knru.ru/catalog/novoe-45-litk/</t>
        </is>
      </c>
      <c r="AB732" t="inlineStr">
        <is>
          <t>C</t>
        </is>
      </c>
    </row>
    <row r="733">
      <c r="A733" t="n">
        <v>997</v>
      </c>
      <c r="B733" t="n">
        <v>42</v>
      </c>
      <c r="C733" t="n">
        <v>13</v>
      </c>
      <c r="D733" t="n">
        <v>559486</v>
      </c>
      <c r="E733" t="inlineStr"/>
      <c r="F733" t="inlineStr">
        <is>
          <t>Паровозная, 29</t>
        </is>
      </c>
      <c r="G733" t="n">
        <v>3690</v>
      </c>
      <c r="H733" t="inlineStr">
        <is>
          <t>43 650 000</t>
        </is>
      </c>
      <c r="I733" t="inlineStr"/>
      <c r="J733" t="inlineStr"/>
      <c r="K733" t="inlineStr"/>
      <c r="L733" t="inlineStr"/>
      <c r="M733" t="inlineStr"/>
      <c r="N733" t="inlineStr">
        <is>
          <t>no</t>
        </is>
      </c>
      <c r="O733" t="inlineStr">
        <is>
          <t>none</t>
        </is>
      </c>
      <c r="P733">
        <f>HYPERLINK("https://knru.ru/catalog/parovoznaya-29-559486/","ссылка")</f>
        <v/>
      </c>
      <c r="Q733" t="inlineStr"/>
      <c r="R733" t="inlineStr">
        <is>
          <t>Нет у нас</t>
        </is>
      </c>
      <c r="S733" t="n">
        <v>0</v>
      </c>
      <c r="T733" t="inlineStr">
        <is>
          <t>Совпадений по улице+дому не найдено</t>
        </is>
      </c>
      <c r="U733" t="n">
        <v>997</v>
      </c>
      <c r="V733" t="n">
        <v>42</v>
      </c>
      <c r="W733" t="n">
        <v>13</v>
      </c>
      <c r="X733" t="n">
        <v>43650000</v>
      </c>
      <c r="Y733" t="inlineStr"/>
      <c r="Z733" t="inlineStr"/>
      <c r="AA733" t="inlineStr">
        <is>
          <t>https://knru.ru/catalog/parovoznaya-29-559486/</t>
        </is>
      </c>
      <c r="AB733" t="inlineStr">
        <is>
          <t>C</t>
        </is>
      </c>
    </row>
    <row r="734">
      <c r="A734" t="n">
        <v>998</v>
      </c>
      <c r="B734" t="n">
        <v>42</v>
      </c>
      <c r="C734" t="n">
        <v>14</v>
      </c>
      <c r="D734" t="n">
        <v>29</v>
      </c>
      <c r="E734" t="inlineStr"/>
      <c r="F734" t="inlineStr">
        <is>
          <t>Паровозная, 29</t>
        </is>
      </c>
      <c r="G734" t="n">
        <v>9500</v>
      </c>
      <c r="H734" t="inlineStr">
        <is>
          <t>25 000 000</t>
        </is>
      </c>
      <c r="I734" t="inlineStr"/>
      <c r="J734" t="inlineStr"/>
      <c r="K734" t="inlineStr"/>
      <c r="L734" t="inlineStr"/>
      <c r="M734" t="inlineStr"/>
      <c r="N734" t="inlineStr">
        <is>
          <t>no</t>
        </is>
      </c>
      <c r="O734" t="inlineStr">
        <is>
          <t>none</t>
        </is>
      </c>
      <c r="P734">
        <f>HYPERLINK("https://knru.ru/catalog/parovoznaya-29/","ссылка")</f>
        <v/>
      </c>
      <c r="Q734" t="inlineStr"/>
      <c r="R734" t="inlineStr">
        <is>
          <t>Нет у нас</t>
        </is>
      </c>
      <c r="S734" t="n">
        <v>0</v>
      </c>
      <c r="T734" t="inlineStr">
        <is>
          <t>Совпадений по улице+дому не найдено</t>
        </is>
      </c>
      <c r="U734" t="n">
        <v>998</v>
      </c>
      <c r="V734" t="n">
        <v>42</v>
      </c>
      <c r="W734" t="n">
        <v>14</v>
      </c>
      <c r="X734" t="n">
        <v>25000000</v>
      </c>
      <c r="Y734" t="inlineStr"/>
      <c r="Z734" t="inlineStr"/>
      <c r="AA734" t="inlineStr">
        <is>
          <t>https://knru.ru/catalog/parovoznaya-29/</t>
        </is>
      </c>
      <c r="AB734" t="inlineStr">
        <is>
          <t>C</t>
        </is>
      </c>
    </row>
    <row r="735">
      <c r="A735" t="n">
        <v>999</v>
      </c>
      <c r="B735" t="n">
        <v>42</v>
      </c>
      <c r="C735" t="n">
        <v>15</v>
      </c>
      <c r="D735" t="n">
        <v>250</v>
      </c>
      <c r="E735" t="inlineStr"/>
      <c r="F735" t="inlineStr">
        <is>
          <t>Московское, 250</t>
        </is>
      </c>
      <c r="G735" t="n">
        <v>1500</v>
      </c>
      <c r="H735" t="inlineStr">
        <is>
          <t>97 500 000</t>
        </is>
      </c>
      <c r="I735" t="inlineStr"/>
      <c r="J735" t="inlineStr"/>
      <c r="K735" t="inlineStr"/>
      <c r="L735" t="inlineStr"/>
      <c r="M735" t="inlineStr"/>
      <c r="N735" t="inlineStr">
        <is>
          <t>no</t>
        </is>
      </c>
      <c r="O735" t="inlineStr">
        <is>
          <t>none</t>
        </is>
      </c>
      <c r="P735">
        <f>HYPERLINK("https://knru.ru/catalog/moskovskoe-250/","ссылка")</f>
        <v/>
      </c>
      <c r="Q735" t="inlineStr"/>
      <c r="R735" t="inlineStr">
        <is>
          <t>Нет у нас</t>
        </is>
      </c>
      <c r="S735" t="n">
        <v>0</v>
      </c>
      <c r="T735" t="inlineStr">
        <is>
          <t>Совпадений по улице+дому не найдено</t>
        </is>
      </c>
      <c r="U735" t="n">
        <v>999</v>
      </c>
      <c r="V735" t="n">
        <v>42</v>
      </c>
      <c r="W735" t="n">
        <v>15</v>
      </c>
      <c r="X735" t="n">
        <v>97500000</v>
      </c>
      <c r="Y735" t="inlineStr"/>
      <c r="Z735" t="inlineStr"/>
      <c r="AA735" t="inlineStr">
        <is>
          <t>https://knru.ru/catalog/moskovskoe-250/</t>
        </is>
      </c>
      <c r="AB735" t="inlineStr">
        <is>
          <t>C</t>
        </is>
      </c>
    </row>
    <row r="736">
      <c r="A736" t="n">
        <v>1000</v>
      </c>
      <c r="B736" t="n">
        <v>42</v>
      </c>
      <c r="C736" t="n">
        <v>16</v>
      </c>
      <c r="D736" t="inlineStr"/>
      <c r="E736" t="inlineStr"/>
      <c r="F736" t="inlineStr">
        <is>
          <t>Волхонское, 2Б</t>
        </is>
      </c>
      <c r="G736" t="n">
        <v>2400</v>
      </c>
      <c r="H736" t="inlineStr">
        <is>
          <t>200 000 000</t>
        </is>
      </c>
      <c r="I736" t="inlineStr"/>
      <c r="J736" t="inlineStr"/>
      <c r="K736" t="inlineStr"/>
      <c r="L736" t="inlineStr"/>
      <c r="M736" t="inlineStr"/>
      <c r="N736" t="inlineStr">
        <is>
          <t>no</t>
        </is>
      </c>
      <c r="O736" t="inlineStr">
        <is>
          <t>none</t>
        </is>
      </c>
      <c r="P736">
        <f>HYPERLINK("https://knru.ru/catalog/volxonskoe-2b/","ссылка")</f>
        <v/>
      </c>
      <c r="Q736" t="inlineStr"/>
      <c r="R736" t="inlineStr">
        <is>
          <t>Нет у нас</t>
        </is>
      </c>
      <c r="S736" t="n">
        <v>0</v>
      </c>
      <c r="T736" t="inlineStr">
        <is>
          <t>Совпадений по улице+дому не найдено</t>
        </is>
      </c>
      <c r="U736" t="n">
        <v>1000</v>
      </c>
      <c r="V736" t="n">
        <v>42</v>
      </c>
      <c r="W736" t="n">
        <v>16</v>
      </c>
      <c r="X736" t="n">
        <v>200000000</v>
      </c>
      <c r="Y736" t="inlineStr"/>
      <c r="Z736" t="inlineStr"/>
      <c r="AA736" t="inlineStr">
        <is>
          <t>https://knru.ru/catalog/volxonskoe-2b/</t>
        </is>
      </c>
      <c r="AB736" t="inlineStr">
        <is>
          <t>C</t>
        </is>
      </c>
    </row>
    <row r="737">
      <c r="A737" t="n">
        <v>1001</v>
      </c>
      <c r="B737" t="n">
        <v>42</v>
      </c>
      <c r="C737" t="n">
        <v>17</v>
      </c>
      <c r="D737" t="n">
        <v>6</v>
      </c>
      <c r="E737" t="inlineStr"/>
      <c r="F737" t="inlineStr">
        <is>
          <t>Графская ул, 6</t>
        </is>
      </c>
      <c r="G737" t="n">
        <v>7192</v>
      </c>
      <c r="H737" t="inlineStr">
        <is>
          <t>29 500 000</t>
        </is>
      </c>
      <c r="I737" t="inlineStr"/>
      <c r="J737" t="inlineStr"/>
      <c r="K737" t="inlineStr"/>
      <c r="L737" t="inlineStr"/>
      <c r="M737" t="inlineStr"/>
      <c r="N737" t="inlineStr">
        <is>
          <t>no</t>
        </is>
      </c>
      <c r="O737" t="inlineStr">
        <is>
          <t>none</t>
        </is>
      </c>
      <c r="P737">
        <f>HYPERLINK("https://knru.ru/catalog/grafskaya-ul-6/","ссылка")</f>
        <v/>
      </c>
      <c r="Q737" t="inlineStr"/>
      <c r="R737" t="inlineStr">
        <is>
          <t>Нет у нас</t>
        </is>
      </c>
      <c r="S737" t="n">
        <v>0</v>
      </c>
      <c r="T737" t="inlineStr">
        <is>
          <t>Совпадений по улице+дому не найдено</t>
        </is>
      </c>
      <c r="U737" t="n">
        <v>1001</v>
      </c>
      <c r="V737" t="n">
        <v>42</v>
      </c>
      <c r="W737" t="n">
        <v>17</v>
      </c>
      <c r="X737" t="n">
        <v>29500000</v>
      </c>
      <c r="Y737" t="inlineStr"/>
      <c r="Z737" t="inlineStr"/>
      <c r="AA737" t="inlineStr">
        <is>
          <t>https://knru.ru/catalog/grafskaya-ul-6/</t>
        </is>
      </c>
      <c r="AB737" t="inlineStr">
        <is>
          <t>C</t>
        </is>
      </c>
    </row>
    <row r="738">
      <c r="A738" t="n">
        <v>1004</v>
      </c>
      <c r="B738" t="n">
        <v>42</v>
      </c>
      <c r="C738" t="n">
        <v>20</v>
      </c>
      <c r="D738" t="inlineStr"/>
      <c r="E738" t="inlineStr"/>
      <c r="F738" t="inlineStr">
        <is>
          <t>Московское ш, 25к1 Д</t>
        </is>
      </c>
      <c r="G738" t="n">
        <v>7666</v>
      </c>
      <c r="H738" t="inlineStr">
        <is>
          <t>245 000 000</t>
        </is>
      </c>
      <c r="I738" t="inlineStr"/>
      <c r="J738" t="inlineStr"/>
      <c r="K738" t="inlineStr"/>
      <c r="L738" t="inlineStr"/>
      <c r="M738" t="inlineStr"/>
      <c r="N738" t="inlineStr">
        <is>
          <t>no</t>
        </is>
      </c>
      <c r="O738" t="inlineStr">
        <is>
          <t>none</t>
        </is>
      </c>
      <c r="P738">
        <f>HYPERLINK("https://knru.ru/catalog/moskovskoe-sh-25k1-d/","ссылка")</f>
        <v/>
      </c>
      <c r="Q738" t="inlineStr"/>
      <c r="R738" t="inlineStr">
        <is>
          <t>Нет у нас</t>
        </is>
      </c>
      <c r="S738" t="n">
        <v>0</v>
      </c>
      <c r="T738" t="inlineStr">
        <is>
          <t>Совпадений по улице+дому не найдено</t>
        </is>
      </c>
      <c r="U738" t="n">
        <v>1004</v>
      </c>
      <c r="V738" t="n">
        <v>42</v>
      </c>
      <c r="W738" t="n">
        <v>20</v>
      </c>
      <c r="X738" t="n">
        <v>245000000</v>
      </c>
      <c r="Y738" t="inlineStr"/>
      <c r="Z738" t="inlineStr"/>
      <c r="AA738" t="inlineStr">
        <is>
          <t>https://knru.ru/catalog/moskovskoe-sh-25k1-d/</t>
        </is>
      </c>
      <c r="AB738" t="inlineStr">
        <is>
          <t>C</t>
        </is>
      </c>
    </row>
    <row r="739">
      <c r="A739" t="n">
        <v>1005</v>
      </c>
      <c r="B739" t="n">
        <v>42</v>
      </c>
      <c r="C739" t="n">
        <v>21</v>
      </c>
      <c r="D739" t="n">
        <v>558563</v>
      </c>
      <c r="E739" t="inlineStr">
        <is>
          <t>Выборгский</t>
        </is>
      </c>
      <c r="F739" t="inlineStr">
        <is>
          <t>9-й Верхний пер</t>
        </is>
      </c>
      <c r="G739" t="n">
        <v>2000</v>
      </c>
      <c r="H739" t="inlineStr">
        <is>
          <t>25 000 000</t>
        </is>
      </c>
      <c r="I739" t="inlineStr"/>
      <c r="J739" t="inlineStr"/>
      <c r="K739" t="inlineStr"/>
      <c r="L739" t="inlineStr"/>
      <c r="M739" t="inlineStr"/>
      <c r="N739" t="inlineStr">
        <is>
          <t>no</t>
        </is>
      </c>
      <c r="O739" t="inlineStr">
        <is>
          <t>none</t>
        </is>
      </c>
      <c r="P739">
        <f>HYPERLINK("https://knru.ru/catalog/9-j-verxnij-per-558563/","ссылка")</f>
        <v/>
      </c>
      <c r="Q739" t="inlineStr"/>
      <c r="R739" t="inlineStr">
        <is>
          <t>Нет у нас</t>
        </is>
      </c>
      <c r="S739" t="n">
        <v>0</v>
      </c>
      <c r="T739" t="inlineStr">
        <is>
          <t>Совпадений по улице+дому не найдено</t>
        </is>
      </c>
      <c r="U739" t="n">
        <v>1005</v>
      </c>
      <c r="V739" t="n">
        <v>42</v>
      </c>
      <c r="W739" t="n">
        <v>21</v>
      </c>
      <c r="X739" t="n">
        <v>25000000</v>
      </c>
      <c r="Y739" t="inlineStr"/>
      <c r="Z739" t="inlineStr"/>
      <c r="AA739" t="inlineStr">
        <is>
          <t>https://knru.ru/catalog/9-j-verxnij-per-558563/</t>
        </is>
      </c>
      <c r="AB739" t="inlineStr">
        <is>
          <t>C</t>
        </is>
      </c>
    </row>
    <row r="740">
      <c r="A740" t="n">
        <v>1007</v>
      </c>
      <c r="B740" t="n">
        <v>42</v>
      </c>
      <c r="C740" t="n">
        <v>23</v>
      </c>
      <c r="D740" t="inlineStr"/>
      <c r="E740" t="inlineStr"/>
      <c r="F740" t="inlineStr">
        <is>
          <t>Трамвайный пр-кт, 32 литА</t>
        </is>
      </c>
      <c r="G740" t="n">
        <v>20817</v>
      </c>
      <c r="H740" t="inlineStr">
        <is>
          <t>745 779 474</t>
        </is>
      </c>
      <c r="I740" t="inlineStr"/>
      <c r="J740" t="inlineStr"/>
      <c r="K740" t="inlineStr"/>
      <c r="L740" t="inlineStr"/>
      <c r="M740" t="inlineStr"/>
      <c r="N740" t="inlineStr">
        <is>
          <t>no</t>
        </is>
      </c>
      <c r="O740" t="inlineStr">
        <is>
          <t>none</t>
        </is>
      </c>
      <c r="P740">
        <f>HYPERLINK("https://knru.ru/catalog/tramvajnyj-pr-kt-32-lita/","ссылка")</f>
        <v/>
      </c>
      <c r="Q740" t="inlineStr"/>
      <c r="R740" t="inlineStr">
        <is>
          <t>Нет у нас</t>
        </is>
      </c>
      <c r="S740" t="n">
        <v>0</v>
      </c>
      <c r="T740" t="inlineStr">
        <is>
          <t>Совпадений по улице+дому не найдено</t>
        </is>
      </c>
      <c r="U740" t="n">
        <v>1007</v>
      </c>
      <c r="V740" t="n">
        <v>42</v>
      </c>
      <c r="W740" t="n">
        <v>23</v>
      </c>
      <c r="X740" t="n">
        <v>745779474</v>
      </c>
      <c r="Y740" t="inlineStr"/>
      <c r="Z740" t="inlineStr"/>
      <c r="AA740" t="inlineStr">
        <is>
          <t>https://knru.ru/catalog/tramvajnyj-pr-kt-32-lita/</t>
        </is>
      </c>
      <c r="AB740" t="inlineStr">
        <is>
          <t>C</t>
        </is>
      </c>
    </row>
    <row r="741">
      <c r="A741" t="n">
        <v>1008</v>
      </c>
      <c r="B741" t="n">
        <v>42</v>
      </c>
      <c r="C741" t="n">
        <v>24</v>
      </c>
      <c r="D741" t="n">
        <v>558506</v>
      </c>
      <c r="E741" t="inlineStr"/>
      <c r="F741" t="inlineStr">
        <is>
          <t>Киевское ш, 235</t>
        </is>
      </c>
      <c r="G741" t="n">
        <v>10715</v>
      </c>
      <c r="H741" t="inlineStr">
        <is>
          <t>57 325 250</t>
        </is>
      </c>
      <c r="I741" t="inlineStr"/>
      <c r="J741" t="inlineStr"/>
      <c r="K741" t="inlineStr"/>
      <c r="L741" t="inlineStr"/>
      <c r="M741" t="inlineStr"/>
      <c r="N741" t="inlineStr">
        <is>
          <t>no</t>
        </is>
      </c>
      <c r="O741" t="inlineStr">
        <is>
          <t>none</t>
        </is>
      </c>
      <c r="P741">
        <f>HYPERLINK("https://knru.ru/catalog/kievskoe-sh-235-558506/","ссылка")</f>
        <v/>
      </c>
      <c r="Q741" t="inlineStr"/>
      <c r="R741" t="inlineStr">
        <is>
          <t>Нет у нас</t>
        </is>
      </c>
      <c r="S741" t="n">
        <v>0</v>
      </c>
      <c r="T741" t="inlineStr">
        <is>
          <t>Совпадений по улице+дому не найдено</t>
        </is>
      </c>
      <c r="U741" t="n">
        <v>1008</v>
      </c>
      <c r="V741" t="n">
        <v>42</v>
      </c>
      <c r="W741" t="n">
        <v>24</v>
      </c>
      <c r="X741" t="n">
        <v>57325250</v>
      </c>
      <c r="Y741" t="inlineStr"/>
      <c r="Z741" t="inlineStr"/>
      <c r="AA741" t="inlineStr">
        <is>
          <t>https://knru.ru/catalog/kievskoe-sh-235-558506/</t>
        </is>
      </c>
      <c r="AB741" t="inlineStr">
        <is>
          <t>C</t>
        </is>
      </c>
    </row>
    <row r="742">
      <c r="A742" t="n">
        <v>1009</v>
      </c>
      <c r="B742" t="n">
        <v>43</v>
      </c>
      <c r="C742" t="n">
        <v>1</v>
      </c>
      <c r="D742" t="n">
        <v>558482</v>
      </c>
      <c r="E742" t="inlineStr"/>
      <c r="F742" t="inlineStr">
        <is>
          <t>Промзона Мягловская тер., Круговая ул, 13</t>
        </is>
      </c>
      <c r="G742" t="n">
        <v>440</v>
      </c>
      <c r="H742" t="inlineStr">
        <is>
          <t>28 000 000</t>
        </is>
      </c>
      <c r="I742" t="inlineStr"/>
      <c r="J742" t="inlineStr"/>
      <c r="K742" t="inlineStr"/>
      <c r="L742" t="inlineStr"/>
      <c r="M742" t="inlineStr"/>
      <c r="N742" t="inlineStr">
        <is>
          <t>no</t>
        </is>
      </c>
      <c r="O742" t="inlineStr">
        <is>
          <t>none</t>
        </is>
      </c>
      <c r="P742">
        <f>HYPERLINK("https://knru.ru/catalog/promzona-myaglovskaya-ter-krugovaya-ul-13-558482/","ссылка")</f>
        <v/>
      </c>
      <c r="Q742" t="inlineStr"/>
      <c r="R742" t="inlineStr">
        <is>
          <t>Нет у нас</t>
        </is>
      </c>
      <c r="S742" t="n">
        <v>0</v>
      </c>
      <c r="T742" t="inlineStr">
        <is>
          <t>Совпадений по улице+дому не найдено</t>
        </is>
      </c>
      <c r="U742" t="n">
        <v>1009</v>
      </c>
      <c r="V742" t="n">
        <v>43</v>
      </c>
      <c r="W742" t="n">
        <v>1</v>
      </c>
      <c r="X742" t="n">
        <v>28000000</v>
      </c>
      <c r="Y742" t="inlineStr"/>
      <c r="Z742" t="inlineStr"/>
      <c r="AA742" t="inlineStr">
        <is>
          <t>https://knru.ru/catalog/promzona-myaglovskaya-ter-krugovaya-ul-13-558482/</t>
        </is>
      </c>
      <c r="AB742" t="inlineStr">
        <is>
          <t>C</t>
        </is>
      </c>
    </row>
    <row r="743">
      <c r="A743" t="n">
        <v>1010</v>
      </c>
      <c r="B743" t="n">
        <v>43</v>
      </c>
      <c r="C743" t="n">
        <v>2</v>
      </c>
      <c r="D743" t="n">
        <v>558450</v>
      </c>
      <c r="E743" t="inlineStr"/>
      <c r="F743" t="inlineStr">
        <is>
          <t>Победы ул, 62</t>
        </is>
      </c>
      <c r="G743" t="n">
        <v>2202</v>
      </c>
      <c r="H743" t="inlineStr">
        <is>
          <t>165 000 000</t>
        </is>
      </c>
      <c r="I743" t="inlineStr"/>
      <c r="J743" t="inlineStr"/>
      <c r="K743" t="inlineStr"/>
      <c r="L743" t="inlineStr"/>
      <c r="M743" t="inlineStr"/>
      <c r="N743" t="inlineStr">
        <is>
          <t>no</t>
        </is>
      </c>
      <c r="O743" t="inlineStr">
        <is>
          <t>none</t>
        </is>
      </c>
      <c r="P743">
        <f>HYPERLINK("https://knru.ru/catalog/pobedy-ul-62-558450/","ссылка")</f>
        <v/>
      </c>
      <c r="Q743" t="inlineStr"/>
      <c r="R743" t="inlineStr">
        <is>
          <t>Нет у нас</t>
        </is>
      </c>
      <c r="S743" t="n">
        <v>0</v>
      </c>
      <c r="T743" t="inlineStr">
        <is>
          <t>Совпадений по улице+дому не найдено</t>
        </is>
      </c>
      <c r="U743" t="n">
        <v>1010</v>
      </c>
      <c r="V743" t="n">
        <v>43</v>
      </c>
      <c r="W743" t="n">
        <v>2</v>
      </c>
      <c r="X743" t="n">
        <v>165000000</v>
      </c>
      <c r="Y743" t="inlineStr"/>
      <c r="Z743" t="inlineStr"/>
      <c r="AA743" t="inlineStr">
        <is>
          <t>https://knru.ru/catalog/pobedy-ul-62-558450/</t>
        </is>
      </c>
      <c r="AB743" t="inlineStr">
        <is>
          <t>C</t>
        </is>
      </c>
    </row>
    <row r="744">
      <c r="A744" t="n">
        <v>1011</v>
      </c>
      <c r="B744" t="n">
        <v>43</v>
      </c>
      <c r="C744" t="n">
        <v>3</v>
      </c>
      <c r="D744" t="n">
        <v>14</v>
      </c>
      <c r="E744" t="inlineStr"/>
      <c r="F744" t="inlineStr">
        <is>
          <t>Федоровское зона, 14</t>
        </is>
      </c>
      <c r="G744" t="n">
        <v>1450</v>
      </c>
      <c r="H744" t="inlineStr">
        <is>
          <t>75 000 000</t>
        </is>
      </c>
      <c r="I744" t="inlineStr"/>
      <c r="J744" t="inlineStr"/>
      <c r="K744" t="inlineStr"/>
      <c r="L744" t="inlineStr"/>
      <c r="M744" t="inlineStr"/>
      <c r="N744" t="inlineStr">
        <is>
          <t>no</t>
        </is>
      </c>
      <c r="O744" t="inlineStr">
        <is>
          <t>none</t>
        </is>
      </c>
      <c r="P744">
        <f>HYPERLINK("https://knru.ru/catalog/fedorovskoe-zona-14/","ссылка")</f>
        <v/>
      </c>
      <c r="Q744" t="inlineStr"/>
      <c r="R744" t="inlineStr">
        <is>
          <t>Нет у нас</t>
        </is>
      </c>
      <c r="S744" t="n">
        <v>0</v>
      </c>
      <c r="T744" t="inlineStr">
        <is>
          <t>Совпадений по улице+дому не найдено</t>
        </is>
      </c>
      <c r="U744" t="n">
        <v>1011</v>
      </c>
      <c r="V744" t="n">
        <v>43</v>
      </c>
      <c r="W744" t="n">
        <v>3</v>
      </c>
      <c r="X744" t="n">
        <v>75000000</v>
      </c>
      <c r="Y744" t="inlineStr"/>
      <c r="Z744" t="inlineStr"/>
      <c r="AA744" t="inlineStr">
        <is>
          <t>https://knru.ru/catalog/fedorovskoe-zona-14/</t>
        </is>
      </c>
      <c r="AB744" t="inlineStr">
        <is>
          <t>C</t>
        </is>
      </c>
    </row>
    <row r="745">
      <c r="A745" t="n">
        <v>1012</v>
      </c>
      <c r="B745" t="n">
        <v>43</v>
      </c>
      <c r="C745" t="n">
        <v>4</v>
      </c>
      <c r="D745" t="n">
        <v>13</v>
      </c>
      <c r="E745" t="inlineStr"/>
      <c r="F745" t="inlineStr">
        <is>
          <t>Промзона Мягловская тер., Круговая ул, 13</t>
        </is>
      </c>
      <c r="G745" t="n">
        <v>2628</v>
      </c>
      <c r="H745" t="inlineStr">
        <is>
          <t>200 000 000</t>
        </is>
      </c>
      <c r="I745" t="inlineStr"/>
      <c r="J745" t="inlineStr"/>
      <c r="K745" t="inlineStr"/>
      <c r="L745" t="inlineStr"/>
      <c r="M745" t="inlineStr"/>
      <c r="N745" t="inlineStr">
        <is>
          <t>no</t>
        </is>
      </c>
      <c r="O745" t="inlineStr">
        <is>
          <t>none</t>
        </is>
      </c>
      <c r="P745">
        <f>HYPERLINK("https://knru.ru/catalog/promzona-myaglovskaya-ter-krugovaya-ul-13/","ссылка")</f>
        <v/>
      </c>
      <c r="Q745" t="inlineStr"/>
      <c r="R745" t="inlineStr">
        <is>
          <t>Нет у нас</t>
        </is>
      </c>
      <c r="S745" t="n">
        <v>0</v>
      </c>
      <c r="T745" t="inlineStr">
        <is>
          <t>Совпадений по улице+дому не найдено</t>
        </is>
      </c>
      <c r="U745" t="n">
        <v>1012</v>
      </c>
      <c r="V745" t="n">
        <v>43</v>
      </c>
      <c r="W745" t="n">
        <v>4</v>
      </c>
      <c r="X745" t="n">
        <v>200000000</v>
      </c>
      <c r="Y745" t="inlineStr"/>
      <c r="Z745" t="inlineStr"/>
      <c r="AA745" t="inlineStr">
        <is>
          <t>https://knru.ru/catalog/promzona-myaglovskaya-ter-krugovaya-ul-13/</t>
        </is>
      </c>
      <c r="AB745" t="inlineStr">
        <is>
          <t>C</t>
        </is>
      </c>
    </row>
    <row r="746">
      <c r="A746" t="n">
        <v>1013</v>
      </c>
      <c r="B746" t="n">
        <v>43</v>
      </c>
      <c r="C746" t="n">
        <v>5</v>
      </c>
      <c r="D746" t="n">
        <v>558221</v>
      </c>
      <c r="E746" t="inlineStr"/>
      <c r="F746" t="inlineStr">
        <is>
          <t>Луговой пер, 3</t>
        </is>
      </c>
      <c r="G746" t="n">
        <v>900</v>
      </c>
      <c r="H746" t="inlineStr">
        <is>
          <t>85 000 000</t>
        </is>
      </c>
      <c r="I746" t="inlineStr"/>
      <c r="J746" t="inlineStr"/>
      <c r="K746" t="inlineStr"/>
      <c r="L746" t="inlineStr"/>
      <c r="M746" t="inlineStr"/>
      <c r="N746" t="inlineStr">
        <is>
          <t>no</t>
        </is>
      </c>
      <c r="O746" t="inlineStr">
        <is>
          <t>none</t>
        </is>
      </c>
      <c r="P746">
        <f>HYPERLINK("https://knru.ru/catalog/lugovoj-per-3-558221/","ссылка")</f>
        <v/>
      </c>
      <c r="Q746" t="inlineStr"/>
      <c r="R746" t="inlineStr">
        <is>
          <t>Нет у нас</t>
        </is>
      </c>
      <c r="S746" t="n">
        <v>0</v>
      </c>
      <c r="T746" t="inlineStr">
        <is>
          <t>Совпадений по улице+дому не найдено</t>
        </is>
      </c>
      <c r="U746" t="n">
        <v>1013</v>
      </c>
      <c r="V746" t="n">
        <v>43</v>
      </c>
      <c r="W746" t="n">
        <v>5</v>
      </c>
      <c r="X746" t="n">
        <v>85000000</v>
      </c>
      <c r="Y746" t="inlineStr"/>
      <c r="Z746" t="inlineStr"/>
      <c r="AA746" t="inlineStr">
        <is>
          <t>https://knru.ru/catalog/lugovoj-per-3-558221/</t>
        </is>
      </c>
      <c r="AB746" t="inlineStr">
        <is>
          <t>C</t>
        </is>
      </c>
    </row>
    <row r="747">
      <c r="A747" t="n">
        <v>1014</v>
      </c>
      <c r="B747" t="n">
        <v>43</v>
      </c>
      <c r="C747" t="n">
        <v>6</v>
      </c>
      <c r="D747" t="n">
        <v>3</v>
      </c>
      <c r="E747" t="inlineStr"/>
      <c r="F747" t="inlineStr">
        <is>
          <t>Луговой пер, 3</t>
        </is>
      </c>
      <c r="G747" t="n">
        <v>1797</v>
      </c>
      <c r="H747" t="inlineStr">
        <is>
          <t>115 000 000</t>
        </is>
      </c>
      <c r="I747" t="inlineStr"/>
      <c r="J747" t="inlineStr"/>
      <c r="K747" t="inlineStr"/>
      <c r="L747" t="inlineStr"/>
      <c r="M747" t="inlineStr"/>
      <c r="N747" t="inlineStr">
        <is>
          <t>no</t>
        </is>
      </c>
      <c r="O747" t="inlineStr">
        <is>
          <t>none</t>
        </is>
      </c>
      <c r="P747">
        <f>HYPERLINK("https://knru.ru/catalog/lugovoj-per-3/","ссылка")</f>
        <v/>
      </c>
      <c r="Q747" t="inlineStr"/>
      <c r="R747" t="inlineStr">
        <is>
          <t>Нет у нас</t>
        </is>
      </c>
      <c r="S747" t="n">
        <v>0</v>
      </c>
      <c r="T747" t="inlineStr">
        <is>
          <t>Совпадений по улице+дому не найдено</t>
        </is>
      </c>
      <c r="U747" t="n">
        <v>1014</v>
      </c>
      <c r="V747" t="n">
        <v>43</v>
      </c>
      <c r="W747" t="n">
        <v>6</v>
      </c>
      <c r="X747" t="n">
        <v>115000000</v>
      </c>
      <c r="Y747" t="inlineStr"/>
      <c r="Z747" t="inlineStr"/>
      <c r="AA747" t="inlineStr">
        <is>
          <t>https://knru.ru/catalog/lugovoj-per-3/</t>
        </is>
      </c>
      <c r="AB747" t="inlineStr">
        <is>
          <t>C</t>
        </is>
      </c>
    </row>
    <row r="748">
      <c r="A748" t="n">
        <v>1015</v>
      </c>
      <c r="B748" t="n">
        <v>43</v>
      </c>
      <c r="C748" t="n">
        <v>7</v>
      </c>
      <c r="D748" t="n">
        <v>1</v>
      </c>
      <c r="E748" t="inlineStr"/>
      <c r="F748" t="inlineStr">
        <is>
          <t>Ропшинское ш, 1</t>
        </is>
      </c>
      <c r="G748" t="n">
        <v>30000</v>
      </c>
      <c r="H748" t="inlineStr">
        <is>
          <t>580 000 000</t>
        </is>
      </c>
      <c r="I748" t="inlineStr"/>
      <c r="J748" t="inlineStr"/>
      <c r="K748" t="inlineStr"/>
      <c r="L748" t="inlineStr"/>
      <c r="M748" t="inlineStr"/>
      <c r="N748" t="inlineStr">
        <is>
          <t>no</t>
        </is>
      </c>
      <c r="O748" t="inlineStr">
        <is>
          <t>none</t>
        </is>
      </c>
      <c r="P748">
        <f>HYPERLINK("https://knru.ru/catalog/ropshinskoe-sh-1/","ссылка")</f>
        <v/>
      </c>
      <c r="Q748" t="inlineStr"/>
      <c r="R748" t="inlineStr">
        <is>
          <t>Нет у нас</t>
        </is>
      </c>
      <c r="S748" t="n">
        <v>0</v>
      </c>
      <c r="T748" t="inlineStr">
        <is>
          <t>Совпадений по улице+дому не найдено</t>
        </is>
      </c>
      <c r="U748" t="n">
        <v>1015</v>
      </c>
      <c r="V748" t="n">
        <v>43</v>
      </c>
      <c r="W748" t="n">
        <v>7</v>
      </c>
      <c r="X748" t="n">
        <v>580000000</v>
      </c>
      <c r="Y748" t="inlineStr"/>
      <c r="Z748" t="inlineStr"/>
      <c r="AA748" t="inlineStr">
        <is>
          <t>https://knru.ru/catalog/ropshinskoe-sh-1/</t>
        </is>
      </c>
      <c r="AB748" t="inlineStr">
        <is>
          <t>C</t>
        </is>
      </c>
    </row>
    <row r="749">
      <c r="A749" t="n">
        <v>1016</v>
      </c>
      <c r="B749" t="n">
        <v>43</v>
      </c>
      <c r="C749" t="n">
        <v>8</v>
      </c>
      <c r="D749" t="inlineStr"/>
      <c r="E749" t="inlineStr"/>
      <c r="F749" t="inlineStr">
        <is>
          <t>Большевиков пр-кт, 36к3 А</t>
        </is>
      </c>
      <c r="G749" t="n">
        <v>743</v>
      </c>
      <c r="H749" t="inlineStr">
        <is>
          <t>135 000 000</t>
        </is>
      </c>
      <c r="I749" t="inlineStr"/>
      <c r="J749" t="inlineStr"/>
      <c r="K749" t="inlineStr"/>
      <c r="L749" t="inlineStr"/>
      <c r="M749" t="inlineStr"/>
      <c r="N749" t="inlineStr">
        <is>
          <t>no</t>
        </is>
      </c>
      <c r="O749" t="inlineStr">
        <is>
          <t>none</t>
        </is>
      </c>
      <c r="P749">
        <f>HYPERLINK("https://knru.ru/catalog/bolshevikov-pr-kt-36k3-a/","ссылка")</f>
        <v/>
      </c>
      <c r="Q749" t="inlineStr"/>
      <c r="R749" t="inlineStr">
        <is>
          <t>Нет у нас</t>
        </is>
      </c>
      <c r="S749" t="n">
        <v>0</v>
      </c>
      <c r="T749" t="inlineStr">
        <is>
          <t>Совпадений по улице+дому не найдено</t>
        </is>
      </c>
      <c r="U749" t="n">
        <v>1016</v>
      </c>
      <c r="V749" t="n">
        <v>43</v>
      </c>
      <c r="W749" t="n">
        <v>8</v>
      </c>
      <c r="X749" t="n">
        <v>135000000</v>
      </c>
      <c r="Y749" t="inlineStr"/>
      <c r="Z749" t="inlineStr"/>
      <c r="AA749" t="inlineStr">
        <is>
          <t>https://knru.ru/catalog/bolshevikov-pr-kt-36k3-a/</t>
        </is>
      </c>
      <c r="AB749" t="inlineStr">
        <is>
          <t>C</t>
        </is>
      </c>
    </row>
    <row r="750">
      <c r="A750" t="n">
        <v>1017</v>
      </c>
      <c r="B750" t="n">
        <v>43</v>
      </c>
      <c r="C750" t="n">
        <v>9</v>
      </c>
      <c r="D750" t="n">
        <v>557990</v>
      </c>
      <c r="E750" t="inlineStr"/>
      <c r="F750" t="inlineStr">
        <is>
          <t>Разметелевская ул, 11</t>
        </is>
      </c>
      <c r="G750" t="n">
        <v>10000</v>
      </c>
      <c r="H750" t="inlineStr">
        <is>
          <t>16 000 000</t>
        </is>
      </c>
      <c r="I750" t="inlineStr"/>
      <c r="J750" t="inlineStr"/>
      <c r="K750" t="inlineStr"/>
      <c r="L750" t="inlineStr"/>
      <c r="M750" t="inlineStr"/>
      <c r="N750" t="inlineStr">
        <is>
          <t>no</t>
        </is>
      </c>
      <c r="O750" t="inlineStr">
        <is>
          <t>none</t>
        </is>
      </c>
      <c r="P750">
        <f>HYPERLINK("https://knru.ru/catalog/razmetelevskaya-ul-11-557990/","ссылка")</f>
        <v/>
      </c>
      <c r="Q750" t="inlineStr"/>
      <c r="R750" t="inlineStr">
        <is>
          <t>Нет у нас</t>
        </is>
      </c>
      <c r="S750" t="n">
        <v>0</v>
      </c>
      <c r="T750" t="inlineStr">
        <is>
          <t>Совпадений по улице+дому не найдено</t>
        </is>
      </c>
      <c r="U750" t="n">
        <v>1017</v>
      </c>
      <c r="V750" t="n">
        <v>43</v>
      </c>
      <c r="W750" t="n">
        <v>9</v>
      </c>
      <c r="X750" t="n">
        <v>16000000</v>
      </c>
      <c r="Y750" t="inlineStr"/>
      <c r="Z750" t="inlineStr"/>
      <c r="AA750" t="inlineStr">
        <is>
          <t>https://knru.ru/catalog/razmetelevskaya-ul-11-557990/</t>
        </is>
      </c>
      <c r="AB750" t="inlineStr">
        <is>
          <t>C</t>
        </is>
      </c>
    </row>
    <row r="751">
      <c r="A751" t="n">
        <v>1018</v>
      </c>
      <c r="B751" t="n">
        <v>43</v>
      </c>
      <c r="C751" t="n">
        <v>10</v>
      </c>
      <c r="D751" t="inlineStr"/>
      <c r="E751" t="inlineStr"/>
      <c r="F751" t="inlineStr">
        <is>
          <t>Новосаратовская, 238А</t>
        </is>
      </c>
      <c r="G751" t="n">
        <v>424550</v>
      </c>
      <c r="H751" t="inlineStr">
        <is>
          <t>5 000 000 000</t>
        </is>
      </c>
      <c r="I751" t="inlineStr"/>
      <c r="J751" t="inlineStr"/>
      <c r="K751" t="inlineStr"/>
      <c r="L751" t="inlineStr"/>
      <c r="M751" t="inlineStr"/>
      <c r="N751" t="inlineStr">
        <is>
          <t>no</t>
        </is>
      </c>
      <c r="O751" t="inlineStr">
        <is>
          <t>none</t>
        </is>
      </c>
      <c r="P751">
        <f>HYPERLINK("https://knru.ru/catalog/novosaratovskaya-238a/","ссылка")</f>
        <v/>
      </c>
      <c r="Q751" t="inlineStr"/>
      <c r="R751" t="inlineStr">
        <is>
          <t>Нет у нас</t>
        </is>
      </c>
      <c r="S751" t="n">
        <v>0</v>
      </c>
      <c r="T751" t="inlineStr">
        <is>
          <t>Совпадений по улице+дому не найдено</t>
        </is>
      </c>
      <c r="U751" t="n">
        <v>1018</v>
      </c>
      <c r="V751" t="n">
        <v>43</v>
      </c>
      <c r="W751" t="n">
        <v>10</v>
      </c>
      <c r="X751" t="n">
        <v>5000000000</v>
      </c>
      <c r="Y751" t="inlineStr"/>
      <c r="Z751" t="inlineStr"/>
      <c r="AA751" t="inlineStr">
        <is>
          <t>https://knru.ru/catalog/novosaratovskaya-238a/</t>
        </is>
      </c>
      <c r="AB751" t="inlineStr">
        <is>
          <t>C</t>
        </is>
      </c>
    </row>
    <row r="752">
      <c r="A752" t="n">
        <v>1021</v>
      </c>
      <c r="B752" t="n">
        <v>43</v>
      </c>
      <c r="C752" t="n">
        <v>13</v>
      </c>
      <c r="D752" t="n">
        <v>24</v>
      </c>
      <c r="E752" t="inlineStr"/>
      <c r="F752" t="inlineStr">
        <is>
          <t>Почтовый проезд, 24</t>
        </is>
      </c>
      <c r="G752" t="n">
        <v>1260</v>
      </c>
      <c r="H752" t="inlineStr">
        <is>
          <t>50 000 000</t>
        </is>
      </c>
      <c r="I752" t="inlineStr"/>
      <c r="J752" t="inlineStr"/>
      <c r="K752" t="inlineStr"/>
      <c r="L752" t="inlineStr"/>
      <c r="M752" t="inlineStr"/>
      <c r="N752" t="inlineStr">
        <is>
          <t>no</t>
        </is>
      </c>
      <c r="O752" t="inlineStr">
        <is>
          <t>none</t>
        </is>
      </c>
      <c r="P752">
        <f>HYPERLINK("https://knru.ru/catalog/pochtovyj-proezd-24/","ссылка")</f>
        <v/>
      </c>
      <c r="Q752" t="inlineStr"/>
      <c r="R752" t="inlineStr">
        <is>
          <t>Нет у нас</t>
        </is>
      </c>
      <c r="S752" t="n">
        <v>0</v>
      </c>
      <c r="T752" t="inlineStr">
        <is>
          <t>Совпадений по улице+дому не найдено</t>
        </is>
      </c>
      <c r="U752" t="n">
        <v>1021</v>
      </c>
      <c r="V752" t="n">
        <v>43</v>
      </c>
      <c r="W752" t="n">
        <v>13</v>
      </c>
      <c r="X752" t="n">
        <v>50000000</v>
      </c>
      <c r="Y752" t="inlineStr"/>
      <c r="Z752" t="inlineStr"/>
      <c r="AA752" t="inlineStr">
        <is>
          <t>https://knru.ru/catalog/pochtovyj-proezd-24/</t>
        </is>
      </c>
      <c r="AB752" t="inlineStr">
        <is>
          <t>C</t>
        </is>
      </c>
    </row>
    <row r="753">
      <c r="A753" t="n">
        <v>1022</v>
      </c>
      <c r="B753" t="n">
        <v>43</v>
      </c>
      <c r="C753" t="n">
        <v>14</v>
      </c>
      <c r="D753" t="n">
        <v>1</v>
      </c>
      <c r="E753" t="inlineStr"/>
      <c r="F753" t="inlineStr">
        <is>
          <t>Почтовая ул, 1</t>
        </is>
      </c>
      <c r="G753" t="n">
        <v>1000</v>
      </c>
      <c r="H753" t="inlineStr">
        <is>
          <t>57 000 000</t>
        </is>
      </c>
      <c r="I753" t="inlineStr"/>
      <c r="J753" t="inlineStr"/>
      <c r="K753" t="inlineStr"/>
      <c r="L753" t="inlineStr"/>
      <c r="M753" t="inlineStr"/>
      <c r="N753" t="inlineStr">
        <is>
          <t>no</t>
        </is>
      </c>
      <c r="O753" t="inlineStr">
        <is>
          <t>none</t>
        </is>
      </c>
      <c r="P753">
        <f>HYPERLINK("https://knru.ru/catalog/pochtovaya-ul-1/","ссылка")</f>
        <v/>
      </c>
      <c r="Q753" t="inlineStr"/>
      <c r="R753" t="inlineStr">
        <is>
          <t>Нет у нас</t>
        </is>
      </c>
      <c r="S753" t="n">
        <v>0</v>
      </c>
      <c r="T753" t="inlineStr">
        <is>
          <t>Совпадений по улице+дому не найдено</t>
        </is>
      </c>
      <c r="U753" t="n">
        <v>1022</v>
      </c>
      <c r="V753" t="n">
        <v>43</v>
      </c>
      <c r="W753" t="n">
        <v>14</v>
      </c>
      <c r="X753" t="n">
        <v>57000000</v>
      </c>
      <c r="Y753" t="inlineStr"/>
      <c r="Z753" t="inlineStr"/>
      <c r="AA753" t="inlineStr">
        <is>
          <t>https://knru.ru/catalog/pochtovaya-ul-1/</t>
        </is>
      </c>
      <c r="AB753" t="inlineStr">
        <is>
          <t>C</t>
        </is>
      </c>
    </row>
    <row r="754">
      <c r="A754" t="n">
        <v>1023</v>
      </c>
      <c r="B754" t="n">
        <v>43</v>
      </c>
      <c r="C754" t="n">
        <v>15</v>
      </c>
      <c r="D754" t="n">
        <v>19</v>
      </c>
      <c r="E754" t="inlineStr"/>
      <c r="F754" t="inlineStr">
        <is>
          <t>Казанская пл, 17-19</t>
        </is>
      </c>
      <c r="G754" t="n">
        <v>352</v>
      </c>
      <c r="H754" t="inlineStr">
        <is>
          <t>85 000 000</t>
        </is>
      </c>
      <c r="I754" t="inlineStr"/>
      <c r="J754" t="inlineStr"/>
      <c r="K754" t="inlineStr"/>
      <c r="L754" t="inlineStr"/>
      <c r="M754" t="inlineStr"/>
      <c r="N754" t="inlineStr">
        <is>
          <t>no</t>
        </is>
      </c>
      <c r="O754" t="inlineStr">
        <is>
          <t>none</t>
        </is>
      </c>
      <c r="P754">
        <f>HYPERLINK("https://knru.ru/catalog/kazanskaya-pl-17-19/","ссылка")</f>
        <v/>
      </c>
      <c r="Q754" t="inlineStr"/>
      <c r="R754" t="inlineStr">
        <is>
          <t>Нет у нас</t>
        </is>
      </c>
      <c r="S754" t="n">
        <v>0</v>
      </c>
      <c r="T754" t="inlineStr">
        <is>
          <t>Совпадений по улице+дому не найдено</t>
        </is>
      </c>
      <c r="U754" t="n">
        <v>1023</v>
      </c>
      <c r="V754" t="n">
        <v>43</v>
      </c>
      <c r="W754" t="n">
        <v>15</v>
      </c>
      <c r="X754" t="n">
        <v>85000000</v>
      </c>
      <c r="Y754" t="inlineStr"/>
      <c r="Z754" t="inlineStr"/>
      <c r="AA754" t="inlineStr">
        <is>
          <t>https://knru.ru/catalog/kazanskaya-pl-17-19/</t>
        </is>
      </c>
      <c r="AB754" t="inlineStr">
        <is>
          <t>C</t>
        </is>
      </c>
    </row>
    <row r="755">
      <c r="A755" t="n">
        <v>1024</v>
      </c>
      <c r="B755" t="n">
        <v>43</v>
      </c>
      <c r="C755" t="n">
        <v>16</v>
      </c>
      <c r="D755" t="n">
        <v>11</v>
      </c>
      <c r="E755" t="inlineStr"/>
      <c r="F755" t="inlineStr">
        <is>
          <t>Центральная, 11</t>
        </is>
      </c>
      <c r="G755" t="n">
        <v>2685</v>
      </c>
      <c r="H755" t="inlineStr">
        <is>
          <t>159 000 000</t>
        </is>
      </c>
      <c r="I755" t="inlineStr"/>
      <c r="J755" t="inlineStr"/>
      <c r="K755" t="inlineStr"/>
      <c r="L755" t="inlineStr"/>
      <c r="M755" t="inlineStr"/>
      <c r="N755" t="inlineStr">
        <is>
          <t>no</t>
        </is>
      </c>
      <c r="O755" t="inlineStr">
        <is>
          <t>none</t>
        </is>
      </c>
      <c r="P755">
        <f>HYPERLINK("https://knru.ru/catalog/tsentralnaya-11/","ссылка")</f>
        <v/>
      </c>
      <c r="Q755" t="inlineStr"/>
      <c r="R755" t="inlineStr">
        <is>
          <t>Нет у нас</t>
        </is>
      </c>
      <c r="S755" t="n">
        <v>0</v>
      </c>
      <c r="T755" t="inlineStr">
        <is>
          <t>Совпадений по улице+дому не найдено</t>
        </is>
      </c>
      <c r="U755" t="n">
        <v>1024</v>
      </c>
      <c r="V755" t="n">
        <v>43</v>
      </c>
      <c r="W755" t="n">
        <v>16</v>
      </c>
      <c r="X755" t="n">
        <v>159000000</v>
      </c>
      <c r="Y755" t="inlineStr"/>
      <c r="Z755" t="inlineStr"/>
      <c r="AA755" t="inlineStr">
        <is>
          <t>https://knru.ru/catalog/tsentralnaya-11/</t>
        </is>
      </c>
      <c r="AB755" t="inlineStr">
        <is>
          <t>C</t>
        </is>
      </c>
    </row>
    <row r="756">
      <c r="A756" t="n">
        <v>1025</v>
      </c>
      <c r="B756" t="n">
        <v>43</v>
      </c>
      <c r="C756" t="n">
        <v>17</v>
      </c>
      <c r="D756" t="n">
        <v>8</v>
      </c>
      <c r="E756" t="inlineStr"/>
      <c r="F756" t="inlineStr">
        <is>
          <t>Лесная ул, 8</t>
        </is>
      </c>
      <c r="G756" t="n">
        <v>570</v>
      </c>
      <c r="H756" t="inlineStr">
        <is>
          <t>40 000 000</t>
        </is>
      </c>
      <c r="I756" t="inlineStr"/>
      <c r="J756" t="inlineStr"/>
      <c r="K756" t="inlineStr"/>
      <c r="L756" t="inlineStr"/>
      <c r="M756" t="inlineStr"/>
      <c r="N756" t="inlineStr">
        <is>
          <t>no</t>
        </is>
      </c>
      <c r="O756" t="inlineStr">
        <is>
          <t>none</t>
        </is>
      </c>
      <c r="P756">
        <f>HYPERLINK("https://knru.ru/catalog/lesnaya-ul-8/","ссылка")</f>
        <v/>
      </c>
      <c r="Q756" t="inlineStr"/>
      <c r="R756" t="inlineStr">
        <is>
          <t>Нет у нас</t>
        </is>
      </c>
      <c r="S756" t="n">
        <v>0</v>
      </c>
      <c r="T756" t="inlineStr">
        <is>
          <t>Совпадений по улице+дому не найдено</t>
        </is>
      </c>
      <c r="U756" t="n">
        <v>1025</v>
      </c>
      <c r="V756" t="n">
        <v>43</v>
      </c>
      <c r="W756" t="n">
        <v>17</v>
      </c>
      <c r="X756" t="n">
        <v>40000000</v>
      </c>
      <c r="Y756" t="inlineStr"/>
      <c r="Z756" t="inlineStr"/>
      <c r="AA756" t="inlineStr">
        <is>
          <t>https://knru.ru/catalog/lesnaya-ul-8/</t>
        </is>
      </c>
      <c r="AB756" t="inlineStr">
        <is>
          <t>C</t>
        </is>
      </c>
    </row>
    <row r="757">
      <c r="A757" t="n">
        <v>1026</v>
      </c>
      <c r="B757" t="n">
        <v>43</v>
      </c>
      <c r="C757" t="n">
        <v>18</v>
      </c>
      <c r="D757" t="n">
        <v>557857</v>
      </c>
      <c r="E757" t="inlineStr"/>
      <c r="F757" t="inlineStr">
        <is>
          <t>Парашютная ул, 51стр1</t>
        </is>
      </c>
      <c r="G757" t="n">
        <v>160</v>
      </c>
      <c r="H757" t="inlineStr">
        <is>
          <t>52 000 000</t>
        </is>
      </c>
      <c r="I757" t="inlineStr"/>
      <c r="J757" t="inlineStr"/>
      <c r="K757" t="inlineStr"/>
      <c r="L757" t="inlineStr"/>
      <c r="M757" t="inlineStr"/>
      <c r="N757" t="inlineStr">
        <is>
          <t>no</t>
        </is>
      </c>
      <c r="O757" t="inlineStr">
        <is>
          <t>none</t>
        </is>
      </c>
      <c r="P757">
        <f>HYPERLINK("https://knru.ru/catalog/parashyutnaya-ul-51str1-557857/","ссылка")</f>
        <v/>
      </c>
      <c r="Q757" t="inlineStr"/>
      <c r="R757" t="inlineStr">
        <is>
          <t>Нет у нас</t>
        </is>
      </c>
      <c r="S757" t="n">
        <v>0</v>
      </c>
      <c r="T757" t="inlineStr">
        <is>
          <t>Совпадений по улице+дому не найдено</t>
        </is>
      </c>
      <c r="U757" t="n">
        <v>1026</v>
      </c>
      <c r="V757" t="n">
        <v>43</v>
      </c>
      <c r="W757" t="n">
        <v>18</v>
      </c>
      <c r="X757" t="n">
        <v>52000000</v>
      </c>
      <c r="Y757" t="inlineStr"/>
      <c r="Z757" t="inlineStr"/>
      <c r="AA757" t="inlineStr">
        <is>
          <t>https://knru.ru/catalog/parashyutnaya-ul-51str1-557857/</t>
        </is>
      </c>
      <c r="AB757" t="inlineStr">
        <is>
          <t>C</t>
        </is>
      </c>
    </row>
    <row r="758">
      <c r="A758" t="n">
        <v>1027</v>
      </c>
      <c r="B758" t="n">
        <v>43</v>
      </c>
      <c r="C758" t="n">
        <v>19</v>
      </c>
      <c r="D758" t="n">
        <v>557856</v>
      </c>
      <c r="E758" t="inlineStr"/>
      <c r="F758" t="inlineStr">
        <is>
          <t>Парашютная ул, 51стр1</t>
        </is>
      </c>
      <c r="G758" t="n">
        <v>150</v>
      </c>
      <c r="H758" t="inlineStr">
        <is>
          <t>51 000 000</t>
        </is>
      </c>
      <c r="I758" t="inlineStr"/>
      <c r="J758" t="inlineStr"/>
      <c r="K758" t="inlineStr"/>
      <c r="L758" t="inlineStr"/>
      <c r="M758" t="inlineStr"/>
      <c r="N758" t="inlineStr">
        <is>
          <t>no</t>
        </is>
      </c>
      <c r="O758" t="inlineStr">
        <is>
          <t>none</t>
        </is>
      </c>
      <c r="P758">
        <f>HYPERLINK("https://knru.ru/catalog/parashyutnaya-ul-51str1-557856/","ссылка")</f>
        <v/>
      </c>
      <c r="Q758" t="inlineStr"/>
      <c r="R758" t="inlineStr">
        <is>
          <t>Нет у нас</t>
        </is>
      </c>
      <c r="S758" t="n">
        <v>0</v>
      </c>
      <c r="T758" t="inlineStr">
        <is>
          <t>Совпадений по улице+дому не найдено</t>
        </is>
      </c>
      <c r="U758" t="n">
        <v>1027</v>
      </c>
      <c r="V758" t="n">
        <v>43</v>
      </c>
      <c r="W758" t="n">
        <v>19</v>
      </c>
      <c r="X758" t="n">
        <v>51000000</v>
      </c>
      <c r="Y758" t="inlineStr"/>
      <c r="Z758" t="inlineStr"/>
      <c r="AA758" t="inlineStr">
        <is>
          <t>https://knru.ru/catalog/parashyutnaya-ul-51str1-557856/</t>
        </is>
      </c>
      <c r="AB758" t="inlineStr">
        <is>
          <t>C</t>
        </is>
      </c>
    </row>
    <row r="759">
      <c r="A759" t="n">
        <v>1028</v>
      </c>
      <c r="B759" t="n">
        <v>43</v>
      </c>
      <c r="C759" t="n">
        <v>20</v>
      </c>
      <c r="D759" t="n">
        <v>557850</v>
      </c>
      <c r="E759" t="inlineStr"/>
      <c r="F759" t="inlineStr">
        <is>
          <t>Парашютная ул, 51стр1</t>
        </is>
      </c>
      <c r="G759" t="n">
        <v>1461</v>
      </c>
      <c r="H759" t="inlineStr">
        <is>
          <t>420 000 000</t>
        </is>
      </c>
      <c r="I759" t="inlineStr"/>
      <c r="J759" t="inlineStr"/>
      <c r="K759" t="inlineStr"/>
      <c r="L759" t="inlineStr"/>
      <c r="M759" t="inlineStr"/>
      <c r="N759" t="inlineStr">
        <is>
          <t>no</t>
        </is>
      </c>
      <c r="O759" t="inlineStr">
        <is>
          <t>none</t>
        </is>
      </c>
      <c r="P759">
        <f>HYPERLINK("https://knru.ru/catalog/parashyutnaya-ul-51str1-557850/","ссылка")</f>
        <v/>
      </c>
      <c r="Q759" t="inlineStr"/>
      <c r="R759" t="inlineStr">
        <is>
          <t>Нет у нас</t>
        </is>
      </c>
      <c r="S759" t="n">
        <v>0</v>
      </c>
      <c r="T759" t="inlineStr">
        <is>
          <t>Совпадений по улице+дому не найдено</t>
        </is>
      </c>
      <c r="U759" t="n">
        <v>1028</v>
      </c>
      <c r="V759" t="n">
        <v>43</v>
      </c>
      <c r="W759" t="n">
        <v>20</v>
      </c>
      <c r="X759" t="n">
        <v>420000000</v>
      </c>
      <c r="Y759" t="inlineStr"/>
      <c r="Z759" t="inlineStr"/>
      <c r="AA759" t="inlineStr">
        <is>
          <t>https://knru.ru/catalog/parashyutnaya-ul-51str1-557850/</t>
        </is>
      </c>
      <c r="AB759" t="inlineStr">
        <is>
          <t>C</t>
        </is>
      </c>
    </row>
    <row r="760">
      <c r="A760" t="n">
        <v>1029</v>
      </c>
      <c r="B760" t="n">
        <v>43</v>
      </c>
      <c r="C760" t="n">
        <v>21</v>
      </c>
      <c r="D760" t="n">
        <v>111</v>
      </c>
      <c r="E760" t="inlineStr"/>
      <c r="F760" t="inlineStr">
        <is>
          <t>Витебский пр-кт, 111</t>
        </is>
      </c>
      <c r="G760" t="n">
        <v>7720</v>
      </c>
      <c r="H760" t="inlineStr">
        <is>
          <t>280 000 000</t>
        </is>
      </c>
      <c r="I760" t="inlineStr"/>
      <c r="J760" t="inlineStr"/>
      <c r="K760" t="inlineStr"/>
      <c r="L760" t="inlineStr"/>
      <c r="M760" t="inlineStr"/>
      <c r="N760" t="inlineStr">
        <is>
          <t>no</t>
        </is>
      </c>
      <c r="O760" t="inlineStr">
        <is>
          <t>none</t>
        </is>
      </c>
      <c r="P760">
        <f>HYPERLINK("https://knru.ru/catalog/vitebskij-pr-kt-111/","ссылка")</f>
        <v/>
      </c>
      <c r="Q760" t="inlineStr"/>
      <c r="R760" t="inlineStr">
        <is>
          <t>Нет у нас</t>
        </is>
      </c>
      <c r="S760" t="n">
        <v>0</v>
      </c>
      <c r="T760" t="inlineStr">
        <is>
          <t>Совпадений по улице+дому не найдено</t>
        </is>
      </c>
      <c r="U760" t="n">
        <v>1029</v>
      </c>
      <c r="V760" t="n">
        <v>43</v>
      </c>
      <c r="W760" t="n">
        <v>21</v>
      </c>
      <c r="X760" t="n">
        <v>280000000</v>
      </c>
      <c r="Y760" t="inlineStr"/>
      <c r="Z760" t="inlineStr"/>
      <c r="AA760" t="inlineStr">
        <is>
          <t>https://knru.ru/catalog/vitebskij-pr-kt-111/</t>
        </is>
      </c>
      <c r="AB760" t="inlineStr">
        <is>
          <t>C</t>
        </is>
      </c>
    </row>
    <row r="761">
      <c r="A761" t="n">
        <v>1030</v>
      </c>
      <c r="B761" t="n">
        <v>43</v>
      </c>
      <c r="C761" t="n">
        <v>22</v>
      </c>
      <c r="D761" t="n">
        <v>557846</v>
      </c>
      <c r="E761" t="inlineStr"/>
      <c r="F761" t="inlineStr">
        <is>
          <t>Парашютная ул, 51стр1</t>
        </is>
      </c>
      <c r="G761" t="n">
        <v>600</v>
      </c>
      <c r="H761" t="inlineStr">
        <is>
          <t>170 400 000</t>
        </is>
      </c>
      <c r="I761" t="inlineStr"/>
      <c r="J761" t="inlineStr"/>
      <c r="K761" t="inlineStr"/>
      <c r="L761" t="inlineStr"/>
      <c r="M761" t="inlineStr"/>
      <c r="N761" t="inlineStr">
        <is>
          <t>no</t>
        </is>
      </c>
      <c r="O761" t="inlineStr">
        <is>
          <t>none</t>
        </is>
      </c>
      <c r="P761">
        <f>HYPERLINK("https://knru.ru/catalog/parashyutnaya-ul-51str1-557846/","ссылка")</f>
        <v/>
      </c>
      <c r="Q761" t="inlineStr"/>
      <c r="R761" t="inlineStr">
        <is>
          <t>Нет у нас</t>
        </is>
      </c>
      <c r="S761" t="n">
        <v>0</v>
      </c>
      <c r="T761" t="inlineStr">
        <is>
          <t>Совпадений по улице+дому не найдено</t>
        </is>
      </c>
      <c r="U761" t="n">
        <v>1030</v>
      </c>
      <c r="V761" t="n">
        <v>43</v>
      </c>
      <c r="W761" t="n">
        <v>22</v>
      </c>
      <c r="X761" t="n">
        <v>170400000</v>
      </c>
      <c r="Y761" t="inlineStr"/>
      <c r="Z761" t="inlineStr"/>
      <c r="AA761" t="inlineStr">
        <is>
          <t>https://knru.ru/catalog/parashyutnaya-ul-51str1-557846/</t>
        </is>
      </c>
      <c r="AB761" t="inlineStr">
        <is>
          <t>C</t>
        </is>
      </c>
    </row>
    <row r="762">
      <c r="A762" t="n">
        <v>1031</v>
      </c>
      <c r="B762" t="n">
        <v>43</v>
      </c>
      <c r="C762" t="n">
        <v>23</v>
      </c>
      <c r="D762" t="n">
        <v>9</v>
      </c>
      <c r="E762" t="inlineStr"/>
      <c r="F762" t="inlineStr">
        <is>
          <t>Техническая ул, 9</t>
        </is>
      </c>
      <c r="G762" t="n">
        <v>576</v>
      </c>
      <c r="H762" t="inlineStr">
        <is>
          <t>31 000 000</t>
        </is>
      </c>
      <c r="I762" t="inlineStr"/>
      <c r="J762" t="inlineStr"/>
      <c r="K762" t="inlineStr"/>
      <c r="L762" t="inlineStr"/>
      <c r="M762" t="inlineStr"/>
      <c r="N762" t="inlineStr">
        <is>
          <t>no</t>
        </is>
      </c>
      <c r="O762" t="inlineStr">
        <is>
          <t>none</t>
        </is>
      </c>
      <c r="P762">
        <f>HYPERLINK("https://knru.ru/catalog/texnicheskaya-ul-9/","ссылка")</f>
        <v/>
      </c>
      <c r="Q762" t="inlineStr"/>
      <c r="R762" t="inlineStr">
        <is>
          <t>Нет у нас</t>
        </is>
      </c>
      <c r="S762" t="n">
        <v>0</v>
      </c>
      <c r="T762" t="inlineStr">
        <is>
          <t>Совпадений по улице+дому не найдено</t>
        </is>
      </c>
      <c r="U762" t="n">
        <v>1031</v>
      </c>
      <c r="V762" t="n">
        <v>43</v>
      </c>
      <c r="W762" t="n">
        <v>23</v>
      </c>
      <c r="X762" t="n">
        <v>31000000</v>
      </c>
      <c r="Y762" t="inlineStr"/>
      <c r="Z762" t="inlineStr"/>
      <c r="AA762" t="inlineStr">
        <is>
          <t>https://knru.ru/catalog/texnicheskaya-ul-9/</t>
        </is>
      </c>
      <c r="AB762" t="inlineStr">
        <is>
          <t>C</t>
        </is>
      </c>
    </row>
    <row r="763">
      <c r="A763" t="n">
        <v>1032</v>
      </c>
      <c r="B763" t="n">
        <v>43</v>
      </c>
      <c r="C763" t="n">
        <v>24</v>
      </c>
      <c r="D763" t="n">
        <v>62</v>
      </c>
      <c r="E763" t="inlineStr"/>
      <c r="F763" t="inlineStr">
        <is>
          <t>Победы ул, 62</t>
        </is>
      </c>
      <c r="G763" t="n">
        <v>1082</v>
      </c>
      <c r="H763" t="inlineStr">
        <is>
          <t>88 000 000</t>
        </is>
      </c>
      <c r="I763" t="inlineStr"/>
      <c r="J763" t="inlineStr"/>
      <c r="K763" t="inlineStr"/>
      <c r="L763" t="inlineStr"/>
      <c r="M763" t="inlineStr"/>
      <c r="N763" t="inlineStr">
        <is>
          <t>no</t>
        </is>
      </c>
      <c r="O763" t="inlineStr">
        <is>
          <t>none</t>
        </is>
      </c>
      <c r="P763">
        <f>HYPERLINK("https://knru.ru/catalog/pobedy-ul-62/","ссылка")</f>
        <v/>
      </c>
      <c r="Q763" t="inlineStr"/>
      <c r="R763" t="inlineStr">
        <is>
          <t>Нет у нас</t>
        </is>
      </c>
      <c r="S763" t="n">
        <v>0</v>
      </c>
      <c r="T763" t="inlineStr">
        <is>
          <t>Совпадений по улице+дому не найдено</t>
        </is>
      </c>
      <c r="U763" t="n">
        <v>1032</v>
      </c>
      <c r="V763" t="n">
        <v>43</v>
      </c>
      <c r="W763" t="n">
        <v>24</v>
      </c>
      <c r="X763" t="n">
        <v>88000000</v>
      </c>
      <c r="Y763" t="inlineStr"/>
      <c r="Z763" t="inlineStr"/>
      <c r="AA763" t="inlineStr">
        <is>
          <t>https://knru.ru/catalog/pobedy-ul-62/</t>
        </is>
      </c>
      <c r="AB763" t="inlineStr">
        <is>
          <t>C</t>
        </is>
      </c>
    </row>
    <row r="764">
      <c r="A764" t="n">
        <v>1033</v>
      </c>
      <c r="B764" t="n">
        <v>44</v>
      </c>
      <c r="C764" t="n">
        <v>1</v>
      </c>
      <c r="D764" t="inlineStr"/>
      <c r="E764" t="inlineStr"/>
      <c r="F764" t="inlineStr">
        <is>
          <t>Сосновая ул, 1а</t>
        </is>
      </c>
      <c r="G764" t="n">
        <v>174779</v>
      </c>
      <c r="H764" t="inlineStr">
        <is>
          <t>194 000 000</t>
        </is>
      </c>
      <c r="I764" t="inlineStr"/>
      <c r="J764" t="inlineStr"/>
      <c r="K764" t="inlineStr"/>
      <c r="L764" t="inlineStr"/>
      <c r="M764" t="inlineStr"/>
      <c r="N764" t="inlineStr">
        <is>
          <t>no</t>
        </is>
      </c>
      <c r="O764" t="inlineStr">
        <is>
          <t>none</t>
        </is>
      </c>
      <c r="P764">
        <f>HYPERLINK("https://knru.ru/catalog/sosnovaya-ul-1a/","ссылка")</f>
        <v/>
      </c>
      <c r="Q764" t="inlineStr"/>
      <c r="R764" t="inlineStr">
        <is>
          <t>Нет у нас</t>
        </is>
      </c>
      <c r="S764" t="n">
        <v>0</v>
      </c>
      <c r="T764" t="inlineStr">
        <is>
          <t>Совпадений по улице+дому не найдено</t>
        </is>
      </c>
      <c r="U764" t="n">
        <v>1033</v>
      </c>
      <c r="V764" t="n">
        <v>44</v>
      </c>
      <c r="W764" t="n">
        <v>1</v>
      </c>
      <c r="X764" t="n">
        <v>194000000</v>
      </c>
      <c r="Y764" t="inlineStr"/>
      <c r="Z764" t="inlineStr"/>
      <c r="AA764" t="inlineStr">
        <is>
          <t>https://knru.ru/catalog/sosnovaya-ul-1a/</t>
        </is>
      </c>
      <c r="AB764" t="inlineStr">
        <is>
          <t>C</t>
        </is>
      </c>
    </row>
    <row r="765">
      <c r="A765" t="n">
        <v>1034</v>
      </c>
      <c r="B765" t="n">
        <v>44</v>
      </c>
      <c r="C765" t="n">
        <v>2</v>
      </c>
      <c r="D765" t="n">
        <v>11</v>
      </c>
      <c r="E765" t="inlineStr"/>
      <c r="F765" t="inlineStr">
        <is>
          <t>Разметелевская ул, 11</t>
        </is>
      </c>
      <c r="G765" t="n">
        <v>800</v>
      </c>
      <c r="H765" t="inlineStr">
        <is>
          <t>48 000 000</t>
        </is>
      </c>
      <c r="I765" t="inlineStr"/>
      <c r="J765" t="inlineStr"/>
      <c r="K765" t="inlineStr"/>
      <c r="L765" t="inlineStr"/>
      <c r="M765" t="inlineStr"/>
      <c r="N765" t="inlineStr">
        <is>
          <t>no</t>
        </is>
      </c>
      <c r="O765" t="inlineStr">
        <is>
          <t>none</t>
        </is>
      </c>
      <c r="P765">
        <f>HYPERLINK("https://knru.ru/catalog/razmetelevskaya-ul-11/","ссылка")</f>
        <v/>
      </c>
      <c r="Q765" t="inlineStr"/>
      <c r="R765" t="inlineStr">
        <is>
          <t>Нет у нас</t>
        </is>
      </c>
      <c r="S765" t="n">
        <v>0</v>
      </c>
      <c r="T765" t="inlineStr">
        <is>
          <t>Совпадений по улице+дому не найдено</t>
        </is>
      </c>
      <c r="U765" t="n">
        <v>1034</v>
      </c>
      <c r="V765" t="n">
        <v>44</v>
      </c>
      <c r="W765" t="n">
        <v>2</v>
      </c>
      <c r="X765" t="n">
        <v>48000000</v>
      </c>
      <c r="Y765" t="inlineStr"/>
      <c r="Z765" t="inlineStr"/>
      <c r="AA765" t="inlineStr">
        <is>
          <t>https://knru.ru/catalog/razmetelevskaya-ul-11/</t>
        </is>
      </c>
      <c r="AB765" t="inlineStr">
        <is>
          <t>C</t>
        </is>
      </c>
    </row>
    <row r="766">
      <c r="A766" t="n">
        <v>1035</v>
      </c>
      <c r="B766" t="n">
        <v>44</v>
      </c>
      <c r="C766" t="n">
        <v>3</v>
      </c>
      <c r="D766" t="n">
        <v>13</v>
      </c>
      <c r="E766" t="inlineStr"/>
      <c r="F766" t="inlineStr">
        <is>
          <t>Приютинская ул, 13</t>
        </is>
      </c>
      <c r="G766" t="n">
        <v>3301</v>
      </c>
      <c r="H766" t="inlineStr">
        <is>
          <t>95 000 000</t>
        </is>
      </c>
      <c r="I766" t="inlineStr"/>
      <c r="J766" t="inlineStr"/>
      <c r="K766" t="inlineStr"/>
      <c r="L766" t="inlineStr"/>
      <c r="M766" t="inlineStr"/>
      <c r="N766" t="inlineStr">
        <is>
          <t>no</t>
        </is>
      </c>
      <c r="O766" t="inlineStr">
        <is>
          <t>none</t>
        </is>
      </c>
      <c r="P766">
        <f>HYPERLINK("https://knru.ru/catalog/priyutinskaya-ul-13/","ссылка")</f>
        <v/>
      </c>
      <c r="Q766" t="inlineStr"/>
      <c r="R766" t="inlineStr">
        <is>
          <t>Нет у нас</t>
        </is>
      </c>
      <c r="S766" t="n">
        <v>0</v>
      </c>
      <c r="T766" t="inlineStr">
        <is>
          <t>Совпадений по улице+дому не найдено</t>
        </is>
      </c>
      <c r="U766" t="n">
        <v>1035</v>
      </c>
      <c r="V766" t="n">
        <v>44</v>
      </c>
      <c r="W766" t="n">
        <v>3</v>
      </c>
      <c r="X766" t="n">
        <v>95000000</v>
      </c>
      <c r="Y766" t="inlineStr"/>
      <c r="Z766" t="inlineStr"/>
      <c r="AA766" t="inlineStr">
        <is>
          <t>https://knru.ru/catalog/priyutinskaya-ul-13/</t>
        </is>
      </c>
      <c r="AB766" t="inlineStr">
        <is>
          <t>C</t>
        </is>
      </c>
    </row>
    <row r="767">
      <c r="A767" t="n">
        <v>1036</v>
      </c>
      <c r="B767" t="n">
        <v>44</v>
      </c>
      <c r="C767" t="n">
        <v>4</v>
      </c>
      <c r="D767" t="inlineStr"/>
      <c r="E767" t="inlineStr"/>
      <c r="F767" t="inlineStr">
        <is>
          <t>Шоссейная ул</t>
        </is>
      </c>
      <c r="G767" t="n">
        <v>133793</v>
      </c>
      <c r="H767" t="inlineStr">
        <is>
          <t>334 482 500</t>
        </is>
      </c>
      <c r="I767" t="inlineStr"/>
      <c r="J767" t="inlineStr"/>
      <c r="K767" t="inlineStr"/>
      <c r="L767" t="inlineStr"/>
      <c r="M767" t="inlineStr"/>
      <c r="N767" t="inlineStr">
        <is>
          <t>no</t>
        </is>
      </c>
      <c r="O767" t="inlineStr">
        <is>
          <t>none</t>
        </is>
      </c>
      <c r="P767">
        <f>HYPERLINK("https://knru.ru/catalog/shossejnaya-ul/","ссылка")</f>
        <v/>
      </c>
      <c r="Q767" t="inlineStr"/>
      <c r="R767" t="inlineStr">
        <is>
          <t>Нет у нас</t>
        </is>
      </c>
      <c r="S767" t="n">
        <v>0</v>
      </c>
      <c r="T767" t="inlineStr">
        <is>
          <t>Совпадений по улице+дому не найдено</t>
        </is>
      </c>
      <c r="U767" t="n">
        <v>1036</v>
      </c>
      <c r="V767" t="n">
        <v>44</v>
      </c>
      <c r="W767" t="n">
        <v>4</v>
      </c>
      <c r="X767" t="n">
        <v>334482500</v>
      </c>
      <c r="Y767" t="inlineStr"/>
      <c r="Z767" t="inlineStr"/>
      <c r="AA767" t="inlineStr">
        <is>
          <t>https://knru.ru/catalog/shossejnaya-ul/</t>
        </is>
      </c>
      <c r="AB767" t="inlineStr">
        <is>
          <t>C</t>
        </is>
      </c>
    </row>
    <row r="768">
      <c r="A768" t="n">
        <v>1037</v>
      </c>
      <c r="B768" t="n">
        <v>44</v>
      </c>
      <c r="C768" t="n">
        <v>5</v>
      </c>
      <c r="D768" t="n">
        <v>557638</v>
      </c>
      <c r="E768" t="inlineStr"/>
      <c r="F768" t="inlineStr">
        <is>
          <t>Шоссейная ул, 38</t>
        </is>
      </c>
      <c r="G768" t="n">
        <v>12310</v>
      </c>
      <c r="H768" t="inlineStr">
        <is>
          <t>30 775 000</t>
        </is>
      </c>
      <c r="I768" t="inlineStr"/>
      <c r="J768" t="inlineStr"/>
      <c r="K768" t="inlineStr"/>
      <c r="L768" t="inlineStr"/>
      <c r="M768" t="inlineStr"/>
      <c r="N768" t="inlineStr">
        <is>
          <t>no</t>
        </is>
      </c>
      <c r="O768" t="inlineStr">
        <is>
          <t>none</t>
        </is>
      </c>
      <c r="P768">
        <f>HYPERLINK("https://knru.ru/catalog/shossejnaya-ul-38-557638/","ссылка")</f>
        <v/>
      </c>
      <c r="Q768" t="inlineStr"/>
      <c r="R768" t="inlineStr">
        <is>
          <t>Нет у нас</t>
        </is>
      </c>
      <c r="S768" t="n">
        <v>0</v>
      </c>
      <c r="T768" t="inlineStr">
        <is>
          <t>Совпадений по улице+дому не найдено</t>
        </is>
      </c>
      <c r="U768" t="n">
        <v>1037</v>
      </c>
      <c r="V768" t="n">
        <v>44</v>
      </c>
      <c r="W768" t="n">
        <v>5</v>
      </c>
      <c r="X768" t="n">
        <v>30775000</v>
      </c>
      <c r="Y768" t="inlineStr"/>
      <c r="Z768" t="inlineStr"/>
      <c r="AA768" t="inlineStr">
        <is>
          <t>https://knru.ru/catalog/shossejnaya-ul-38-557638/</t>
        </is>
      </c>
      <c r="AB768" t="inlineStr">
        <is>
          <t>C</t>
        </is>
      </c>
    </row>
    <row r="769">
      <c r="A769" t="n">
        <v>1038</v>
      </c>
      <c r="B769" t="n">
        <v>44</v>
      </c>
      <c r="C769" t="n">
        <v>6</v>
      </c>
      <c r="D769" t="n">
        <v>557634</v>
      </c>
      <c r="E769" t="inlineStr"/>
      <c r="F769" t="inlineStr">
        <is>
          <t>Луговой пер, 3</t>
        </is>
      </c>
      <c r="G769" t="n">
        <v>756</v>
      </c>
      <c r="H769" t="inlineStr">
        <is>
          <t>71 350 000</t>
        </is>
      </c>
      <c r="I769" t="inlineStr"/>
      <c r="J769" t="inlineStr"/>
      <c r="K769" t="inlineStr"/>
      <c r="L769" t="inlineStr"/>
      <c r="M769" t="inlineStr"/>
      <c r="N769" t="inlineStr">
        <is>
          <t>no</t>
        </is>
      </c>
      <c r="O769" t="inlineStr">
        <is>
          <t>none</t>
        </is>
      </c>
      <c r="P769">
        <f>HYPERLINK("https://knru.ru/catalog/lugovoj-per-3-557634/","ссылка")</f>
        <v/>
      </c>
      <c r="Q769" t="inlineStr"/>
      <c r="R769" t="inlineStr">
        <is>
          <t>Нет у нас</t>
        </is>
      </c>
      <c r="S769" t="n">
        <v>0</v>
      </c>
      <c r="T769" t="inlineStr">
        <is>
          <t>Совпадений по улице+дому не найдено</t>
        </is>
      </c>
      <c r="U769" t="n">
        <v>1038</v>
      </c>
      <c r="V769" t="n">
        <v>44</v>
      </c>
      <c r="W769" t="n">
        <v>6</v>
      </c>
      <c r="X769" t="n">
        <v>71350000</v>
      </c>
      <c r="Y769" t="inlineStr"/>
      <c r="Z769" t="inlineStr"/>
      <c r="AA769" t="inlineStr">
        <is>
          <t>https://knru.ru/catalog/lugovoj-per-3-557634/</t>
        </is>
      </c>
      <c r="AB769" t="inlineStr">
        <is>
          <t>C</t>
        </is>
      </c>
    </row>
    <row r="770">
      <c r="A770" t="n">
        <v>1039</v>
      </c>
      <c r="B770" t="n">
        <v>44</v>
      </c>
      <c r="C770" t="n">
        <v>7</v>
      </c>
      <c r="D770" t="inlineStr"/>
      <c r="E770" t="inlineStr"/>
      <c r="F770" t="inlineStr">
        <is>
          <t>Лесное зона</t>
        </is>
      </c>
      <c r="G770" t="n">
        <v>310000</v>
      </c>
      <c r="H770" t="inlineStr">
        <is>
          <t>1 200 000 000</t>
        </is>
      </c>
      <c r="I770" t="inlineStr"/>
      <c r="J770" t="inlineStr"/>
      <c r="K770" t="inlineStr"/>
      <c r="L770" t="inlineStr"/>
      <c r="M770" t="inlineStr"/>
      <c r="N770" t="inlineStr">
        <is>
          <t>no</t>
        </is>
      </c>
      <c r="O770" t="inlineStr">
        <is>
          <t>none</t>
        </is>
      </c>
      <c r="P770">
        <f>HYPERLINK("https://knru.ru/catalog/lesnoe-zona/","ссылка")</f>
        <v/>
      </c>
      <c r="Q770" t="inlineStr"/>
      <c r="R770" t="inlineStr">
        <is>
          <t>Нет у нас</t>
        </is>
      </c>
      <c r="S770" t="n">
        <v>0</v>
      </c>
      <c r="T770" t="inlineStr">
        <is>
          <t>Совпадений по улице+дому не найдено</t>
        </is>
      </c>
      <c r="U770" t="n">
        <v>1039</v>
      </c>
      <c r="V770" t="n">
        <v>44</v>
      </c>
      <c r="W770" t="n">
        <v>7</v>
      </c>
      <c r="X770" t="n">
        <v>1200000000</v>
      </c>
      <c r="Y770" t="inlineStr"/>
      <c r="Z770" t="inlineStr"/>
      <c r="AA770" t="inlineStr">
        <is>
          <t>https://knru.ru/catalog/lesnoe-zona/</t>
        </is>
      </c>
      <c r="AB770" t="inlineStr">
        <is>
          <t>C</t>
        </is>
      </c>
    </row>
    <row r="771">
      <c r="A771" t="n">
        <v>1040</v>
      </c>
      <c r="B771" t="n">
        <v>44</v>
      </c>
      <c r="C771" t="n">
        <v>8</v>
      </c>
      <c r="D771" t="n">
        <v>557611</v>
      </c>
      <c r="E771" t="inlineStr"/>
      <c r="F771" t="inlineStr">
        <is>
          <t>Крымская, 4</t>
        </is>
      </c>
      <c r="G771" t="n">
        <v>355</v>
      </c>
      <c r="H771" t="inlineStr">
        <is>
          <t>6 000 000</t>
        </is>
      </c>
      <c r="I771" t="inlineStr"/>
      <c r="J771" t="inlineStr"/>
      <c r="K771" t="inlineStr"/>
      <c r="L771" t="inlineStr"/>
      <c r="M771" t="inlineStr"/>
      <c r="N771" t="inlineStr">
        <is>
          <t>no</t>
        </is>
      </c>
      <c r="O771" t="inlineStr">
        <is>
          <t>none</t>
        </is>
      </c>
      <c r="P771">
        <f>HYPERLINK("https://knru.ru/catalog/krymskaya-4-557611/","ссылка")</f>
        <v/>
      </c>
      <c r="Q771" t="inlineStr"/>
      <c r="R771" t="inlineStr">
        <is>
          <t>Нет у нас</t>
        </is>
      </c>
      <c r="S771" t="n">
        <v>0</v>
      </c>
      <c r="T771" t="inlineStr">
        <is>
          <t>Совпадений по улице+дому не найдено</t>
        </is>
      </c>
      <c r="U771" t="n">
        <v>1040</v>
      </c>
      <c r="V771" t="n">
        <v>44</v>
      </c>
      <c r="W771" t="n">
        <v>8</v>
      </c>
      <c r="X771" t="n">
        <v>6000000</v>
      </c>
      <c r="Y771" t="inlineStr"/>
      <c r="Z771" t="inlineStr"/>
      <c r="AA771" t="inlineStr">
        <is>
          <t>https://knru.ru/catalog/krymskaya-4-557611/</t>
        </is>
      </c>
      <c r="AB771" t="inlineStr">
        <is>
          <t>C</t>
        </is>
      </c>
    </row>
    <row r="772">
      <c r="A772" t="n">
        <v>1041</v>
      </c>
      <c r="B772" t="n">
        <v>44</v>
      </c>
      <c r="C772" t="n">
        <v>9</v>
      </c>
      <c r="D772" t="n">
        <v>4</v>
      </c>
      <c r="E772" t="inlineStr"/>
      <c r="F772" t="inlineStr">
        <is>
          <t>Крымская, 4</t>
        </is>
      </c>
      <c r="G772" t="n">
        <v>334</v>
      </c>
      <c r="H772" t="inlineStr">
        <is>
          <t>6 000 000</t>
        </is>
      </c>
      <c r="I772" t="inlineStr"/>
      <c r="J772" t="inlineStr"/>
      <c r="K772" t="inlineStr"/>
      <c r="L772" t="inlineStr"/>
      <c r="M772" t="inlineStr"/>
      <c r="N772" t="inlineStr">
        <is>
          <t>no</t>
        </is>
      </c>
      <c r="O772" t="inlineStr">
        <is>
          <t>none</t>
        </is>
      </c>
      <c r="P772">
        <f>HYPERLINK("https://knru.ru/catalog/krymskaya-4/","ссылка")</f>
        <v/>
      </c>
      <c r="Q772" t="inlineStr"/>
      <c r="R772" t="inlineStr">
        <is>
          <t>Нет у нас</t>
        </is>
      </c>
      <c r="S772" t="n">
        <v>0</v>
      </c>
      <c r="T772" t="inlineStr">
        <is>
          <t>Совпадений по улице+дому не найдено</t>
        </is>
      </c>
      <c r="U772" t="n">
        <v>1041</v>
      </c>
      <c r="V772" t="n">
        <v>44</v>
      </c>
      <c r="W772" t="n">
        <v>9</v>
      </c>
      <c r="X772" t="n">
        <v>6000000</v>
      </c>
      <c r="Y772" t="inlineStr"/>
      <c r="Z772" t="inlineStr"/>
      <c r="AA772" t="inlineStr">
        <is>
          <t>https://knru.ru/catalog/krymskaya-4/</t>
        </is>
      </c>
      <c r="AB772" t="inlineStr">
        <is>
          <t>C</t>
        </is>
      </c>
    </row>
    <row r="773">
      <c r="A773" t="n">
        <v>1043</v>
      </c>
      <c r="B773" t="n">
        <v>44</v>
      </c>
      <c r="C773" t="n">
        <v>11</v>
      </c>
      <c r="D773" t="n">
        <v>557598</v>
      </c>
      <c r="E773" t="inlineStr"/>
      <c r="F773" t="inlineStr">
        <is>
          <t>Промзона Мягловская тер., Круговая ул, 16</t>
        </is>
      </c>
      <c r="G773" t="n">
        <v>1440</v>
      </c>
      <c r="H773" t="inlineStr">
        <is>
          <t>69 000 000</t>
        </is>
      </c>
      <c r="I773" t="inlineStr"/>
      <c r="J773" t="inlineStr"/>
      <c r="K773" t="inlineStr"/>
      <c r="L773" t="inlineStr"/>
      <c r="M773" t="inlineStr"/>
      <c r="N773" t="inlineStr">
        <is>
          <t>no</t>
        </is>
      </c>
      <c r="O773" t="inlineStr">
        <is>
          <t>none</t>
        </is>
      </c>
      <c r="P773">
        <f>HYPERLINK("https://knru.ru/catalog/promzona-myaglovskaya-ter-krugovaya-ul-16-557598/","ссылка")</f>
        <v/>
      </c>
      <c r="Q773" t="inlineStr"/>
      <c r="R773" t="inlineStr">
        <is>
          <t>Нет у нас</t>
        </is>
      </c>
      <c r="S773" t="n">
        <v>0</v>
      </c>
      <c r="T773" t="inlineStr">
        <is>
          <t>Совпадений по улице+дому не найдено</t>
        </is>
      </c>
      <c r="U773" t="n">
        <v>1043</v>
      </c>
      <c r="V773" t="n">
        <v>44</v>
      </c>
      <c r="W773" t="n">
        <v>11</v>
      </c>
      <c r="X773" t="n">
        <v>69000000</v>
      </c>
      <c r="Y773" t="inlineStr"/>
      <c r="Z773" t="inlineStr"/>
      <c r="AA773" t="inlineStr">
        <is>
          <t>https://knru.ru/catalog/promzona-myaglovskaya-ter-krugovaya-ul-16-557598/</t>
        </is>
      </c>
      <c r="AB773" t="inlineStr">
        <is>
          <t>C</t>
        </is>
      </c>
    </row>
    <row r="774">
      <c r="A774" t="n">
        <v>1044</v>
      </c>
      <c r="B774" t="n">
        <v>44</v>
      </c>
      <c r="C774" t="n">
        <v>12</v>
      </c>
      <c r="D774" t="n">
        <v>38</v>
      </c>
      <c r="E774" t="inlineStr"/>
      <c r="F774" t="inlineStr">
        <is>
          <t>Шоссейная ул, 38</t>
        </is>
      </c>
      <c r="G774" t="n">
        <v>10005</v>
      </c>
      <c r="H774" t="inlineStr">
        <is>
          <t>40 020 000</t>
        </is>
      </c>
      <c r="I774" t="inlineStr"/>
      <c r="J774" t="inlineStr"/>
      <c r="K774" t="inlineStr"/>
      <c r="L774" t="inlineStr"/>
      <c r="M774" t="inlineStr"/>
      <c r="N774" t="inlineStr">
        <is>
          <t>no</t>
        </is>
      </c>
      <c r="O774" t="inlineStr">
        <is>
          <t>none</t>
        </is>
      </c>
      <c r="P774">
        <f>HYPERLINK("https://knru.ru/catalog/shossejnaya-ul-38/","ссылка")</f>
        <v/>
      </c>
      <c r="Q774" t="inlineStr"/>
      <c r="R774" t="inlineStr">
        <is>
          <t>Нет у нас</t>
        </is>
      </c>
      <c r="S774" t="n">
        <v>0</v>
      </c>
      <c r="T774" t="inlineStr">
        <is>
          <t>Совпадений по улице+дому не найдено</t>
        </is>
      </c>
      <c r="U774" t="n">
        <v>1044</v>
      </c>
      <c r="V774" t="n">
        <v>44</v>
      </c>
      <c r="W774" t="n">
        <v>12</v>
      </c>
      <c r="X774" t="n">
        <v>40020000</v>
      </c>
      <c r="Y774" t="inlineStr"/>
      <c r="Z774" t="inlineStr"/>
      <c r="AA774" t="inlineStr">
        <is>
          <t>https://knru.ru/catalog/shossejnaya-ul-38/</t>
        </is>
      </c>
      <c r="AB774" t="inlineStr">
        <is>
          <t>C</t>
        </is>
      </c>
    </row>
    <row r="775">
      <c r="A775" t="n">
        <v>1045</v>
      </c>
      <c r="B775" t="n">
        <v>44</v>
      </c>
      <c r="C775" t="n">
        <v>13</v>
      </c>
      <c r="D775" t="n">
        <v>78</v>
      </c>
      <c r="E775" t="inlineStr"/>
      <c r="F775" t="inlineStr">
        <is>
          <t>41К-078</t>
        </is>
      </c>
      <c r="G775" t="n">
        <v>11686</v>
      </c>
      <c r="H775" t="inlineStr">
        <is>
          <t>52 587 000</t>
        </is>
      </c>
      <c r="I775" t="inlineStr"/>
      <c r="J775" t="inlineStr"/>
      <c r="K775" t="inlineStr"/>
      <c r="L775" t="inlineStr"/>
      <c r="M775" t="inlineStr"/>
      <c r="N775" t="inlineStr">
        <is>
          <t>no</t>
        </is>
      </c>
      <c r="O775" t="inlineStr">
        <is>
          <t>none</t>
        </is>
      </c>
      <c r="P775">
        <f>HYPERLINK("https://knru.ru/catalog/41k-078/","ссылка")</f>
        <v/>
      </c>
      <c r="Q775" t="inlineStr"/>
      <c r="R775" t="inlineStr">
        <is>
          <t>Нет у нас</t>
        </is>
      </c>
      <c r="S775" t="n">
        <v>0</v>
      </c>
      <c r="T775" t="inlineStr">
        <is>
          <t>Совпадений по улице+дому не найдено</t>
        </is>
      </c>
      <c r="U775" t="n">
        <v>1045</v>
      </c>
      <c r="V775" t="n">
        <v>44</v>
      </c>
      <c r="W775" t="n">
        <v>13</v>
      </c>
      <c r="X775" t="n">
        <v>52587000</v>
      </c>
      <c r="Y775" t="inlineStr"/>
      <c r="Z775" t="inlineStr"/>
      <c r="AA775" t="inlineStr">
        <is>
          <t>https://knru.ru/catalog/41k-078/</t>
        </is>
      </c>
      <c r="AB775" t="inlineStr">
        <is>
          <t>C</t>
        </is>
      </c>
    </row>
    <row r="776">
      <c r="A776" t="n">
        <v>1046</v>
      </c>
      <c r="B776" t="n">
        <v>44</v>
      </c>
      <c r="C776" t="n">
        <v>14</v>
      </c>
      <c r="D776" t="inlineStr"/>
      <c r="E776" t="inlineStr"/>
      <c r="F776" t="inlineStr">
        <is>
          <t>Павлинская ул, 12стр1</t>
        </is>
      </c>
      <c r="G776" t="n">
        <v>4800</v>
      </c>
      <c r="H776" t="inlineStr">
        <is>
          <t>765 000 000</t>
        </is>
      </c>
      <c r="I776" t="inlineStr"/>
      <c r="J776" t="inlineStr"/>
      <c r="K776" t="inlineStr"/>
      <c r="L776" t="inlineStr"/>
      <c r="M776" t="inlineStr"/>
      <c r="N776" t="inlineStr">
        <is>
          <t>no</t>
        </is>
      </c>
      <c r="O776" t="inlineStr">
        <is>
          <t>none</t>
        </is>
      </c>
      <c r="P776">
        <f>HYPERLINK("https://knru.ru/catalog/pavlinskaya-ul-12str1/","ссылка")</f>
        <v/>
      </c>
      <c r="Q776" t="inlineStr"/>
      <c r="R776" t="inlineStr">
        <is>
          <t>Нет у нас</t>
        </is>
      </c>
      <c r="S776" t="n">
        <v>0</v>
      </c>
      <c r="T776" t="inlineStr">
        <is>
          <t>Совпадений по улице+дому не найдено</t>
        </is>
      </c>
      <c r="U776" t="n">
        <v>1046</v>
      </c>
      <c r="V776" t="n">
        <v>44</v>
      </c>
      <c r="W776" t="n">
        <v>14</v>
      </c>
      <c r="X776" t="n">
        <v>765000000</v>
      </c>
      <c r="Y776" t="inlineStr"/>
      <c r="Z776" t="inlineStr"/>
      <c r="AA776" t="inlineStr">
        <is>
          <t>https://knru.ru/catalog/pavlinskaya-ul-12str1/</t>
        </is>
      </c>
      <c r="AB776" t="inlineStr">
        <is>
          <t>C</t>
        </is>
      </c>
    </row>
    <row r="777">
      <c r="A777" t="n">
        <v>1047</v>
      </c>
      <c r="B777" t="n">
        <v>44</v>
      </c>
      <c r="C777" t="n">
        <v>15</v>
      </c>
      <c r="D777" t="n">
        <v>53</v>
      </c>
      <c r="E777" t="inlineStr"/>
      <c r="F777" t="inlineStr">
        <is>
          <t>Полевая ул, 53</t>
        </is>
      </c>
      <c r="G777" t="n">
        <v>2500</v>
      </c>
      <c r="H777" t="inlineStr">
        <is>
          <t>12 500 000</t>
        </is>
      </c>
      <c r="I777" t="inlineStr"/>
      <c r="J777" t="inlineStr"/>
      <c r="K777" t="inlineStr"/>
      <c r="L777" t="inlineStr"/>
      <c r="M777" t="inlineStr"/>
      <c r="N777" t="inlineStr">
        <is>
          <t>no</t>
        </is>
      </c>
      <c r="O777" t="inlineStr">
        <is>
          <t>none</t>
        </is>
      </c>
      <c r="P777">
        <f>HYPERLINK("https://knru.ru/catalog/polevaya-ul-53/","ссылка")</f>
        <v/>
      </c>
      <c r="Q777" t="inlineStr"/>
      <c r="R777" t="inlineStr">
        <is>
          <t>Нет у нас</t>
        </is>
      </c>
      <c r="S777" t="n">
        <v>0</v>
      </c>
      <c r="T777" t="inlineStr">
        <is>
          <t>Совпадений по улице+дому не найдено</t>
        </is>
      </c>
      <c r="U777" t="n">
        <v>1047</v>
      </c>
      <c r="V777" t="n">
        <v>44</v>
      </c>
      <c r="W777" t="n">
        <v>15</v>
      </c>
      <c r="X777" t="n">
        <v>12500000</v>
      </c>
      <c r="Y777" t="inlineStr"/>
      <c r="Z777" t="inlineStr"/>
      <c r="AA777" t="inlineStr">
        <is>
          <t>https://knru.ru/catalog/polevaya-ul-53/</t>
        </is>
      </c>
      <c r="AB777" t="inlineStr">
        <is>
          <t>C</t>
        </is>
      </c>
    </row>
    <row r="778">
      <c r="A778" t="n">
        <v>1048</v>
      </c>
      <c r="B778" t="n">
        <v>44</v>
      </c>
      <c r="C778" t="n">
        <v>16</v>
      </c>
      <c r="D778" t="inlineStr"/>
      <c r="E778" t="inlineStr">
        <is>
          <t>Красногвардейский</t>
        </is>
      </c>
      <c r="F778" t="inlineStr">
        <is>
          <t>Химиков ул, 28 АЖ</t>
        </is>
      </c>
      <c r="G778" t="n">
        <v>2187</v>
      </c>
      <c r="H778" t="inlineStr">
        <is>
          <t>92 000 000</t>
        </is>
      </c>
      <c r="I778" t="inlineStr"/>
      <c r="J778" t="inlineStr"/>
      <c r="K778" t="inlineStr"/>
      <c r="L778" t="inlineStr"/>
      <c r="M778" t="inlineStr"/>
      <c r="N778" t="inlineStr">
        <is>
          <t>no</t>
        </is>
      </c>
      <c r="O778" t="inlineStr">
        <is>
          <t>none</t>
        </is>
      </c>
      <c r="P778">
        <f>HYPERLINK("https://knru.ru/catalog/khimikov-ul-28-azh/","ссылка")</f>
        <v/>
      </c>
      <c r="Q778" t="inlineStr"/>
      <c r="R778" t="inlineStr">
        <is>
          <t>Нет у нас</t>
        </is>
      </c>
      <c r="S778" t="n">
        <v>0</v>
      </c>
      <c r="T778" t="inlineStr">
        <is>
          <t>Совпадений по улице+дому не найдено</t>
        </is>
      </c>
      <c r="U778" t="n">
        <v>1048</v>
      </c>
      <c r="V778" t="n">
        <v>44</v>
      </c>
      <c r="W778" t="n">
        <v>16</v>
      </c>
      <c r="X778" t="n">
        <v>92000000</v>
      </c>
      <c r="Y778" t="inlineStr"/>
      <c r="Z778" t="inlineStr"/>
      <c r="AA778" t="inlineStr">
        <is>
          <t>https://knru.ru/catalog/khimikov-ul-28-azh/</t>
        </is>
      </c>
      <c r="AB778" t="inlineStr">
        <is>
          <t>C</t>
        </is>
      </c>
    </row>
    <row r="779">
      <c r="A779" t="n">
        <v>1049</v>
      </c>
      <c r="B779" t="n">
        <v>44</v>
      </c>
      <c r="C779" t="n">
        <v>17</v>
      </c>
      <c r="D779" t="inlineStr"/>
      <c r="E779" t="inlineStr">
        <is>
          <t>Выборгский</t>
        </is>
      </c>
      <c r="F779" t="inlineStr">
        <is>
          <t>Культуры пр-кт, 48 А</t>
        </is>
      </c>
      <c r="G779" t="n">
        <v>2500</v>
      </c>
      <c r="H779" t="inlineStr">
        <is>
          <t>275 000 000</t>
        </is>
      </c>
      <c r="I779" t="inlineStr"/>
      <c r="J779" t="inlineStr"/>
      <c r="K779" t="inlineStr"/>
      <c r="L779" t="inlineStr"/>
      <c r="M779" t="inlineStr"/>
      <c r="N779" t="inlineStr">
        <is>
          <t>no</t>
        </is>
      </c>
      <c r="O779" t="inlineStr">
        <is>
          <t>none</t>
        </is>
      </c>
      <c r="P779">
        <f>HYPERLINK("https://knru.ru/catalog/kultury-pr-kt-48-a/","ссылка")</f>
        <v/>
      </c>
      <c r="Q779" t="inlineStr"/>
      <c r="R779" t="inlineStr">
        <is>
          <t>Нет у нас</t>
        </is>
      </c>
      <c r="S779" t="n">
        <v>0</v>
      </c>
      <c r="T779" t="inlineStr">
        <is>
          <t>Совпадений по улице+дому не найдено</t>
        </is>
      </c>
      <c r="U779" t="n">
        <v>1049</v>
      </c>
      <c r="V779" t="n">
        <v>44</v>
      </c>
      <c r="W779" t="n">
        <v>17</v>
      </c>
      <c r="X779" t="n">
        <v>275000000</v>
      </c>
      <c r="Y779" t="inlineStr"/>
      <c r="Z779" t="inlineStr"/>
      <c r="AA779" t="inlineStr">
        <is>
          <t>https://knru.ru/catalog/kultury-pr-kt-48-a/</t>
        </is>
      </c>
      <c r="AB779" t="inlineStr">
        <is>
          <t>C</t>
        </is>
      </c>
    </row>
    <row r="780">
      <c r="A780" t="n">
        <v>1051</v>
      </c>
      <c r="B780" t="n">
        <v>44</v>
      </c>
      <c r="C780" t="n">
        <v>19</v>
      </c>
      <c r="D780" t="n">
        <v>18</v>
      </c>
      <c r="E780" t="inlineStr"/>
      <c r="F780" t="inlineStr">
        <is>
          <t>Мира ул, 18</t>
        </is>
      </c>
      <c r="G780" t="n">
        <v>120000</v>
      </c>
      <c r="H780" t="inlineStr">
        <is>
          <t>1 500 000 000</t>
        </is>
      </c>
      <c r="I780" t="inlineStr"/>
      <c r="J780" t="inlineStr"/>
      <c r="K780" t="inlineStr"/>
      <c r="L780" t="inlineStr"/>
      <c r="M780" t="inlineStr"/>
      <c r="N780" t="inlineStr">
        <is>
          <t>no</t>
        </is>
      </c>
      <c r="O780" t="inlineStr">
        <is>
          <t>none</t>
        </is>
      </c>
      <c r="P780">
        <f>HYPERLINK("https://knru.ru/catalog/mira-ul-18/","ссылка")</f>
        <v/>
      </c>
      <c r="Q780" t="inlineStr"/>
      <c r="R780" t="inlineStr">
        <is>
          <t>Нет у нас</t>
        </is>
      </c>
      <c r="S780" t="n">
        <v>0</v>
      </c>
      <c r="T780" t="inlineStr">
        <is>
          <t>Совпадений по улице+дому не найдено</t>
        </is>
      </c>
      <c r="U780" t="n">
        <v>1051</v>
      </c>
      <c r="V780" t="n">
        <v>44</v>
      </c>
      <c r="W780" t="n">
        <v>19</v>
      </c>
      <c r="X780" t="n">
        <v>1500000000</v>
      </c>
      <c r="Y780" t="inlineStr"/>
      <c r="Z780" t="inlineStr"/>
      <c r="AA780" t="inlineStr">
        <is>
          <t>https://knru.ru/catalog/mira-ul-18/</t>
        </is>
      </c>
      <c r="AB780" t="inlineStr">
        <is>
          <t>C</t>
        </is>
      </c>
    </row>
    <row r="781">
      <c r="A781" t="n">
        <v>1052</v>
      </c>
      <c r="B781" t="n">
        <v>44</v>
      </c>
      <c r="C781" t="n">
        <v>20</v>
      </c>
      <c r="D781" t="inlineStr"/>
      <c r="E781" t="inlineStr"/>
      <c r="F781" t="inlineStr">
        <is>
          <t>Парашютная ул, 51стр1</t>
        </is>
      </c>
      <c r="G781" t="n">
        <v>600</v>
      </c>
      <c r="H781" t="inlineStr">
        <is>
          <t>170 400 000</t>
        </is>
      </c>
      <c r="I781" t="inlineStr"/>
      <c r="J781" t="inlineStr"/>
      <c r="K781" t="inlineStr"/>
      <c r="L781" t="inlineStr"/>
      <c r="M781" t="inlineStr"/>
      <c r="N781" t="inlineStr">
        <is>
          <t>no</t>
        </is>
      </c>
      <c r="O781" t="inlineStr">
        <is>
          <t>none</t>
        </is>
      </c>
      <c r="P781">
        <f>HYPERLINK("https://knru.ru/catalog/parashyutnaya-ul-51str1/","ссылка")</f>
        <v/>
      </c>
      <c r="Q781" t="inlineStr"/>
      <c r="R781" t="inlineStr">
        <is>
          <t>Нет у нас</t>
        </is>
      </c>
      <c r="S781" t="n">
        <v>0</v>
      </c>
      <c r="T781" t="inlineStr">
        <is>
          <t>Совпадений по улице+дому не найдено</t>
        </is>
      </c>
      <c r="U781" t="n">
        <v>1052</v>
      </c>
      <c r="V781" t="n">
        <v>44</v>
      </c>
      <c r="W781" t="n">
        <v>20</v>
      </c>
      <c r="X781" t="n">
        <v>170400000</v>
      </c>
      <c r="Y781" t="inlineStr"/>
      <c r="Z781" t="inlineStr"/>
      <c r="AA781" t="inlineStr">
        <is>
          <t>https://knru.ru/catalog/parashyutnaya-ul-51str1/</t>
        </is>
      </c>
      <c r="AB781" t="inlineStr">
        <is>
          <t>C</t>
        </is>
      </c>
    </row>
    <row r="782">
      <c r="A782" t="n">
        <v>1053</v>
      </c>
      <c r="B782" t="n">
        <v>44</v>
      </c>
      <c r="C782" t="n">
        <v>21</v>
      </c>
      <c r="D782" t="inlineStr"/>
      <c r="E782" t="inlineStr"/>
      <c r="F782" t="inlineStr">
        <is>
          <t>Лахта тер., Красных Партизан ул, 14Г</t>
        </is>
      </c>
      <c r="G782" t="n">
        <v>970</v>
      </c>
      <c r="H782" t="inlineStr">
        <is>
          <t>64 000 000</t>
        </is>
      </c>
      <c r="I782" t="inlineStr"/>
      <c r="J782" t="inlineStr"/>
      <c r="K782" t="inlineStr"/>
      <c r="L782" t="inlineStr"/>
      <c r="M782" t="inlineStr"/>
      <c r="N782" t="inlineStr">
        <is>
          <t>no</t>
        </is>
      </c>
      <c r="O782" t="inlineStr">
        <is>
          <t>none</t>
        </is>
      </c>
      <c r="P782">
        <f>HYPERLINK("https://knru.ru/catalog/laxta-ter-krasnyx-partizan-ul-14g/","ссылка")</f>
        <v/>
      </c>
      <c r="Q782" t="inlineStr"/>
      <c r="R782" t="inlineStr">
        <is>
          <t>Нет у нас</t>
        </is>
      </c>
      <c r="S782" t="n">
        <v>0</v>
      </c>
      <c r="T782" t="inlineStr">
        <is>
          <t>Совпадений по улице+дому не найдено</t>
        </is>
      </c>
      <c r="U782" t="n">
        <v>1053</v>
      </c>
      <c r="V782" t="n">
        <v>44</v>
      </c>
      <c r="W782" t="n">
        <v>21</v>
      </c>
      <c r="X782" t="n">
        <v>64000000</v>
      </c>
      <c r="Y782" t="inlineStr"/>
      <c r="Z782" t="inlineStr"/>
      <c r="AA782" t="inlineStr">
        <is>
          <t>https://knru.ru/catalog/laxta-ter-krasnyx-partizan-ul-14g/</t>
        </is>
      </c>
      <c r="AB782" t="inlineStr">
        <is>
          <t>C</t>
        </is>
      </c>
    </row>
    <row r="783">
      <c r="A783" t="n">
        <v>1054</v>
      </c>
      <c r="B783" t="n">
        <v>44</v>
      </c>
      <c r="C783" t="n">
        <v>22</v>
      </c>
      <c r="D783" t="inlineStr"/>
      <c r="E783" t="inlineStr"/>
      <c r="F783" t="inlineStr">
        <is>
          <t>Пригородный тер</t>
        </is>
      </c>
      <c r="G783" t="n">
        <v>69000</v>
      </c>
      <c r="H783" t="inlineStr">
        <is>
          <t>500 000 000</t>
        </is>
      </c>
      <c r="I783" t="inlineStr"/>
      <c r="J783" t="inlineStr"/>
      <c r="K783" t="inlineStr"/>
      <c r="L783" t="inlineStr"/>
      <c r="M783" t="inlineStr"/>
      <c r="N783" t="inlineStr">
        <is>
          <t>no</t>
        </is>
      </c>
      <c r="O783" t="inlineStr">
        <is>
          <t>none</t>
        </is>
      </c>
      <c r="P783">
        <f>HYPERLINK("https://knru.ru/catalog/prigorodnyj-ter/","ссылка")</f>
        <v/>
      </c>
      <c r="Q783" t="inlineStr"/>
      <c r="R783" t="inlineStr">
        <is>
          <t>Нет у нас</t>
        </is>
      </c>
      <c r="S783" t="n">
        <v>0</v>
      </c>
      <c r="T783" t="inlineStr">
        <is>
          <t>Совпадений по улице+дому не найдено</t>
        </is>
      </c>
      <c r="U783" t="n">
        <v>1054</v>
      </c>
      <c r="V783" t="n">
        <v>44</v>
      </c>
      <c r="W783" t="n">
        <v>22</v>
      </c>
      <c r="X783" t="n">
        <v>500000000</v>
      </c>
      <c r="Y783" t="inlineStr"/>
      <c r="Z783" t="inlineStr"/>
      <c r="AA783" t="inlineStr">
        <is>
          <t>https://knru.ru/catalog/prigorodnyj-ter/</t>
        </is>
      </c>
      <c r="AB783" t="inlineStr">
        <is>
          <t>C</t>
        </is>
      </c>
    </row>
    <row r="784">
      <c r="A784" t="n">
        <v>1055</v>
      </c>
      <c r="B784" t="n">
        <v>44</v>
      </c>
      <c r="C784" t="n">
        <v>23</v>
      </c>
      <c r="D784" t="n">
        <v>557131</v>
      </c>
      <c r="E784" t="inlineStr"/>
      <c r="F784" t="inlineStr">
        <is>
          <t>Киевское ш, 235</t>
        </is>
      </c>
      <c r="G784" t="n">
        <v>5714</v>
      </c>
      <c r="H784" t="inlineStr">
        <is>
          <t>30 569 900</t>
        </is>
      </c>
      <c r="I784" t="inlineStr"/>
      <c r="J784" t="inlineStr"/>
      <c r="K784" t="inlineStr"/>
      <c r="L784" t="inlineStr"/>
      <c r="M784" t="inlineStr"/>
      <c r="N784" t="inlineStr">
        <is>
          <t>no</t>
        </is>
      </c>
      <c r="O784" t="inlineStr">
        <is>
          <t>none</t>
        </is>
      </c>
      <c r="P784">
        <f>HYPERLINK("https://knru.ru/catalog/kievskoe-sh-235-557131/","ссылка")</f>
        <v/>
      </c>
      <c r="Q784" t="inlineStr"/>
      <c r="R784" t="inlineStr">
        <is>
          <t>Нет у нас</t>
        </is>
      </c>
      <c r="S784" t="n">
        <v>0</v>
      </c>
      <c r="T784" t="inlineStr">
        <is>
          <t>Совпадений по улице+дому не найдено</t>
        </is>
      </c>
      <c r="U784" t="n">
        <v>1055</v>
      </c>
      <c r="V784" t="n">
        <v>44</v>
      </c>
      <c r="W784" t="n">
        <v>23</v>
      </c>
      <c r="X784" t="n">
        <v>30569900</v>
      </c>
      <c r="Y784" t="inlineStr"/>
      <c r="Z784" t="inlineStr"/>
      <c r="AA784" t="inlineStr">
        <is>
          <t>https://knru.ru/catalog/kievskoe-sh-235-557131/</t>
        </is>
      </c>
      <c r="AB784" t="inlineStr">
        <is>
          <t>C</t>
        </is>
      </c>
    </row>
    <row r="785">
      <c r="A785" t="n">
        <v>1056</v>
      </c>
      <c r="B785" t="n">
        <v>44</v>
      </c>
      <c r="C785" t="n">
        <v>24</v>
      </c>
      <c r="D785" t="n">
        <v>557097</v>
      </c>
      <c r="E785" t="inlineStr"/>
      <c r="F785" t="inlineStr">
        <is>
          <t>Киевское ш, 235</t>
        </is>
      </c>
      <c r="G785" t="n">
        <v>11855</v>
      </c>
      <c r="H785" t="inlineStr">
        <is>
          <t>355 650 000</t>
        </is>
      </c>
      <c r="I785" t="inlineStr"/>
      <c r="J785" t="inlineStr"/>
      <c r="K785" t="inlineStr"/>
      <c r="L785" t="inlineStr"/>
      <c r="M785" t="inlineStr"/>
      <c r="N785" t="inlineStr">
        <is>
          <t>no</t>
        </is>
      </c>
      <c r="O785" t="inlineStr">
        <is>
          <t>none</t>
        </is>
      </c>
      <c r="P785">
        <f>HYPERLINK("https://knru.ru/catalog/kievskoe-sh-235-557097/","ссылка")</f>
        <v/>
      </c>
      <c r="Q785" t="inlineStr"/>
      <c r="R785" t="inlineStr">
        <is>
          <t>Нет у нас</t>
        </is>
      </c>
      <c r="S785" t="n">
        <v>0</v>
      </c>
      <c r="T785" t="inlineStr">
        <is>
          <t>Совпадений по улице+дому не найдено</t>
        </is>
      </c>
      <c r="U785" t="n">
        <v>1056</v>
      </c>
      <c r="V785" t="n">
        <v>44</v>
      </c>
      <c r="W785" t="n">
        <v>24</v>
      </c>
      <c r="X785" t="n">
        <v>355650000</v>
      </c>
      <c r="Y785" t="inlineStr"/>
      <c r="Z785" t="inlineStr"/>
      <c r="AA785" t="inlineStr">
        <is>
          <t>https://knru.ru/catalog/kievskoe-sh-235-557097/</t>
        </is>
      </c>
      <c r="AB785" t="inlineStr">
        <is>
          <t>C</t>
        </is>
      </c>
    </row>
    <row r="786">
      <c r="A786" t="n">
        <v>1057</v>
      </c>
      <c r="B786" t="n">
        <v>45</v>
      </c>
      <c r="C786" t="n">
        <v>1</v>
      </c>
      <c r="D786" t="n">
        <v>235</v>
      </c>
      <c r="E786" t="inlineStr"/>
      <c r="F786" t="inlineStr">
        <is>
          <t>Киевское ш, 235</t>
        </is>
      </c>
      <c r="G786" t="n">
        <v>5001</v>
      </c>
      <c r="H786" t="inlineStr">
        <is>
          <t>26 755 350</t>
        </is>
      </c>
      <c r="I786" t="inlineStr"/>
      <c r="J786" t="inlineStr"/>
      <c r="K786" t="inlineStr"/>
      <c r="L786" t="inlineStr"/>
      <c r="M786" t="inlineStr"/>
      <c r="N786" t="inlineStr">
        <is>
          <t>no</t>
        </is>
      </c>
      <c r="O786" t="inlineStr">
        <is>
          <t>none</t>
        </is>
      </c>
      <c r="P786">
        <f>HYPERLINK("https://knru.ru/catalog/kievskoe-sh-235/","ссылка")</f>
        <v/>
      </c>
      <c r="Q786" t="inlineStr"/>
      <c r="R786" t="inlineStr">
        <is>
          <t>Нет у нас</t>
        </is>
      </c>
      <c r="S786" t="n">
        <v>0</v>
      </c>
      <c r="T786" t="inlineStr">
        <is>
          <t>Совпадений по улице+дому не найдено</t>
        </is>
      </c>
      <c r="U786" t="n">
        <v>1057</v>
      </c>
      <c r="V786" t="n">
        <v>45</v>
      </c>
      <c r="W786" t="n">
        <v>1</v>
      </c>
      <c r="X786" t="n">
        <v>26755350</v>
      </c>
      <c r="Y786" t="inlineStr"/>
      <c r="Z786" t="inlineStr"/>
      <c r="AA786" t="inlineStr">
        <is>
          <t>https://knru.ru/catalog/kievskoe-sh-235/</t>
        </is>
      </c>
      <c r="AB786" t="inlineStr">
        <is>
          <t>C</t>
        </is>
      </c>
    </row>
    <row r="787">
      <c r="A787" t="n">
        <v>1058</v>
      </c>
      <c r="B787" t="n">
        <v>45</v>
      </c>
      <c r="C787" t="n">
        <v>2</v>
      </c>
      <c r="D787" t="inlineStr"/>
      <c r="E787" t="inlineStr"/>
      <c r="F787" t="inlineStr">
        <is>
          <t>Южная ул, 5с</t>
        </is>
      </c>
      <c r="G787" t="n">
        <v>1500</v>
      </c>
      <c r="H787" t="inlineStr">
        <is>
          <t>174 400 000</t>
        </is>
      </c>
      <c r="I787" t="inlineStr"/>
      <c r="J787" t="inlineStr"/>
      <c r="K787" t="inlineStr"/>
      <c r="L787" t="inlineStr"/>
      <c r="M787" t="inlineStr"/>
      <c r="N787" t="inlineStr">
        <is>
          <t>no</t>
        </is>
      </c>
      <c r="O787" t="inlineStr">
        <is>
          <t>none</t>
        </is>
      </c>
      <c r="P787">
        <f>HYPERLINK("https://knru.ru/catalog/yuzhnaya-ul-5s/","ссылка")</f>
        <v/>
      </c>
      <c r="Q787" t="inlineStr"/>
      <c r="R787" t="inlineStr">
        <is>
          <t>Нет у нас</t>
        </is>
      </c>
      <c r="S787" t="n">
        <v>0</v>
      </c>
      <c r="T787" t="inlineStr">
        <is>
          <t>Совпадений по улице+дому не найдено</t>
        </is>
      </c>
      <c r="U787" t="n">
        <v>1058</v>
      </c>
      <c r="V787" t="n">
        <v>45</v>
      </c>
      <c r="W787" t="n">
        <v>2</v>
      </c>
      <c r="X787" t="n">
        <v>174400000</v>
      </c>
      <c r="Y787" t="inlineStr"/>
      <c r="Z787" t="inlineStr"/>
      <c r="AA787" t="inlineStr">
        <is>
          <t>https://knru.ru/catalog/yuzhnaya-ul-5s/</t>
        </is>
      </c>
      <c r="AB787" t="inlineStr">
        <is>
          <t>C</t>
        </is>
      </c>
    </row>
    <row r="788">
      <c r="A788" t="n">
        <v>1059</v>
      </c>
      <c r="B788" t="n">
        <v>45</v>
      </c>
      <c r="C788" t="n">
        <v>3</v>
      </c>
      <c r="D788" t="n">
        <v>556979</v>
      </c>
      <c r="E788" t="inlineStr"/>
      <c r="F788" t="inlineStr">
        <is>
          <t>Промзона Мягловская тер., Круговая ул, 16</t>
        </is>
      </c>
      <c r="G788" t="n">
        <v>2448</v>
      </c>
      <c r="H788" t="inlineStr">
        <is>
          <t>200 000 000</t>
        </is>
      </c>
      <c r="I788" t="inlineStr"/>
      <c r="J788" t="inlineStr"/>
      <c r="K788" t="inlineStr"/>
      <c r="L788" t="inlineStr"/>
      <c r="M788" t="inlineStr"/>
      <c r="N788" t="inlineStr">
        <is>
          <t>no</t>
        </is>
      </c>
      <c r="O788" t="inlineStr">
        <is>
          <t>none</t>
        </is>
      </c>
      <c r="P788">
        <f>HYPERLINK("https://knru.ru/catalog/promzona-myaglovskaya-ter-krugovaya-ul-16-556979/","ссылка")</f>
        <v/>
      </c>
      <c r="Q788" t="inlineStr"/>
      <c r="R788" t="inlineStr">
        <is>
          <t>Нет у нас</t>
        </is>
      </c>
      <c r="S788" t="n">
        <v>0</v>
      </c>
      <c r="T788" t="inlineStr">
        <is>
          <t>Совпадений по улице+дому не найдено</t>
        </is>
      </c>
      <c r="U788" t="n">
        <v>1059</v>
      </c>
      <c r="V788" t="n">
        <v>45</v>
      </c>
      <c r="W788" t="n">
        <v>3</v>
      </c>
      <c r="X788" t="n">
        <v>200000000</v>
      </c>
      <c r="Y788" t="inlineStr"/>
      <c r="Z788" t="inlineStr"/>
      <c r="AA788" t="inlineStr">
        <is>
          <t>https://knru.ru/catalog/promzona-myaglovskaya-ter-krugovaya-ul-16-556979/</t>
        </is>
      </c>
      <c r="AB788" t="inlineStr">
        <is>
          <t>C</t>
        </is>
      </c>
    </row>
    <row r="789">
      <c r="A789" t="n">
        <v>1060</v>
      </c>
      <c r="B789" t="n">
        <v>45</v>
      </c>
      <c r="C789" t="n">
        <v>4</v>
      </c>
      <c r="D789" t="n">
        <v>16</v>
      </c>
      <c r="E789" t="inlineStr"/>
      <c r="F789" t="inlineStr">
        <is>
          <t>Промзона Мягловская тер., Круговая ул, 16</t>
        </is>
      </c>
      <c r="G789" t="n">
        <v>1000</v>
      </c>
      <c r="H789" t="inlineStr">
        <is>
          <t>80 640 000</t>
        </is>
      </c>
      <c r="I789" t="inlineStr"/>
      <c r="J789" t="inlineStr"/>
      <c r="K789" t="inlineStr"/>
      <c r="L789" t="inlineStr"/>
      <c r="M789" t="inlineStr"/>
      <c r="N789" t="inlineStr">
        <is>
          <t>yes</t>
        </is>
      </c>
      <c r="O789" t="inlineStr">
        <is>
          <t>pixel_heuristic</t>
        </is>
      </c>
      <c r="P789">
        <f>HYPERLINK("https://knru.ru/catalog/promzona-myaglovskaya-ter-krugovaya-ul-16/","ссылка")</f>
        <v/>
      </c>
      <c r="Q789" t="inlineStr"/>
      <c r="R789" t="inlineStr">
        <is>
          <t>Нет у нас</t>
        </is>
      </c>
      <c r="S789" t="n">
        <v>0</v>
      </c>
      <c r="T789" t="inlineStr">
        <is>
          <t>Совпадений по улице+дому не найдено</t>
        </is>
      </c>
      <c r="U789" t="n">
        <v>1060</v>
      </c>
      <c r="V789" t="n">
        <v>45</v>
      </c>
      <c r="W789" t="n">
        <v>4</v>
      </c>
      <c r="X789" t="n">
        <v>80640000</v>
      </c>
      <c r="Y789" t="inlineStr"/>
      <c r="Z789" t="inlineStr"/>
      <c r="AA789" t="inlineStr">
        <is>
          <t>https://knru.ru/catalog/promzona-myaglovskaya-ter-krugovaya-ul-16/</t>
        </is>
      </c>
      <c r="AB789" t="inlineStr">
        <is>
          <t>C</t>
        </is>
      </c>
    </row>
    <row r="790">
      <c r="A790" t="n">
        <v>1061</v>
      </c>
      <c r="B790" t="n">
        <v>45</v>
      </c>
      <c r="C790" t="n">
        <v>5</v>
      </c>
      <c r="D790" t="inlineStr"/>
      <c r="E790" t="inlineStr"/>
      <c r="F790" t="inlineStr">
        <is>
          <t>Манежная ул, 5 Ж</t>
        </is>
      </c>
      <c r="G790" t="n">
        <v>5670</v>
      </c>
      <c r="H790" t="inlineStr">
        <is>
          <t>130 000 000</t>
        </is>
      </c>
      <c r="I790" t="inlineStr"/>
      <c r="J790" t="inlineStr"/>
      <c r="K790" t="inlineStr"/>
      <c r="L790" t="inlineStr"/>
      <c r="M790" t="inlineStr"/>
      <c r="N790" t="inlineStr">
        <is>
          <t>no</t>
        </is>
      </c>
      <c r="O790" t="inlineStr">
        <is>
          <t>none</t>
        </is>
      </c>
      <c r="P790">
        <f>HYPERLINK("https://knru.ru/catalog/manezhnaya-ul-5-zh/","ссылка")</f>
        <v/>
      </c>
      <c r="Q790" t="inlineStr"/>
      <c r="R790" t="inlineStr">
        <is>
          <t>Нет у нас</t>
        </is>
      </c>
      <c r="S790" t="n">
        <v>0</v>
      </c>
      <c r="T790" t="inlineStr">
        <is>
          <t>Совпадений по улице+дому не найдено</t>
        </is>
      </c>
      <c r="U790" t="n">
        <v>1061</v>
      </c>
      <c r="V790" t="n">
        <v>45</v>
      </c>
      <c r="W790" t="n">
        <v>5</v>
      </c>
      <c r="X790" t="n">
        <v>130000000</v>
      </c>
      <c r="Y790" t="inlineStr"/>
      <c r="Z790" t="inlineStr"/>
      <c r="AA790" t="inlineStr">
        <is>
          <t>https://knru.ru/catalog/manezhnaya-ul-5-zh/</t>
        </is>
      </c>
      <c r="AB790" t="inlineStr">
        <is>
          <t>C</t>
        </is>
      </c>
    </row>
    <row r="791">
      <c r="A791" t="n">
        <v>1062</v>
      </c>
      <c r="B791" t="n">
        <v>45</v>
      </c>
      <c r="C791" t="n">
        <v>6</v>
      </c>
      <c r="D791" t="n">
        <v>556242</v>
      </c>
      <c r="E791" t="inlineStr"/>
      <c r="F791" t="inlineStr">
        <is>
          <t>Рабочая ул, 17</t>
        </is>
      </c>
      <c r="G791" t="n">
        <v>1315</v>
      </c>
      <c r="H791" t="inlineStr">
        <is>
          <t>131 500 000</t>
        </is>
      </c>
      <c r="I791" t="inlineStr"/>
      <c r="J791" t="inlineStr"/>
      <c r="K791" t="inlineStr"/>
      <c r="L791" t="inlineStr"/>
      <c r="M791" t="inlineStr"/>
      <c r="N791" t="inlineStr">
        <is>
          <t>no</t>
        </is>
      </c>
      <c r="O791" t="inlineStr">
        <is>
          <t>none</t>
        </is>
      </c>
      <c r="P791">
        <f>HYPERLINK("https://knru.ru/catalog/rabochaya-ul-17-556242/","ссылка")</f>
        <v/>
      </c>
      <c r="Q791" t="inlineStr"/>
      <c r="R791" t="inlineStr">
        <is>
          <t>Нет у нас</t>
        </is>
      </c>
      <c r="S791" t="n">
        <v>0</v>
      </c>
      <c r="T791" t="inlineStr">
        <is>
          <t>Совпадений по улице+дому не найдено</t>
        </is>
      </c>
      <c r="U791" t="n">
        <v>1062</v>
      </c>
      <c r="V791" t="n">
        <v>45</v>
      </c>
      <c r="W791" t="n">
        <v>6</v>
      </c>
      <c r="X791" t="n">
        <v>131500000</v>
      </c>
      <c r="Y791" t="inlineStr"/>
      <c r="Z791" t="inlineStr"/>
      <c r="AA791" t="inlineStr">
        <is>
          <t>https://knru.ru/catalog/rabochaya-ul-17-556242/</t>
        </is>
      </c>
      <c r="AB791" t="inlineStr">
        <is>
          <t>C</t>
        </is>
      </c>
    </row>
    <row r="792">
      <c r="A792" t="n">
        <v>1063</v>
      </c>
      <c r="B792" t="n">
        <v>45</v>
      </c>
      <c r="C792" t="n">
        <v>7</v>
      </c>
      <c r="D792" t="inlineStr"/>
      <c r="E792" t="inlineStr"/>
      <c r="F792" t="inlineStr">
        <is>
          <t>Зотовский пр-кт</t>
        </is>
      </c>
      <c r="G792" t="n">
        <v>21000</v>
      </c>
      <c r="H792" t="inlineStr">
        <is>
          <t>240 000 000</t>
        </is>
      </c>
      <c r="I792" t="inlineStr"/>
      <c r="J792" t="inlineStr"/>
      <c r="K792" t="inlineStr"/>
      <c r="L792" t="inlineStr"/>
      <c r="M792" t="inlineStr"/>
      <c r="N792" t="inlineStr">
        <is>
          <t>no</t>
        </is>
      </c>
      <c r="O792" t="inlineStr">
        <is>
          <t>none</t>
        </is>
      </c>
      <c r="P792">
        <f>HYPERLINK("https://knru.ru/catalog/zotovskij-pr-kt/","ссылка")</f>
        <v/>
      </c>
      <c r="Q792" t="inlineStr"/>
      <c r="R792" t="inlineStr">
        <is>
          <t>Нет у нас</t>
        </is>
      </c>
      <c r="S792" t="n">
        <v>0</v>
      </c>
      <c r="T792" t="inlineStr">
        <is>
          <t>Совпадений по улице+дому не найдено</t>
        </is>
      </c>
      <c r="U792" t="n">
        <v>1063</v>
      </c>
      <c r="V792" t="n">
        <v>45</v>
      </c>
      <c r="W792" t="n">
        <v>7</v>
      </c>
      <c r="X792" t="n">
        <v>240000000</v>
      </c>
      <c r="Y792" t="inlineStr"/>
      <c r="Z792" t="inlineStr"/>
      <c r="AA792" t="inlineStr">
        <is>
          <t>https://knru.ru/catalog/zotovskij-pr-kt/</t>
        </is>
      </c>
      <c r="AB792" t="inlineStr">
        <is>
          <t>C</t>
        </is>
      </c>
    </row>
    <row r="793">
      <c r="A793" t="n">
        <v>1064</v>
      </c>
      <c r="B793" t="n">
        <v>45</v>
      </c>
      <c r="C793" t="n">
        <v>8</v>
      </c>
      <c r="D793" t="n">
        <v>14</v>
      </c>
      <c r="E793" t="inlineStr"/>
      <c r="F793" t="inlineStr">
        <is>
          <t>Ленинградское ш, 14</t>
        </is>
      </c>
      <c r="G793" t="n">
        <v>5000</v>
      </c>
      <c r="H793" t="inlineStr">
        <is>
          <t>561 000 000</t>
        </is>
      </c>
      <c r="I793" t="inlineStr"/>
      <c r="J793" t="inlineStr"/>
      <c r="K793" t="inlineStr"/>
      <c r="L793" t="inlineStr"/>
      <c r="M793" t="inlineStr"/>
      <c r="N793" t="inlineStr">
        <is>
          <t>no</t>
        </is>
      </c>
      <c r="O793" t="inlineStr">
        <is>
          <t>none</t>
        </is>
      </c>
      <c r="P793">
        <f>HYPERLINK("https://knru.ru/catalog/leningradskoe-sh-14/","ссылка")</f>
        <v/>
      </c>
      <c r="Q793" t="inlineStr"/>
      <c r="R793" t="inlineStr">
        <is>
          <t>Нет у нас</t>
        </is>
      </c>
      <c r="S793" t="n">
        <v>0</v>
      </c>
      <c r="T793" t="inlineStr">
        <is>
          <t>Совпадений по улице+дому не найдено</t>
        </is>
      </c>
      <c r="U793" t="n">
        <v>1064</v>
      </c>
      <c r="V793" t="n">
        <v>45</v>
      </c>
      <c r="W793" t="n">
        <v>8</v>
      </c>
      <c r="X793" t="n">
        <v>561000000</v>
      </c>
      <c r="Y793" t="inlineStr"/>
      <c r="Z793" t="inlineStr"/>
      <c r="AA793" t="inlineStr">
        <is>
          <t>https://knru.ru/catalog/leningradskoe-sh-14/</t>
        </is>
      </c>
      <c r="AB793" t="inlineStr">
        <is>
          <t>C</t>
        </is>
      </c>
    </row>
    <row r="794">
      <c r="A794" t="n">
        <v>1065</v>
      </c>
      <c r="B794" t="n">
        <v>45</v>
      </c>
      <c r="C794" t="n">
        <v>9</v>
      </c>
      <c r="D794" t="n">
        <v>555582</v>
      </c>
      <c r="E794" t="inlineStr"/>
      <c r="F794" t="inlineStr">
        <is>
          <t>Реки Волковки наб</t>
        </is>
      </c>
      <c r="G794" t="n">
        <v>10000</v>
      </c>
      <c r="H794" t="inlineStr">
        <is>
          <t>1 200 000 000</t>
        </is>
      </c>
      <c r="I794" t="inlineStr"/>
      <c r="J794" t="inlineStr"/>
      <c r="K794" t="inlineStr"/>
      <c r="L794" t="inlineStr"/>
      <c r="M794" t="inlineStr"/>
      <c r="N794" t="inlineStr">
        <is>
          <t>no</t>
        </is>
      </c>
      <c r="O794" t="inlineStr">
        <is>
          <t>none</t>
        </is>
      </c>
      <c r="P794">
        <f>HYPERLINK("https://knru.ru/catalog/reki-volkovki-nab-555582/","ссылка")</f>
        <v/>
      </c>
      <c r="Q794" t="inlineStr"/>
      <c r="R794" t="inlineStr">
        <is>
          <t>Нет у нас</t>
        </is>
      </c>
      <c r="S794" t="n">
        <v>0</v>
      </c>
      <c r="T794" t="inlineStr">
        <is>
          <t>Совпадений по улице+дому не найдено</t>
        </is>
      </c>
      <c r="U794" t="n">
        <v>1065</v>
      </c>
      <c r="V794" t="n">
        <v>45</v>
      </c>
      <c r="W794" t="n">
        <v>9</v>
      </c>
      <c r="X794" t="n">
        <v>1200000000</v>
      </c>
      <c r="Y794" t="inlineStr"/>
      <c r="Z794" t="inlineStr"/>
      <c r="AA794" t="inlineStr">
        <is>
          <t>https://knru.ru/catalog/reki-volkovki-nab-555582/</t>
        </is>
      </c>
      <c r="AB794" t="inlineStr">
        <is>
          <t>C</t>
        </is>
      </c>
    </row>
    <row r="795">
      <c r="A795" t="n">
        <v>1066</v>
      </c>
      <c r="B795" t="n">
        <v>45</v>
      </c>
      <c r="C795" t="n">
        <v>10</v>
      </c>
      <c r="D795" t="inlineStr"/>
      <c r="E795" t="inlineStr"/>
      <c r="F795" t="inlineStr">
        <is>
          <t>Горелово тер., Коммунаров ул</t>
        </is>
      </c>
      <c r="G795" t="n">
        <v>2275</v>
      </c>
      <c r="H795" t="inlineStr">
        <is>
          <t>18 000 000</t>
        </is>
      </c>
      <c r="I795" t="inlineStr"/>
      <c r="J795" t="inlineStr"/>
      <c r="K795" t="inlineStr"/>
      <c r="L795" t="inlineStr"/>
      <c r="M795" t="inlineStr"/>
      <c r="N795" t="inlineStr">
        <is>
          <t>no</t>
        </is>
      </c>
      <c r="O795" t="inlineStr">
        <is>
          <t>none</t>
        </is>
      </c>
      <c r="P795">
        <f>HYPERLINK("https://knru.ru/catalog/gorelovo-ter-kommunarov-ul/","ссылка")</f>
        <v/>
      </c>
      <c r="Q795" t="inlineStr"/>
      <c r="R795" t="inlineStr">
        <is>
          <t>Нет у нас</t>
        </is>
      </c>
      <c r="S795" t="n">
        <v>0</v>
      </c>
      <c r="T795" t="inlineStr">
        <is>
          <t>Совпадений по улице+дому не найдено</t>
        </is>
      </c>
      <c r="U795" t="n">
        <v>1066</v>
      </c>
      <c r="V795" t="n">
        <v>45</v>
      </c>
      <c r="W795" t="n">
        <v>10</v>
      </c>
      <c r="X795" t="n">
        <v>18000000</v>
      </c>
      <c r="Y795" t="inlineStr"/>
      <c r="Z795" t="inlineStr"/>
      <c r="AA795" t="inlineStr">
        <is>
          <t>https://knru.ru/catalog/gorelovo-ter-kommunarov-ul/</t>
        </is>
      </c>
      <c r="AB795" t="inlineStr">
        <is>
          <t>C</t>
        </is>
      </c>
    </row>
    <row r="796">
      <c r="A796" t="n">
        <v>1067</v>
      </c>
      <c r="B796" t="n">
        <v>45</v>
      </c>
      <c r="C796" t="n">
        <v>11</v>
      </c>
      <c r="D796" t="n">
        <v>555406</v>
      </c>
      <c r="E796" t="inlineStr"/>
      <c r="F796" t="inlineStr">
        <is>
          <t>Реки Волковки наб</t>
        </is>
      </c>
      <c r="G796" t="n">
        <v>1000</v>
      </c>
      <c r="H796" t="inlineStr">
        <is>
          <t>270 000 000</t>
        </is>
      </c>
      <c r="I796" t="inlineStr"/>
      <c r="J796" t="inlineStr"/>
      <c r="K796" t="inlineStr"/>
      <c r="L796" t="inlineStr"/>
      <c r="M796" t="inlineStr"/>
      <c r="N796" t="inlineStr">
        <is>
          <t>no</t>
        </is>
      </c>
      <c r="O796" t="inlineStr">
        <is>
          <t>none</t>
        </is>
      </c>
      <c r="P796">
        <f>HYPERLINK("https://knru.ru/catalog/reki-volkovki-nab-555406/","ссылка")</f>
        <v/>
      </c>
      <c r="Q796" t="inlineStr"/>
      <c r="R796" t="inlineStr">
        <is>
          <t>Нет у нас</t>
        </is>
      </c>
      <c r="S796" t="n">
        <v>0</v>
      </c>
      <c r="T796" t="inlineStr">
        <is>
          <t>Совпадений по улице+дому не найдено</t>
        </is>
      </c>
      <c r="U796" t="n">
        <v>1067</v>
      </c>
      <c r="V796" t="n">
        <v>45</v>
      </c>
      <c r="W796" t="n">
        <v>11</v>
      </c>
      <c r="X796" t="n">
        <v>270000000</v>
      </c>
      <c r="Y796" t="inlineStr"/>
      <c r="Z796" t="inlineStr"/>
      <c r="AA796" t="inlineStr">
        <is>
          <t>https://knru.ru/catalog/reki-volkovki-nab-555406/</t>
        </is>
      </c>
      <c r="AB796" t="inlineStr">
        <is>
          <t>C</t>
        </is>
      </c>
    </row>
    <row r="797">
      <c r="A797" t="n">
        <v>1068</v>
      </c>
      <c r="B797" t="n">
        <v>45</v>
      </c>
      <c r="C797" t="n">
        <v>12</v>
      </c>
      <c r="D797" t="n">
        <v>44</v>
      </c>
      <c r="E797" t="inlineStr">
        <is>
          <t>Фрунзенский</t>
        </is>
      </c>
      <c r="F797" t="inlineStr">
        <is>
          <t>Салова ул, 44</t>
        </is>
      </c>
      <c r="G797" t="n">
        <v>4146</v>
      </c>
      <c r="H797" t="inlineStr">
        <is>
          <t>290 000 000</t>
        </is>
      </c>
      <c r="I797" t="inlineStr"/>
      <c r="J797" t="inlineStr"/>
      <c r="K797" t="inlineStr"/>
      <c r="L797" t="inlineStr"/>
      <c r="M797" t="inlineStr"/>
      <c r="N797" t="inlineStr">
        <is>
          <t>no</t>
        </is>
      </c>
      <c r="O797" t="inlineStr">
        <is>
          <t>none</t>
        </is>
      </c>
      <c r="P797">
        <f>HYPERLINK("https://knru.ru/catalog/salova-ul-44/","ссылка")</f>
        <v/>
      </c>
      <c r="Q797" t="inlineStr"/>
      <c r="R797" t="inlineStr">
        <is>
          <t>Нет у нас</t>
        </is>
      </c>
      <c r="S797" t="n">
        <v>0</v>
      </c>
      <c r="T797" t="inlineStr">
        <is>
          <t>Совпадений по улице+дому не найдено</t>
        </is>
      </c>
      <c r="U797" t="n">
        <v>1068</v>
      </c>
      <c r="V797" t="n">
        <v>45</v>
      </c>
      <c r="W797" t="n">
        <v>12</v>
      </c>
      <c r="X797" t="n">
        <v>290000000</v>
      </c>
      <c r="Y797" t="inlineStr"/>
      <c r="Z797" t="inlineStr"/>
      <c r="AA797" t="inlineStr">
        <is>
          <t>https://knru.ru/catalog/salova-ul-44/</t>
        </is>
      </c>
      <c r="AB797" t="inlineStr">
        <is>
          <t>C</t>
        </is>
      </c>
    </row>
    <row r="798">
      <c r="A798" t="n">
        <v>1069</v>
      </c>
      <c r="B798" t="n">
        <v>45</v>
      </c>
      <c r="C798" t="n">
        <v>13</v>
      </c>
      <c r="D798" t="n">
        <v>555081</v>
      </c>
      <c r="E798" t="inlineStr"/>
      <c r="F798" t="inlineStr">
        <is>
          <t>Победы ул, 62</t>
        </is>
      </c>
      <c r="G798" t="n">
        <v>1082</v>
      </c>
      <c r="H798" t="inlineStr">
        <is>
          <t>77 000 000</t>
        </is>
      </c>
      <c r="I798" t="inlineStr"/>
      <c r="J798" t="inlineStr"/>
      <c r="K798" t="inlineStr"/>
      <c r="L798" t="inlineStr"/>
      <c r="M798" t="inlineStr"/>
      <c r="N798" t="inlineStr">
        <is>
          <t>no</t>
        </is>
      </c>
      <c r="O798" t="inlineStr">
        <is>
          <t>none</t>
        </is>
      </c>
      <c r="P798">
        <f>HYPERLINK("https://knru.ru/catalog/pobedy-ul-62-555081/","ссылка")</f>
        <v/>
      </c>
      <c r="Q798" t="inlineStr"/>
      <c r="R798" t="inlineStr">
        <is>
          <t>Нет у нас</t>
        </is>
      </c>
      <c r="S798" t="n">
        <v>0</v>
      </c>
      <c r="T798" t="inlineStr">
        <is>
          <t>Совпадений по улице+дому не найдено</t>
        </is>
      </c>
      <c r="U798" t="n">
        <v>1069</v>
      </c>
      <c r="V798" t="n">
        <v>45</v>
      </c>
      <c r="W798" t="n">
        <v>13</v>
      </c>
      <c r="X798" t="n">
        <v>77000000</v>
      </c>
      <c r="Y798" t="inlineStr"/>
      <c r="Z798" t="inlineStr"/>
      <c r="AA798" t="inlineStr">
        <is>
          <t>https://knru.ru/catalog/pobedy-ul-62-555081/</t>
        </is>
      </c>
      <c r="AB798" t="inlineStr">
        <is>
          <t>C</t>
        </is>
      </c>
    </row>
    <row r="799">
      <c r="A799" t="n">
        <v>1070</v>
      </c>
      <c r="B799" t="n">
        <v>45</v>
      </c>
      <c r="C799" t="n">
        <v>14</v>
      </c>
      <c r="D799" t="inlineStr"/>
      <c r="E799" t="inlineStr"/>
      <c r="F799" t="inlineStr">
        <is>
          <t>Марьино тер</t>
        </is>
      </c>
      <c r="G799" t="n">
        <v>13700</v>
      </c>
      <c r="H799" t="inlineStr">
        <is>
          <t>42 000 000</t>
        </is>
      </c>
      <c r="I799" t="inlineStr"/>
      <c r="J799" t="inlineStr"/>
      <c r="K799" t="inlineStr"/>
      <c r="L799" t="inlineStr"/>
      <c r="M799" t="inlineStr"/>
      <c r="N799" t="inlineStr">
        <is>
          <t>no</t>
        </is>
      </c>
      <c r="O799" t="inlineStr">
        <is>
          <t>none</t>
        </is>
      </c>
      <c r="P799">
        <f>HYPERLINK("https://knru.ru/catalog/marino-ter/","ссылка")</f>
        <v/>
      </c>
      <c r="Q799" t="inlineStr"/>
      <c r="R799" t="inlineStr">
        <is>
          <t>Нет у нас</t>
        </is>
      </c>
      <c r="S799" t="n">
        <v>0</v>
      </c>
      <c r="T799" t="inlineStr">
        <is>
          <t>Совпадений по улице+дому не найдено</t>
        </is>
      </c>
      <c r="U799" t="n">
        <v>1070</v>
      </c>
      <c r="V799" t="n">
        <v>45</v>
      </c>
      <c r="W799" t="n">
        <v>14</v>
      </c>
      <c r="X799" t="n">
        <v>42000000</v>
      </c>
      <c r="Y799" t="inlineStr"/>
      <c r="Z799" t="inlineStr"/>
      <c r="AA799" t="inlineStr">
        <is>
          <t>https://knru.ru/catalog/marino-ter/</t>
        </is>
      </c>
      <c r="AB799" t="inlineStr">
        <is>
          <t>C</t>
        </is>
      </c>
    </row>
    <row r="800">
      <c r="A800" t="n">
        <v>1071</v>
      </c>
      <c r="B800" t="n">
        <v>45</v>
      </c>
      <c r="C800" t="n">
        <v>15</v>
      </c>
      <c r="D800" t="n">
        <v>14</v>
      </c>
      <c r="E800" t="inlineStr"/>
      <c r="F800" t="inlineStr">
        <is>
          <t>Почтовый проезд, 14</t>
        </is>
      </c>
      <c r="G800" t="n">
        <v>1440</v>
      </c>
      <c r="H800" t="inlineStr">
        <is>
          <t>100 000 000</t>
        </is>
      </c>
      <c r="I800" t="inlineStr"/>
      <c r="J800" t="inlineStr"/>
      <c r="K800" t="inlineStr"/>
      <c r="L800" t="inlineStr"/>
      <c r="M800" t="inlineStr"/>
      <c r="N800" t="inlineStr">
        <is>
          <t>no</t>
        </is>
      </c>
      <c r="O800" t="inlineStr">
        <is>
          <t>none</t>
        </is>
      </c>
      <c r="P800">
        <f>HYPERLINK("https://knru.ru/catalog/pochtovyj-proezd-14/","ссылка")</f>
        <v/>
      </c>
      <c r="Q800" t="inlineStr"/>
      <c r="R800" t="inlineStr">
        <is>
          <t>Нет у нас</t>
        </is>
      </c>
      <c r="S800" t="n">
        <v>0</v>
      </c>
      <c r="T800" t="inlineStr">
        <is>
          <t>Совпадений по улице+дому не найдено</t>
        </is>
      </c>
      <c r="U800" t="n">
        <v>1071</v>
      </c>
      <c r="V800" t="n">
        <v>45</v>
      </c>
      <c r="W800" t="n">
        <v>15</v>
      </c>
      <c r="X800" t="n">
        <v>100000000</v>
      </c>
      <c r="Y800" t="inlineStr"/>
      <c r="Z800" t="inlineStr"/>
      <c r="AA800" t="inlineStr">
        <is>
          <t>https://knru.ru/catalog/pochtovyj-proezd-14/</t>
        </is>
      </c>
      <c r="AB800" t="inlineStr">
        <is>
          <t>C</t>
        </is>
      </c>
    </row>
    <row r="801">
      <c r="A801" t="n">
        <v>1072</v>
      </c>
      <c r="B801" t="n">
        <v>45</v>
      </c>
      <c r="C801" t="n">
        <v>16</v>
      </c>
      <c r="D801" t="inlineStr"/>
      <c r="E801" t="inlineStr"/>
      <c r="F801" t="inlineStr">
        <is>
          <t>Дорожная ул</t>
        </is>
      </c>
      <c r="G801" t="n">
        <v>467582</v>
      </c>
      <c r="H801" t="inlineStr">
        <is>
          <t>110 000 000</t>
        </is>
      </c>
      <c r="I801" t="inlineStr"/>
      <c r="J801" t="inlineStr"/>
      <c r="K801" t="inlineStr"/>
      <c r="L801" t="inlineStr"/>
      <c r="M801" t="inlineStr"/>
      <c r="N801" t="inlineStr">
        <is>
          <t>no</t>
        </is>
      </c>
      <c r="O801" t="inlineStr">
        <is>
          <t>none</t>
        </is>
      </c>
      <c r="P801">
        <f>HYPERLINK("https://knru.ru/catalog/dorozhnaya-ul/","ссылка")</f>
        <v/>
      </c>
      <c r="Q801" t="inlineStr"/>
      <c r="R801" t="inlineStr">
        <is>
          <t>Нет у нас</t>
        </is>
      </c>
      <c r="S801" t="n">
        <v>0</v>
      </c>
      <c r="T801" t="inlineStr">
        <is>
          <t>Совпадений по улице+дому не найдено</t>
        </is>
      </c>
      <c r="U801" t="n">
        <v>1072</v>
      </c>
      <c r="V801" t="n">
        <v>45</v>
      </c>
      <c r="W801" t="n">
        <v>16</v>
      </c>
      <c r="X801" t="n">
        <v>110000000</v>
      </c>
      <c r="Y801" t="inlineStr"/>
      <c r="Z801" t="inlineStr"/>
      <c r="AA801" t="inlineStr">
        <is>
          <t>https://knru.ru/catalog/dorozhnaya-ul/</t>
        </is>
      </c>
      <c r="AB801" t="inlineStr">
        <is>
          <t>C</t>
        </is>
      </c>
    </row>
    <row r="802">
      <c r="A802" t="n">
        <v>1073</v>
      </c>
      <c r="B802" t="n">
        <v>45</v>
      </c>
      <c r="C802" t="n">
        <v>17</v>
      </c>
      <c r="D802" t="inlineStr"/>
      <c r="E802" t="inlineStr"/>
      <c r="F802" t="inlineStr">
        <is>
          <t>Южное ш</t>
        </is>
      </c>
      <c r="G802" t="n">
        <v>2318</v>
      </c>
      <c r="H802" t="inlineStr">
        <is>
          <t>127 512 000</t>
        </is>
      </c>
      <c r="I802" t="inlineStr"/>
      <c r="J802" t="inlineStr"/>
      <c r="K802" t="inlineStr"/>
      <c r="L802" t="inlineStr"/>
      <c r="M802" t="inlineStr"/>
      <c r="N802" t="inlineStr">
        <is>
          <t>no</t>
        </is>
      </c>
      <c r="O802" t="inlineStr">
        <is>
          <t>none</t>
        </is>
      </c>
      <c r="P802">
        <f>HYPERLINK("https://knru.ru/catalog/yuzhnoe-sh/","ссылка")</f>
        <v/>
      </c>
      <c r="Q802" t="inlineStr"/>
      <c r="R802" t="inlineStr">
        <is>
          <t>Нет у нас</t>
        </is>
      </c>
      <c r="S802" t="n">
        <v>0</v>
      </c>
      <c r="T802" t="inlineStr">
        <is>
          <t>Совпадений по улице+дому не найдено</t>
        </is>
      </c>
      <c r="U802" t="n">
        <v>1073</v>
      </c>
      <c r="V802" t="n">
        <v>45</v>
      </c>
      <c r="W802" t="n">
        <v>17</v>
      </c>
      <c r="X802" t="n">
        <v>127512000</v>
      </c>
      <c r="Y802" t="inlineStr"/>
      <c r="Z802" t="inlineStr"/>
      <c r="AA802" t="inlineStr">
        <is>
          <t>https://knru.ru/catalog/yuzhnoe-sh/</t>
        </is>
      </c>
      <c r="AB802" t="inlineStr">
        <is>
          <t>C</t>
        </is>
      </c>
    </row>
    <row r="803">
      <c r="A803" t="n">
        <v>1074</v>
      </c>
      <c r="B803" t="n">
        <v>45</v>
      </c>
      <c r="C803" t="n">
        <v>18</v>
      </c>
      <c r="D803" t="n">
        <v>69</v>
      </c>
      <c r="E803" t="inlineStr"/>
      <c r="F803" t="inlineStr">
        <is>
          <t>Ольгинское ш, 69</t>
        </is>
      </c>
      <c r="G803" t="n">
        <v>46500</v>
      </c>
      <c r="H803" t="inlineStr">
        <is>
          <t>155 000 000</t>
        </is>
      </c>
      <c r="I803" t="inlineStr"/>
      <c r="J803" t="inlineStr"/>
      <c r="K803" t="inlineStr"/>
      <c r="L803" t="inlineStr"/>
      <c r="M803" t="inlineStr"/>
      <c r="N803" t="inlineStr">
        <is>
          <t>no</t>
        </is>
      </c>
      <c r="O803" t="inlineStr">
        <is>
          <t>none</t>
        </is>
      </c>
      <c r="P803">
        <f>HYPERLINK("https://knru.ru/catalog/olginskoe-sh-69/","ссылка")</f>
        <v/>
      </c>
      <c r="Q803" t="inlineStr"/>
      <c r="R803" t="inlineStr">
        <is>
          <t>Нет у нас</t>
        </is>
      </c>
      <c r="S803" t="n">
        <v>0</v>
      </c>
      <c r="T803" t="inlineStr">
        <is>
          <t>Совпадений по улице+дому не найдено</t>
        </is>
      </c>
      <c r="U803" t="n">
        <v>1074</v>
      </c>
      <c r="V803" t="n">
        <v>45</v>
      </c>
      <c r="W803" t="n">
        <v>18</v>
      </c>
      <c r="X803" t="n">
        <v>155000000</v>
      </c>
      <c r="Y803" t="inlineStr"/>
      <c r="Z803" t="inlineStr"/>
      <c r="AA803" t="inlineStr">
        <is>
          <t>https://knru.ru/catalog/olginskoe-sh-69/</t>
        </is>
      </c>
      <c r="AB803" t="inlineStr">
        <is>
          <t>C</t>
        </is>
      </c>
    </row>
    <row r="804">
      <c r="A804" t="n">
        <v>1075</v>
      </c>
      <c r="B804" t="n">
        <v>45</v>
      </c>
      <c r="C804" t="n">
        <v>19</v>
      </c>
      <c r="D804" t="inlineStr"/>
      <c r="E804" t="inlineStr"/>
      <c r="F804" t="inlineStr">
        <is>
          <t>Калинина ул</t>
        </is>
      </c>
      <c r="G804" t="n">
        <v>7000</v>
      </c>
      <c r="H804" t="inlineStr">
        <is>
          <t>91 000 000</t>
        </is>
      </c>
      <c r="I804" t="inlineStr"/>
      <c r="J804" t="inlineStr"/>
      <c r="K804" t="inlineStr"/>
      <c r="L804" t="inlineStr"/>
      <c r="M804" t="inlineStr"/>
      <c r="N804" t="inlineStr">
        <is>
          <t>no</t>
        </is>
      </c>
      <c r="O804" t="inlineStr">
        <is>
          <t>none</t>
        </is>
      </c>
      <c r="P804">
        <f>HYPERLINK("https://knru.ru/catalog/kalinina-ul/","ссылка")</f>
        <v/>
      </c>
      <c r="Q804" t="inlineStr"/>
      <c r="R804" t="inlineStr">
        <is>
          <t>Нет у нас</t>
        </is>
      </c>
      <c r="S804" t="n">
        <v>0</v>
      </c>
      <c r="T804" t="inlineStr">
        <is>
          <t>Совпадений по улице+дому не найдено</t>
        </is>
      </c>
      <c r="U804" t="n">
        <v>1075</v>
      </c>
      <c r="V804" t="n">
        <v>45</v>
      </c>
      <c r="W804" t="n">
        <v>19</v>
      </c>
      <c r="X804" t="n">
        <v>91000000</v>
      </c>
      <c r="Y804" t="inlineStr"/>
      <c r="Z804" t="inlineStr"/>
      <c r="AA804" t="inlineStr">
        <is>
          <t>https://knru.ru/catalog/kalinina-ul/</t>
        </is>
      </c>
      <c r="AB804" t="inlineStr">
        <is>
          <t>C</t>
        </is>
      </c>
    </row>
    <row r="805">
      <c r="A805" t="n">
        <v>1076</v>
      </c>
      <c r="B805" t="n">
        <v>45</v>
      </c>
      <c r="C805" t="n">
        <v>20</v>
      </c>
      <c r="D805" t="inlineStr"/>
      <c r="E805" t="inlineStr"/>
      <c r="F805" t="inlineStr">
        <is>
          <t>1-й Восточный проезд</t>
        </is>
      </c>
      <c r="G805" t="n">
        <v>570</v>
      </c>
      <c r="H805" t="inlineStr">
        <is>
          <t>85 000 000</t>
        </is>
      </c>
      <c r="I805" t="inlineStr"/>
      <c r="J805" t="inlineStr"/>
      <c r="K805" t="inlineStr"/>
      <c r="L805" t="inlineStr"/>
      <c r="M805" t="inlineStr"/>
      <c r="N805" t="inlineStr">
        <is>
          <t>no</t>
        </is>
      </c>
      <c r="O805" t="inlineStr">
        <is>
          <t>none</t>
        </is>
      </c>
      <c r="P805">
        <f>HYPERLINK("https://knru.ru/catalog/1-j-vostochnyj-proezd/","ссылка")</f>
        <v/>
      </c>
      <c r="Q805" t="inlineStr"/>
      <c r="R805" t="inlineStr">
        <is>
          <t>Нет у нас</t>
        </is>
      </c>
      <c r="S805" t="n">
        <v>0</v>
      </c>
      <c r="T805" t="inlineStr">
        <is>
          <t>Совпадений по улице+дому не найдено</t>
        </is>
      </c>
      <c r="U805" t="n">
        <v>1076</v>
      </c>
      <c r="V805" t="n">
        <v>45</v>
      </c>
      <c r="W805" t="n">
        <v>20</v>
      </c>
      <c r="X805" t="n">
        <v>85000000</v>
      </c>
      <c r="Y805" t="inlineStr"/>
      <c r="Z805" t="inlineStr"/>
      <c r="AA805" t="inlineStr">
        <is>
          <t>https://knru.ru/catalog/1-j-vostochnyj-proezd/</t>
        </is>
      </c>
      <c r="AB805" t="inlineStr">
        <is>
          <t>C</t>
        </is>
      </c>
    </row>
    <row r="806">
      <c r="A806" t="n">
        <v>1077</v>
      </c>
      <c r="B806" t="n">
        <v>45</v>
      </c>
      <c r="C806" t="n">
        <v>21</v>
      </c>
      <c r="D806" t="inlineStr"/>
      <c r="E806" t="inlineStr"/>
      <c r="F806" t="inlineStr">
        <is>
          <t>Невельская ул, 7 К</t>
        </is>
      </c>
      <c r="G806" t="n">
        <v>6023</v>
      </c>
      <c r="H806" t="inlineStr">
        <is>
          <t>370 000 000</t>
        </is>
      </c>
      <c r="I806" t="inlineStr"/>
      <c r="J806" t="inlineStr"/>
      <c r="K806" t="inlineStr"/>
      <c r="L806" t="inlineStr"/>
      <c r="M806" t="inlineStr"/>
      <c r="N806" t="inlineStr">
        <is>
          <t>no</t>
        </is>
      </c>
      <c r="O806" t="inlineStr">
        <is>
          <t>none</t>
        </is>
      </c>
      <c r="P806">
        <f>HYPERLINK("https://knru.ru/catalog/nevelskaya-ul-7-k/","ссылка")</f>
        <v/>
      </c>
      <c r="Q806" t="inlineStr"/>
      <c r="R806" t="inlineStr">
        <is>
          <t>Нет у нас</t>
        </is>
      </c>
      <c r="S806" t="n">
        <v>0</v>
      </c>
      <c r="T806" t="inlineStr">
        <is>
          <t>Совпадений по улице+дому не найдено</t>
        </is>
      </c>
      <c r="U806" t="n">
        <v>1077</v>
      </c>
      <c r="V806" t="n">
        <v>45</v>
      </c>
      <c r="W806" t="n">
        <v>21</v>
      </c>
      <c r="X806" t="n">
        <v>370000000</v>
      </c>
      <c r="Y806" t="inlineStr"/>
      <c r="Z806" t="inlineStr"/>
      <c r="AA806" t="inlineStr">
        <is>
          <t>https://knru.ru/catalog/nevelskaya-ul-7-k/</t>
        </is>
      </c>
      <c r="AB806" t="inlineStr">
        <is>
          <t>C</t>
        </is>
      </c>
    </row>
    <row r="807">
      <c r="A807" t="n">
        <v>1078</v>
      </c>
      <c r="B807" t="n">
        <v>45</v>
      </c>
      <c r="C807" t="n">
        <v>22</v>
      </c>
      <c r="D807" t="n">
        <v>1</v>
      </c>
      <c r="E807" t="inlineStr"/>
      <c r="F807" t="inlineStr">
        <is>
          <t>Ленинградская ул, 2/1</t>
        </is>
      </c>
      <c r="G807" t="n">
        <v>10000</v>
      </c>
      <c r="H807" t="inlineStr">
        <is>
          <t>14 200 000</t>
        </is>
      </c>
      <c r="I807" t="inlineStr"/>
      <c r="J807" t="inlineStr"/>
      <c r="K807" t="inlineStr"/>
      <c r="L807" t="inlineStr"/>
      <c r="M807" t="inlineStr"/>
      <c r="N807" t="inlineStr">
        <is>
          <t>no</t>
        </is>
      </c>
      <c r="O807" t="inlineStr">
        <is>
          <t>none</t>
        </is>
      </c>
      <c r="P807">
        <f>HYPERLINK("https://knru.ru/catalog/leningradskaya-ul-2-1/","ссылка")</f>
        <v/>
      </c>
      <c r="Q807" t="inlineStr"/>
      <c r="R807" t="inlineStr">
        <is>
          <t>Нет у нас</t>
        </is>
      </c>
      <c r="S807" t="n">
        <v>0</v>
      </c>
      <c r="T807" t="inlineStr">
        <is>
          <t>Совпадений по улице+дому не найдено</t>
        </is>
      </c>
      <c r="U807" t="n">
        <v>1078</v>
      </c>
      <c r="V807" t="n">
        <v>45</v>
      </c>
      <c r="W807" t="n">
        <v>22</v>
      </c>
      <c r="X807" t="n">
        <v>14200000</v>
      </c>
      <c r="Y807" t="inlineStr"/>
      <c r="Z807" t="inlineStr"/>
      <c r="AA807" t="inlineStr">
        <is>
          <t>https://knru.ru/catalog/leningradskaya-ul-2-1/</t>
        </is>
      </c>
      <c r="AB807" t="inlineStr">
        <is>
          <t>C</t>
        </is>
      </c>
    </row>
    <row r="808">
      <c r="A808" t="n">
        <v>1079</v>
      </c>
      <c r="B808" t="n">
        <v>45</v>
      </c>
      <c r="C808" t="n">
        <v>23</v>
      </c>
      <c r="D808" t="n">
        <v>554015</v>
      </c>
      <c r="E808" t="inlineStr"/>
      <c r="F808" t="inlineStr">
        <is>
          <t>Московское ш</t>
        </is>
      </c>
      <c r="G808" t="n">
        <v>4000</v>
      </c>
      <c r="H808" t="inlineStr">
        <is>
          <t>22 000 000</t>
        </is>
      </c>
      <c r="I808" t="inlineStr"/>
      <c r="J808" t="inlineStr"/>
      <c r="K808" t="inlineStr"/>
      <c r="L808" t="inlineStr"/>
      <c r="M808" t="inlineStr"/>
      <c r="N808" t="inlineStr">
        <is>
          <t>no</t>
        </is>
      </c>
      <c r="O808" t="inlineStr">
        <is>
          <t>none</t>
        </is>
      </c>
      <c r="P808">
        <f>HYPERLINK("https://knru.ru/catalog/moskovskoe-sh-554015/","ссылка")</f>
        <v/>
      </c>
      <c r="Q808" t="inlineStr"/>
      <c r="R808" t="inlineStr">
        <is>
          <t>Нет у нас</t>
        </is>
      </c>
      <c r="S808" t="n">
        <v>0</v>
      </c>
      <c r="T808" t="inlineStr">
        <is>
          <t>Совпадений по улице+дому не найдено</t>
        </is>
      </c>
      <c r="U808" t="n">
        <v>1079</v>
      </c>
      <c r="V808" t="n">
        <v>45</v>
      </c>
      <c r="W808" t="n">
        <v>23</v>
      </c>
      <c r="X808" t="n">
        <v>22000000</v>
      </c>
      <c r="Y808" t="inlineStr"/>
      <c r="Z808" t="inlineStr"/>
      <c r="AA808" t="inlineStr">
        <is>
          <t>https://knru.ru/catalog/moskovskoe-sh-554015/</t>
        </is>
      </c>
      <c r="AB808" t="inlineStr">
        <is>
          <t>C</t>
        </is>
      </c>
    </row>
    <row r="809">
      <c r="A809" t="n">
        <v>1080</v>
      </c>
      <c r="B809" t="n">
        <v>45</v>
      </c>
      <c r="C809" t="n">
        <v>24</v>
      </c>
      <c r="D809" t="n">
        <v>553863</v>
      </c>
      <c r="E809" t="inlineStr"/>
      <c r="F809" t="inlineStr">
        <is>
          <t>Рабочая ул, 17</t>
        </is>
      </c>
      <c r="G809" t="n">
        <v>1315</v>
      </c>
      <c r="H809" t="inlineStr">
        <is>
          <t>157 800 000</t>
        </is>
      </c>
      <c r="I809" t="inlineStr"/>
      <c r="J809" t="inlineStr"/>
      <c r="K809" t="inlineStr"/>
      <c r="L809" t="inlineStr"/>
      <c r="M809" t="inlineStr"/>
      <c r="N809" t="inlineStr">
        <is>
          <t>no</t>
        </is>
      </c>
      <c r="O809" t="inlineStr">
        <is>
          <t>none</t>
        </is>
      </c>
      <c r="P809">
        <f>HYPERLINK("https://knru.ru/catalog/rabochaya-ul-17-553863/","ссылка")</f>
        <v/>
      </c>
      <c r="Q809" t="inlineStr"/>
      <c r="R809" t="inlineStr">
        <is>
          <t>Нет у нас</t>
        </is>
      </c>
      <c r="S809" t="n">
        <v>0</v>
      </c>
      <c r="T809" t="inlineStr">
        <is>
          <t>Совпадений по улице+дому не найдено</t>
        </is>
      </c>
      <c r="U809" t="n">
        <v>1080</v>
      </c>
      <c r="V809" t="n">
        <v>45</v>
      </c>
      <c r="W809" t="n">
        <v>24</v>
      </c>
      <c r="X809" t="n">
        <v>157800000</v>
      </c>
      <c r="Y809" t="inlineStr"/>
      <c r="Z809" t="inlineStr"/>
      <c r="AA809" t="inlineStr">
        <is>
          <t>https://knru.ru/catalog/rabochaya-ul-17-553863/</t>
        </is>
      </c>
      <c r="AB809" t="inlineStr">
        <is>
          <t>C</t>
        </is>
      </c>
    </row>
    <row r="810">
      <c r="A810" t="n">
        <v>1081</v>
      </c>
      <c r="B810" t="n">
        <v>46</v>
      </c>
      <c r="C810" t="n">
        <v>1</v>
      </c>
      <c r="D810" t="inlineStr"/>
      <c r="E810" t="inlineStr"/>
      <c r="F810" t="inlineStr">
        <is>
          <t>Киевская ул, 5к11 В</t>
        </is>
      </c>
      <c r="G810" t="n">
        <v>4324</v>
      </c>
      <c r="H810" t="inlineStr">
        <is>
          <t>215 000 000</t>
        </is>
      </c>
      <c r="I810" t="inlineStr"/>
      <c r="J810" t="inlineStr"/>
      <c r="K810" t="inlineStr"/>
      <c r="L810" t="inlineStr"/>
      <c r="M810" t="inlineStr"/>
      <c r="N810" t="inlineStr">
        <is>
          <t>no</t>
        </is>
      </c>
      <c r="O810" t="inlineStr">
        <is>
          <t>none</t>
        </is>
      </c>
      <c r="P810">
        <f>HYPERLINK("https://knru.ru/catalog/kievskaya-ul-5k11-v/","ссылка")</f>
        <v/>
      </c>
      <c r="Q810" t="inlineStr"/>
      <c r="R810" t="inlineStr">
        <is>
          <t>Нет у нас</t>
        </is>
      </c>
      <c r="S810" t="n">
        <v>0</v>
      </c>
      <c r="T810" t="inlineStr">
        <is>
          <t>Совпадений по улице+дому не найдено</t>
        </is>
      </c>
      <c r="U810" t="n">
        <v>1081</v>
      </c>
      <c r="V810" t="n">
        <v>46</v>
      </c>
      <c r="W810" t="n">
        <v>1</v>
      </c>
      <c r="X810" t="n">
        <v>215000000</v>
      </c>
      <c r="Y810" t="inlineStr"/>
      <c r="Z810" t="inlineStr"/>
      <c r="AA810" t="inlineStr">
        <is>
          <t>https://knru.ru/catalog/kievskaya-ul-5k11-v/</t>
        </is>
      </c>
      <c r="AB810" t="inlineStr">
        <is>
          <t>C</t>
        </is>
      </c>
    </row>
    <row r="811">
      <c r="A811" t="n">
        <v>1082</v>
      </c>
      <c r="B811" t="n">
        <v>46</v>
      </c>
      <c r="C811" t="n">
        <v>2</v>
      </c>
      <c r="D811" t="inlineStr"/>
      <c r="E811" t="inlineStr"/>
      <c r="F811" t="inlineStr">
        <is>
          <t>Оптиков ул</t>
        </is>
      </c>
      <c r="G811" t="n">
        <v>7600</v>
      </c>
      <c r="H811" t="inlineStr">
        <is>
          <t>665 000 000</t>
        </is>
      </c>
      <c r="I811" t="inlineStr"/>
      <c r="J811" t="inlineStr"/>
      <c r="K811" t="inlineStr"/>
      <c r="L811" t="inlineStr"/>
      <c r="M811" t="inlineStr"/>
      <c r="N811" t="inlineStr">
        <is>
          <t>no</t>
        </is>
      </c>
      <c r="O811" t="inlineStr">
        <is>
          <t>none</t>
        </is>
      </c>
      <c r="P811">
        <f>HYPERLINK("https://knru.ru/catalog/optikov-ul/","ссылка")</f>
        <v/>
      </c>
      <c r="Q811" t="inlineStr"/>
      <c r="R811" t="inlineStr">
        <is>
          <t>Нет у нас</t>
        </is>
      </c>
      <c r="S811" t="n">
        <v>0</v>
      </c>
      <c r="T811" t="inlineStr">
        <is>
          <t>Совпадений по улице+дому не найдено</t>
        </is>
      </c>
      <c r="U811" t="n">
        <v>1082</v>
      </c>
      <c r="V811" t="n">
        <v>46</v>
      </c>
      <c r="W811" t="n">
        <v>2</v>
      </c>
      <c r="X811" t="n">
        <v>665000000</v>
      </c>
      <c r="Y811" t="inlineStr"/>
      <c r="Z811" t="inlineStr"/>
      <c r="AA811" t="inlineStr">
        <is>
          <t>https://knru.ru/catalog/optikov-ul/</t>
        </is>
      </c>
      <c r="AB811" t="inlineStr">
        <is>
          <t>C</t>
        </is>
      </c>
    </row>
    <row r="812">
      <c r="A812" t="n">
        <v>1083</v>
      </c>
      <c r="B812" t="n">
        <v>46</v>
      </c>
      <c r="C812" t="n">
        <v>3</v>
      </c>
      <c r="D812" t="n">
        <v>1</v>
      </c>
      <c r="E812" t="inlineStr"/>
      <c r="F812" t="inlineStr">
        <is>
          <t>Кислотный пер, 2/1</t>
        </is>
      </c>
      <c r="G812" t="n">
        <v>7200</v>
      </c>
      <c r="H812" t="inlineStr">
        <is>
          <t>150 000 000</t>
        </is>
      </c>
      <c r="I812" t="inlineStr"/>
      <c r="J812" t="inlineStr"/>
      <c r="K812" t="inlineStr"/>
      <c r="L812" t="inlineStr"/>
      <c r="M812" t="inlineStr"/>
      <c r="N812" t="inlineStr">
        <is>
          <t>no</t>
        </is>
      </c>
      <c r="O812" t="inlineStr">
        <is>
          <t>none</t>
        </is>
      </c>
      <c r="P812">
        <f>HYPERLINK("https://knru.ru/catalog/kislotnyj-per-2-1/","ссылка")</f>
        <v/>
      </c>
      <c r="Q812" t="inlineStr"/>
      <c r="R812" t="inlineStr">
        <is>
          <t>Нет у нас</t>
        </is>
      </c>
      <c r="S812" t="n">
        <v>0</v>
      </c>
      <c r="T812" t="inlineStr">
        <is>
          <t>Совпадений по улице+дому не найдено</t>
        </is>
      </c>
      <c r="U812" t="n">
        <v>1083</v>
      </c>
      <c r="V812" t="n">
        <v>46</v>
      </c>
      <c r="W812" t="n">
        <v>3</v>
      </c>
      <c r="X812" t="n">
        <v>150000000</v>
      </c>
      <c r="Y812" t="inlineStr"/>
      <c r="Z812" t="inlineStr"/>
      <c r="AA812" t="inlineStr">
        <is>
          <t>https://knru.ru/catalog/kislotnyj-per-2-1/</t>
        </is>
      </c>
      <c r="AB812" t="inlineStr">
        <is>
          <t>C</t>
        </is>
      </c>
    </row>
    <row r="813">
      <c r="A813" t="n">
        <v>1084</v>
      </c>
      <c r="B813" t="n">
        <v>46</v>
      </c>
      <c r="C813" t="n">
        <v>4</v>
      </c>
      <c r="D813" t="inlineStr"/>
      <c r="E813" t="inlineStr"/>
      <c r="F813" t="inlineStr">
        <is>
          <t>Караваевская ул, 23 А</t>
        </is>
      </c>
      <c r="G813" t="n">
        <v>4596</v>
      </c>
      <c r="H813" t="inlineStr">
        <is>
          <t>350 000 000</t>
        </is>
      </c>
      <c r="I813" t="inlineStr"/>
      <c r="J813" t="inlineStr"/>
      <c r="K813" t="inlineStr"/>
      <c r="L813" t="inlineStr"/>
      <c r="M813" t="inlineStr"/>
      <c r="N813" t="inlineStr">
        <is>
          <t>no</t>
        </is>
      </c>
      <c r="O813" t="inlineStr">
        <is>
          <t>none</t>
        </is>
      </c>
      <c r="P813">
        <f>HYPERLINK("https://knru.ru/catalog/karavaevskaya-ul-23-a/","ссылка")</f>
        <v/>
      </c>
      <c r="Q813" t="inlineStr"/>
      <c r="R813" t="inlineStr">
        <is>
          <t>Нет у нас</t>
        </is>
      </c>
      <c r="S813" t="n">
        <v>0</v>
      </c>
      <c r="T813" t="inlineStr">
        <is>
          <t>Совпадений по улице+дому не найдено</t>
        </is>
      </c>
      <c r="U813" t="n">
        <v>1084</v>
      </c>
      <c r="V813" t="n">
        <v>46</v>
      </c>
      <c r="W813" t="n">
        <v>4</v>
      </c>
      <c r="X813" t="n">
        <v>350000000</v>
      </c>
      <c r="Y813" t="inlineStr"/>
      <c r="Z813" t="inlineStr"/>
      <c r="AA813" t="inlineStr">
        <is>
          <t>https://knru.ru/catalog/karavaevskaya-ul-23-a/</t>
        </is>
      </c>
      <c r="AB813" t="inlineStr">
        <is>
          <t>C</t>
        </is>
      </c>
    </row>
    <row r="814">
      <c r="A814" t="n">
        <v>1085</v>
      </c>
      <c r="B814" t="n">
        <v>46</v>
      </c>
      <c r="C814" t="n">
        <v>5</v>
      </c>
      <c r="D814" t="n">
        <v>553475</v>
      </c>
      <c r="E814" t="inlineStr"/>
      <c r="F814" t="inlineStr">
        <is>
          <t>Приютинская ул</t>
        </is>
      </c>
      <c r="G814" t="n">
        <v>2429</v>
      </c>
      <c r="H814" t="inlineStr">
        <is>
          <t>65 000 000</t>
        </is>
      </c>
      <c r="I814" t="inlineStr"/>
      <c r="J814" t="inlineStr"/>
      <c r="K814" t="inlineStr"/>
      <c r="L814" t="inlineStr"/>
      <c r="M814" t="inlineStr"/>
      <c r="N814" t="inlineStr">
        <is>
          <t>no</t>
        </is>
      </c>
      <c r="O814" t="inlineStr">
        <is>
          <t>none</t>
        </is>
      </c>
      <c r="P814">
        <f>HYPERLINK("https://knru.ru/catalog/priyutinskaya-ul-553475/","ссылка")</f>
        <v/>
      </c>
      <c r="Q814" t="inlineStr"/>
      <c r="R814" t="inlineStr">
        <is>
          <t>Нет у нас</t>
        </is>
      </c>
      <c r="S814" t="n">
        <v>0</v>
      </c>
      <c r="T814" t="inlineStr">
        <is>
          <t>Совпадений по улице+дому не найдено</t>
        </is>
      </c>
      <c r="U814" t="n">
        <v>1085</v>
      </c>
      <c r="V814" t="n">
        <v>46</v>
      </c>
      <c r="W814" t="n">
        <v>5</v>
      </c>
      <c r="X814" t="n">
        <v>65000000</v>
      </c>
      <c r="Y814" t="inlineStr"/>
      <c r="Z814" t="inlineStr"/>
      <c r="AA814" t="inlineStr">
        <is>
          <t>https://knru.ru/catalog/priyutinskaya-ul-553475/</t>
        </is>
      </c>
      <c r="AB814" t="inlineStr">
        <is>
          <t>C</t>
        </is>
      </c>
    </row>
    <row r="815">
      <c r="A815" t="n">
        <v>1086</v>
      </c>
      <c r="B815" t="n">
        <v>46</v>
      </c>
      <c r="C815" t="n">
        <v>6</v>
      </c>
      <c r="D815" t="inlineStr"/>
      <c r="E815" t="inlineStr"/>
      <c r="F815" t="inlineStr">
        <is>
          <t>Приютинская ул</t>
        </is>
      </c>
      <c r="G815" t="n">
        <v>872</v>
      </c>
      <c r="H815" t="inlineStr">
        <is>
          <t>22 500 000</t>
        </is>
      </c>
      <c r="I815" t="inlineStr"/>
      <c r="J815" t="inlineStr"/>
      <c r="K815" t="inlineStr"/>
      <c r="L815" t="inlineStr"/>
      <c r="M815" t="inlineStr"/>
      <c r="N815" t="inlineStr">
        <is>
          <t>no</t>
        </is>
      </c>
      <c r="O815" t="inlineStr">
        <is>
          <t>none</t>
        </is>
      </c>
      <c r="P815">
        <f>HYPERLINK("https://knru.ru/catalog/priyutinskaya-ul/","ссылка")</f>
        <v/>
      </c>
      <c r="Q815" t="inlineStr"/>
      <c r="R815" t="inlineStr">
        <is>
          <t>Нет у нас</t>
        </is>
      </c>
      <c r="S815" t="n">
        <v>0</v>
      </c>
      <c r="T815" t="inlineStr">
        <is>
          <t>Совпадений по улице+дому не найдено</t>
        </is>
      </c>
      <c r="U815" t="n">
        <v>1086</v>
      </c>
      <c r="V815" t="n">
        <v>46</v>
      </c>
      <c r="W815" t="n">
        <v>6</v>
      </c>
      <c r="X815" t="n">
        <v>22500000</v>
      </c>
      <c r="Y815" t="inlineStr"/>
      <c r="Z815" t="inlineStr"/>
      <c r="AA815" t="inlineStr">
        <is>
          <t>https://knru.ru/catalog/priyutinskaya-ul/</t>
        </is>
      </c>
      <c r="AB815" t="inlineStr">
        <is>
          <t>C</t>
        </is>
      </c>
    </row>
    <row r="816">
      <c r="A816" t="n">
        <v>1087</v>
      </c>
      <c r="B816" t="n">
        <v>46</v>
      </c>
      <c r="C816" t="n">
        <v>7</v>
      </c>
      <c r="D816" t="n">
        <v>553453</v>
      </c>
      <c r="E816" t="inlineStr"/>
      <c r="F816" t="inlineStr">
        <is>
          <t>Московское ш, 161 к 9</t>
        </is>
      </c>
      <c r="G816" t="n">
        <v>1440</v>
      </c>
      <c r="H816" t="inlineStr">
        <is>
          <t>108 000 000</t>
        </is>
      </c>
      <c r="I816" t="inlineStr"/>
      <c r="J816" t="inlineStr"/>
      <c r="K816" t="inlineStr"/>
      <c r="L816" t="inlineStr"/>
      <c r="M816" t="inlineStr"/>
      <c r="N816" t="inlineStr">
        <is>
          <t>no</t>
        </is>
      </c>
      <c r="O816" t="inlineStr">
        <is>
          <t>none</t>
        </is>
      </c>
      <c r="P816">
        <f>HYPERLINK("https://knru.ru/catalog/moskovskoe-sh-161-k-9-553453/","ссылка")</f>
        <v/>
      </c>
      <c r="Q816" t="inlineStr"/>
      <c r="R816" t="inlineStr">
        <is>
          <t>Нет у нас</t>
        </is>
      </c>
      <c r="S816" t="n">
        <v>0</v>
      </c>
      <c r="T816" t="inlineStr">
        <is>
          <t>Совпадений по улице+дому не найдено</t>
        </is>
      </c>
      <c r="U816" t="n">
        <v>1087</v>
      </c>
      <c r="V816" t="n">
        <v>46</v>
      </c>
      <c r="W816" t="n">
        <v>7</v>
      </c>
      <c r="X816" t="n">
        <v>108000000</v>
      </c>
      <c r="Y816" t="inlineStr"/>
      <c r="Z816" t="inlineStr"/>
      <c r="AA816" t="inlineStr">
        <is>
          <t>https://knru.ru/catalog/moskovskoe-sh-161-k-9-553453/</t>
        </is>
      </c>
      <c r="AB816" t="inlineStr">
        <is>
          <t>C</t>
        </is>
      </c>
    </row>
    <row r="817">
      <c r="A817" t="n">
        <v>1088</v>
      </c>
      <c r="B817" t="n">
        <v>46</v>
      </c>
      <c r="C817" t="n">
        <v>8</v>
      </c>
      <c r="D817" t="n">
        <v>9</v>
      </c>
      <c r="E817" t="inlineStr"/>
      <c r="F817" t="inlineStr">
        <is>
          <t>Московское ш, 161 к 9</t>
        </is>
      </c>
      <c r="G817" t="n">
        <v>5760</v>
      </c>
      <c r="H817" t="inlineStr">
        <is>
          <t>432 000 000</t>
        </is>
      </c>
      <c r="I817" t="inlineStr"/>
      <c r="J817" t="inlineStr"/>
      <c r="K817" t="inlineStr"/>
      <c r="L817" t="inlineStr"/>
      <c r="M817" t="inlineStr"/>
      <c r="N817" t="inlineStr">
        <is>
          <t>no</t>
        </is>
      </c>
      <c r="O817" t="inlineStr">
        <is>
          <t>none</t>
        </is>
      </c>
      <c r="P817">
        <f>HYPERLINK("https://knru.ru/catalog/moskovskoe-sh-161-k-9/","ссылка")</f>
        <v/>
      </c>
      <c r="Q817" t="inlineStr"/>
      <c r="R817" t="inlineStr">
        <is>
          <t>Нет у нас</t>
        </is>
      </c>
      <c r="S817" t="n">
        <v>0</v>
      </c>
      <c r="T817" t="inlineStr">
        <is>
          <t>Совпадений по улице+дому не найдено</t>
        </is>
      </c>
      <c r="U817" t="n">
        <v>1088</v>
      </c>
      <c r="V817" t="n">
        <v>46</v>
      </c>
      <c r="W817" t="n">
        <v>8</v>
      </c>
      <c r="X817" t="n">
        <v>432000000</v>
      </c>
      <c r="Y817" t="inlineStr"/>
      <c r="Z817" t="inlineStr"/>
      <c r="AA817" t="inlineStr">
        <is>
          <t>https://knru.ru/catalog/moskovskoe-sh-161-k-9/</t>
        </is>
      </c>
      <c r="AB817" t="inlineStr">
        <is>
          <t>C</t>
        </is>
      </c>
    </row>
    <row r="818">
      <c r="A818" t="n">
        <v>1089</v>
      </c>
      <c r="B818" t="n">
        <v>46</v>
      </c>
      <c r="C818" t="n">
        <v>9</v>
      </c>
      <c r="D818" t="n">
        <v>553356</v>
      </c>
      <c r="E818" t="inlineStr"/>
      <c r="F818" t="inlineStr">
        <is>
          <t>Марьино тер</t>
        </is>
      </c>
      <c r="G818" t="n">
        <v>19900</v>
      </c>
      <c r="H818" t="inlineStr">
        <is>
          <t>59 700 000</t>
        </is>
      </c>
      <c r="I818" t="inlineStr"/>
      <c r="J818" t="inlineStr"/>
      <c r="K818" t="inlineStr"/>
      <c r="L818" t="inlineStr"/>
      <c r="M818" t="inlineStr"/>
      <c r="N818" t="inlineStr">
        <is>
          <t>no</t>
        </is>
      </c>
      <c r="O818" t="inlineStr">
        <is>
          <t>none</t>
        </is>
      </c>
      <c r="P818">
        <f>HYPERLINK("https://knru.ru/catalog/marino-ter-553356/","ссылка")</f>
        <v/>
      </c>
      <c r="Q818" t="inlineStr"/>
      <c r="R818" t="inlineStr">
        <is>
          <t>Нет у нас</t>
        </is>
      </c>
      <c r="S818" t="n">
        <v>0</v>
      </c>
      <c r="T818" t="inlineStr">
        <is>
          <t>Совпадений по улице+дому не найдено</t>
        </is>
      </c>
      <c r="U818" t="n">
        <v>1089</v>
      </c>
      <c r="V818" t="n">
        <v>46</v>
      </c>
      <c r="W818" t="n">
        <v>9</v>
      </c>
      <c r="X818" t="n">
        <v>59700000</v>
      </c>
      <c r="Y818" t="inlineStr"/>
      <c r="Z818" t="inlineStr"/>
      <c r="AA818" t="inlineStr">
        <is>
          <t>https://knru.ru/catalog/marino-ter-553356/</t>
        </is>
      </c>
      <c r="AB818" t="inlineStr">
        <is>
          <t>C</t>
        </is>
      </c>
    </row>
    <row r="819">
      <c r="A819" t="n">
        <v>1090</v>
      </c>
      <c r="B819" t="n">
        <v>46</v>
      </c>
      <c r="C819" t="n">
        <v>10</v>
      </c>
      <c r="D819" t="inlineStr"/>
      <c r="E819" t="inlineStr"/>
      <c r="F819" t="inlineStr">
        <is>
          <t>Суздальское ш, 26к1стр1</t>
        </is>
      </c>
      <c r="G819" t="n">
        <v>27104</v>
      </c>
      <c r="H819" t="inlineStr">
        <is>
          <t>3 684 400 000</t>
        </is>
      </c>
      <c r="I819" t="inlineStr"/>
      <c r="J819" t="inlineStr"/>
      <c r="K819" t="inlineStr"/>
      <c r="L819" t="inlineStr"/>
      <c r="M819" t="inlineStr"/>
      <c r="N819" t="inlineStr">
        <is>
          <t>no</t>
        </is>
      </c>
      <c r="O819" t="inlineStr">
        <is>
          <t>none</t>
        </is>
      </c>
      <c r="P819">
        <f>HYPERLINK("https://knru.ru/catalog/suzdalskoe-sh-26k1str1/","ссылка")</f>
        <v/>
      </c>
      <c r="Q819" t="inlineStr"/>
      <c r="R819" t="inlineStr">
        <is>
          <t>Нет у нас</t>
        </is>
      </c>
      <c r="S819" t="n">
        <v>0</v>
      </c>
      <c r="T819" t="inlineStr">
        <is>
          <t>Совпадений по улице+дому не найдено</t>
        </is>
      </c>
      <c r="U819" t="n">
        <v>1090</v>
      </c>
      <c r="V819" t="n">
        <v>46</v>
      </c>
      <c r="W819" t="n">
        <v>10</v>
      </c>
      <c r="X819" t="n">
        <v>3684400000</v>
      </c>
      <c r="Y819" t="inlineStr"/>
      <c r="Z819" t="inlineStr"/>
      <c r="AA819" t="inlineStr">
        <is>
          <t>https://knru.ru/catalog/suzdalskoe-sh-26k1str1/</t>
        </is>
      </c>
      <c r="AB819" t="inlineStr">
        <is>
          <t>C</t>
        </is>
      </c>
    </row>
    <row r="820">
      <c r="A820" t="n">
        <v>1091</v>
      </c>
      <c r="B820" t="n">
        <v>46</v>
      </c>
      <c r="C820" t="n">
        <v>11</v>
      </c>
      <c r="D820" t="n">
        <v>553020</v>
      </c>
      <c r="E820" t="inlineStr"/>
      <c r="F820" t="inlineStr">
        <is>
          <t>Покровская дорога ул, 9</t>
        </is>
      </c>
      <c r="G820" t="n">
        <v>4400</v>
      </c>
      <c r="H820" t="inlineStr">
        <is>
          <t>22 000 000</t>
        </is>
      </c>
      <c r="I820" t="inlineStr"/>
      <c r="J820" t="inlineStr"/>
      <c r="K820" t="inlineStr"/>
      <c r="L820" t="inlineStr"/>
      <c r="M820" t="inlineStr"/>
      <c r="N820" t="inlineStr">
        <is>
          <t>no</t>
        </is>
      </c>
      <c r="O820" t="inlineStr">
        <is>
          <t>none</t>
        </is>
      </c>
      <c r="P820">
        <f>HYPERLINK("https://knru.ru/catalog/pokrovskaya-doroga-ul-9-553020/","ссылка")</f>
        <v/>
      </c>
      <c r="Q820" t="inlineStr"/>
      <c r="R820" t="inlineStr">
        <is>
          <t>Нет у нас</t>
        </is>
      </c>
      <c r="S820" t="n">
        <v>0</v>
      </c>
      <c r="T820" t="inlineStr">
        <is>
          <t>Совпадений по улице+дому не найдено</t>
        </is>
      </c>
      <c r="U820" t="n">
        <v>1091</v>
      </c>
      <c r="V820" t="n">
        <v>46</v>
      </c>
      <c r="W820" t="n">
        <v>11</v>
      </c>
      <c r="X820" t="n">
        <v>22000000</v>
      </c>
      <c r="Y820" t="inlineStr"/>
      <c r="Z820" t="inlineStr"/>
      <c r="AA820" t="inlineStr">
        <is>
          <t>https://knru.ru/catalog/pokrovskaya-doroga-ul-9-553020/</t>
        </is>
      </c>
      <c r="AB820" t="inlineStr">
        <is>
          <t>C</t>
        </is>
      </c>
    </row>
    <row r="821">
      <c r="A821" t="n">
        <v>1092</v>
      </c>
      <c r="B821" t="n">
        <v>46</v>
      </c>
      <c r="C821" t="n">
        <v>12</v>
      </c>
      <c r="D821" t="n">
        <v>553019</v>
      </c>
      <c r="E821" t="inlineStr"/>
      <c r="F821" t="inlineStr">
        <is>
          <t>Покровская дорога ул, 9</t>
        </is>
      </c>
      <c r="G821" t="n">
        <v>13200</v>
      </c>
      <c r="H821" t="inlineStr">
        <is>
          <t>58 000 000</t>
        </is>
      </c>
      <c r="I821" t="inlineStr"/>
      <c r="J821" t="inlineStr"/>
      <c r="K821" t="inlineStr"/>
      <c r="L821" t="inlineStr"/>
      <c r="M821" t="inlineStr"/>
      <c r="N821" t="inlineStr">
        <is>
          <t>no</t>
        </is>
      </c>
      <c r="O821" t="inlineStr">
        <is>
          <t>none</t>
        </is>
      </c>
      <c r="P821">
        <f>HYPERLINK("https://knru.ru/catalog/pokrovskaya-doroga-ul-9-553019/","ссылка")</f>
        <v/>
      </c>
      <c r="Q821" t="inlineStr"/>
      <c r="R821" t="inlineStr">
        <is>
          <t>Нет у нас</t>
        </is>
      </c>
      <c r="S821" t="n">
        <v>0</v>
      </c>
      <c r="T821" t="inlineStr">
        <is>
          <t>Совпадений по улице+дому не найдено</t>
        </is>
      </c>
      <c r="U821" t="n">
        <v>1092</v>
      </c>
      <c r="V821" t="n">
        <v>46</v>
      </c>
      <c r="W821" t="n">
        <v>12</v>
      </c>
      <c r="X821" t="n">
        <v>58000000</v>
      </c>
      <c r="Y821" t="inlineStr"/>
      <c r="Z821" t="inlineStr"/>
      <c r="AA821" t="inlineStr">
        <is>
          <t>https://knru.ru/catalog/pokrovskaya-doroga-ul-9-553019/</t>
        </is>
      </c>
      <c r="AB821" t="inlineStr">
        <is>
          <t>C</t>
        </is>
      </c>
    </row>
    <row r="822">
      <c r="A822" t="n">
        <v>1093</v>
      </c>
      <c r="B822" t="n">
        <v>46</v>
      </c>
      <c r="C822" t="n">
        <v>13</v>
      </c>
      <c r="D822" t="n">
        <v>553018</v>
      </c>
      <c r="E822" t="inlineStr"/>
      <c r="F822" t="inlineStr">
        <is>
          <t>Покровская дорога ул, 9</t>
        </is>
      </c>
      <c r="G822" t="n">
        <v>14500</v>
      </c>
      <c r="H822" t="inlineStr">
        <is>
          <t>51 000 000</t>
        </is>
      </c>
      <c r="I822" t="inlineStr"/>
      <c r="J822" t="inlineStr"/>
      <c r="K822" t="inlineStr"/>
      <c r="L822" t="inlineStr"/>
      <c r="M822" t="inlineStr"/>
      <c r="N822" t="inlineStr">
        <is>
          <t>no</t>
        </is>
      </c>
      <c r="O822" t="inlineStr">
        <is>
          <t>none</t>
        </is>
      </c>
      <c r="P822">
        <f>HYPERLINK("https://knru.ru/catalog/pokrovskaya-doroga-ul-9-553018/","ссылка")</f>
        <v/>
      </c>
      <c r="Q822" t="inlineStr"/>
      <c r="R822" t="inlineStr">
        <is>
          <t>Нет у нас</t>
        </is>
      </c>
      <c r="S822" t="n">
        <v>0</v>
      </c>
      <c r="T822" t="inlineStr">
        <is>
          <t>Совпадений по улице+дому не найдено</t>
        </is>
      </c>
      <c r="U822" t="n">
        <v>1093</v>
      </c>
      <c r="V822" t="n">
        <v>46</v>
      </c>
      <c r="W822" t="n">
        <v>13</v>
      </c>
      <c r="X822" t="n">
        <v>51000000</v>
      </c>
      <c r="Y822" t="inlineStr"/>
      <c r="Z822" t="inlineStr"/>
      <c r="AA822" t="inlineStr">
        <is>
          <t>https://knru.ru/catalog/pokrovskaya-doroga-ul-9-553018/</t>
        </is>
      </c>
      <c r="AB822" t="inlineStr">
        <is>
          <t>C</t>
        </is>
      </c>
    </row>
    <row r="823">
      <c r="A823" t="n">
        <v>1094</v>
      </c>
      <c r="B823" t="n">
        <v>46</v>
      </c>
      <c r="C823" t="n">
        <v>14</v>
      </c>
      <c r="D823" t="n">
        <v>9</v>
      </c>
      <c r="E823" t="inlineStr"/>
      <c r="F823" t="inlineStr">
        <is>
          <t>Покровская дорога ул, 9</t>
        </is>
      </c>
      <c r="G823" t="n">
        <v>14500</v>
      </c>
      <c r="H823" t="inlineStr">
        <is>
          <t>58 000 000</t>
        </is>
      </c>
      <c r="I823" t="inlineStr"/>
      <c r="J823" t="inlineStr"/>
      <c r="K823" t="inlineStr"/>
      <c r="L823" t="inlineStr"/>
      <c r="M823" t="inlineStr"/>
      <c r="N823" t="inlineStr">
        <is>
          <t>no</t>
        </is>
      </c>
      <c r="O823" t="inlineStr">
        <is>
          <t>none</t>
        </is>
      </c>
      <c r="P823">
        <f>HYPERLINK("https://knru.ru/catalog/pokrovskaya-doroga-ul-9/","ссылка")</f>
        <v/>
      </c>
      <c r="Q823" t="inlineStr"/>
      <c r="R823" t="inlineStr">
        <is>
          <t>Нет у нас</t>
        </is>
      </c>
      <c r="S823" t="n">
        <v>0</v>
      </c>
      <c r="T823" t="inlineStr">
        <is>
          <t>Совпадений по улице+дому не найдено</t>
        </is>
      </c>
      <c r="U823" t="n">
        <v>1094</v>
      </c>
      <c r="V823" t="n">
        <v>46</v>
      </c>
      <c r="W823" t="n">
        <v>14</v>
      </c>
      <c r="X823" t="n">
        <v>58000000</v>
      </c>
      <c r="Y823" t="inlineStr"/>
      <c r="Z823" t="inlineStr"/>
      <c r="AA823" t="inlineStr">
        <is>
          <t>https://knru.ru/catalog/pokrovskaya-doroga-ul-9/</t>
        </is>
      </c>
      <c r="AB823" t="inlineStr">
        <is>
          <t>C</t>
        </is>
      </c>
    </row>
    <row r="824">
      <c r="A824" t="n">
        <v>1096</v>
      </c>
      <c r="B824" t="n">
        <v>46</v>
      </c>
      <c r="C824" t="n">
        <v>16</v>
      </c>
      <c r="D824" t="inlineStr"/>
      <c r="E824" t="inlineStr">
        <is>
          <t>Пушкинский</t>
        </is>
      </c>
      <c r="F824" t="inlineStr">
        <is>
          <t>Санкт-Петербургское ш</t>
        </is>
      </c>
      <c r="G824" t="n">
        <v>30537</v>
      </c>
      <c r="H824" t="inlineStr">
        <is>
          <t>160 000 000</t>
        </is>
      </c>
      <c r="I824" t="inlineStr"/>
      <c r="J824" t="inlineStr"/>
      <c r="K824" t="inlineStr"/>
      <c r="L824" t="inlineStr"/>
      <c r="M824" t="inlineStr"/>
      <c r="N824" t="inlineStr">
        <is>
          <t>no</t>
        </is>
      </c>
      <c r="O824" t="inlineStr">
        <is>
          <t>none</t>
        </is>
      </c>
      <c r="P824">
        <f>HYPERLINK("https://knru.ru/catalog/sankt-peterburgskoe-sh/","ссылка")</f>
        <v/>
      </c>
      <c r="Q824" t="inlineStr"/>
      <c r="R824" t="inlineStr">
        <is>
          <t>Нет у нас</t>
        </is>
      </c>
      <c r="S824" t="n">
        <v>0</v>
      </c>
      <c r="T824" t="inlineStr">
        <is>
          <t>Совпадений по улице+дому не найдено</t>
        </is>
      </c>
      <c r="U824" t="n">
        <v>1096</v>
      </c>
      <c r="V824" t="n">
        <v>46</v>
      </c>
      <c r="W824" t="n">
        <v>16</v>
      </c>
      <c r="X824" t="n">
        <v>160000000</v>
      </c>
      <c r="Y824" t="inlineStr"/>
      <c r="Z824" t="inlineStr"/>
      <c r="AA824" t="inlineStr">
        <is>
          <t>https://knru.ru/catalog/sankt-peterburgskoe-sh/</t>
        </is>
      </c>
      <c r="AB824" t="inlineStr">
        <is>
          <t>C</t>
        </is>
      </c>
    </row>
    <row r="825">
      <c r="A825" t="n">
        <v>1097</v>
      </c>
      <c r="B825" t="n">
        <v>46</v>
      </c>
      <c r="C825" t="n">
        <v>17</v>
      </c>
      <c r="D825" t="inlineStr"/>
      <c r="E825" t="inlineStr"/>
      <c r="F825" t="inlineStr">
        <is>
          <t>Дунайский пр-кт</t>
        </is>
      </c>
      <c r="G825" t="n">
        <v>2105</v>
      </c>
      <c r="H825" t="inlineStr">
        <is>
          <t>124 000 000</t>
        </is>
      </c>
      <c r="I825" t="inlineStr"/>
      <c r="J825" t="inlineStr"/>
      <c r="K825" t="inlineStr"/>
      <c r="L825" t="inlineStr"/>
      <c r="M825" t="inlineStr"/>
      <c r="N825" t="inlineStr">
        <is>
          <t>no</t>
        </is>
      </c>
      <c r="O825" t="inlineStr">
        <is>
          <t>none</t>
        </is>
      </c>
      <c r="P825">
        <f>HYPERLINK("https://knru.ru/catalog/dunajskij-pr-kt/","ссылка")</f>
        <v/>
      </c>
      <c r="Q825" t="inlineStr"/>
      <c r="R825" t="inlineStr">
        <is>
          <t>Нет у нас</t>
        </is>
      </c>
      <c r="S825" t="n">
        <v>0</v>
      </c>
      <c r="T825" t="inlineStr">
        <is>
          <t>Совпадений по улице+дому не найдено</t>
        </is>
      </c>
      <c r="U825" t="n">
        <v>1097</v>
      </c>
      <c r="V825" t="n">
        <v>46</v>
      </c>
      <c r="W825" t="n">
        <v>17</v>
      </c>
      <c r="X825" t="n">
        <v>124000000</v>
      </c>
      <c r="Y825" t="inlineStr"/>
      <c r="Z825" t="inlineStr"/>
      <c r="AA825" t="inlineStr">
        <is>
          <t>https://knru.ru/catalog/dunajskij-pr-kt/</t>
        </is>
      </c>
      <c r="AB825" t="inlineStr">
        <is>
          <t>C</t>
        </is>
      </c>
    </row>
    <row r="826">
      <c r="A826" t="n">
        <v>1098</v>
      </c>
      <c r="B826" t="n">
        <v>46</v>
      </c>
      <c r="C826" t="n">
        <v>18</v>
      </c>
      <c r="D826" t="inlineStr"/>
      <c r="E826" t="inlineStr"/>
      <c r="F826" t="inlineStr">
        <is>
          <t>Почтовая ул</t>
        </is>
      </c>
      <c r="G826" t="n">
        <v>1500</v>
      </c>
      <c r="H826" t="inlineStr">
        <is>
          <t>72 000 000</t>
        </is>
      </c>
      <c r="I826" t="inlineStr"/>
      <c r="J826" t="inlineStr"/>
      <c r="K826" t="inlineStr"/>
      <c r="L826" t="inlineStr"/>
      <c r="M826" t="inlineStr"/>
      <c r="N826" t="inlineStr">
        <is>
          <t>no</t>
        </is>
      </c>
      <c r="O826" t="inlineStr">
        <is>
          <t>none</t>
        </is>
      </c>
      <c r="P826">
        <f>HYPERLINK("https://knru.ru/catalog/pochtovaya-ul/","ссылка")</f>
        <v/>
      </c>
      <c r="Q826" t="inlineStr"/>
      <c r="R826" t="inlineStr">
        <is>
          <t>Нет у нас</t>
        </is>
      </c>
      <c r="S826" t="n">
        <v>0</v>
      </c>
      <c r="T826" t="inlineStr">
        <is>
          <t>Совпадений по улице+дому не найдено</t>
        </is>
      </c>
      <c r="U826" t="n">
        <v>1098</v>
      </c>
      <c r="V826" t="n">
        <v>46</v>
      </c>
      <c r="W826" t="n">
        <v>18</v>
      </c>
      <c r="X826" t="n">
        <v>72000000</v>
      </c>
      <c r="Y826" t="inlineStr"/>
      <c r="Z826" t="inlineStr"/>
      <c r="AA826" t="inlineStr">
        <is>
          <t>https://knru.ru/catalog/pochtovaya-ul/</t>
        </is>
      </c>
      <c r="AB826" t="inlineStr">
        <is>
          <t>C</t>
        </is>
      </c>
    </row>
    <row r="827">
      <c r="A827" t="n">
        <v>1099</v>
      </c>
      <c r="B827" t="n">
        <v>46</v>
      </c>
      <c r="C827" t="n">
        <v>19</v>
      </c>
      <c r="D827" t="inlineStr"/>
      <c r="E827" t="inlineStr"/>
      <c r="F827" t="inlineStr">
        <is>
          <t>Индустриальная ул</t>
        </is>
      </c>
      <c r="G827" t="n">
        <v>1884</v>
      </c>
      <c r="H827" t="inlineStr">
        <is>
          <t>65 000 000</t>
        </is>
      </c>
      <c r="I827" t="inlineStr"/>
      <c r="J827" t="inlineStr"/>
      <c r="K827" t="inlineStr"/>
      <c r="L827" t="inlineStr"/>
      <c r="M827" t="inlineStr"/>
      <c r="N827" t="inlineStr">
        <is>
          <t>no</t>
        </is>
      </c>
      <c r="O827" t="inlineStr">
        <is>
          <t>none</t>
        </is>
      </c>
      <c r="P827">
        <f>HYPERLINK("https://knru.ru/catalog/industrialnaya-ul/","ссылка")</f>
        <v/>
      </c>
      <c r="Q827" t="inlineStr"/>
      <c r="R827" t="inlineStr">
        <is>
          <t>Нет у нас</t>
        </is>
      </c>
      <c r="S827" t="n">
        <v>0</v>
      </c>
      <c r="T827" t="inlineStr">
        <is>
          <t>Совпадений по улице+дому не найдено</t>
        </is>
      </c>
      <c r="U827" t="n">
        <v>1099</v>
      </c>
      <c r="V827" t="n">
        <v>46</v>
      </c>
      <c r="W827" t="n">
        <v>19</v>
      </c>
      <c r="X827" t="n">
        <v>65000000</v>
      </c>
      <c r="Y827" t="inlineStr"/>
      <c r="Z827" t="inlineStr"/>
      <c r="AA827" t="inlineStr">
        <is>
          <t>https://knru.ru/catalog/industrialnaya-ul/</t>
        </is>
      </c>
      <c r="AB827" t="inlineStr">
        <is>
          <t>C</t>
        </is>
      </c>
    </row>
    <row r="828">
      <c r="A828" t="n">
        <v>1100</v>
      </c>
      <c r="B828" t="n">
        <v>46</v>
      </c>
      <c r="C828" t="n">
        <v>20</v>
      </c>
      <c r="D828" t="n">
        <v>552742</v>
      </c>
      <c r="E828" t="inlineStr">
        <is>
          <t>Невский</t>
        </is>
      </c>
      <c r="F828" t="inlineStr">
        <is>
          <t>Приневская ул</t>
        </is>
      </c>
      <c r="G828" t="n">
        <v>7000</v>
      </c>
      <c r="H828" t="inlineStr">
        <is>
          <t>26 000 000</t>
        </is>
      </c>
      <c r="I828" t="inlineStr"/>
      <c r="J828" t="inlineStr"/>
      <c r="K828" t="inlineStr"/>
      <c r="L828" t="inlineStr"/>
      <c r="M828" t="inlineStr"/>
      <c r="N828" t="inlineStr">
        <is>
          <t>no</t>
        </is>
      </c>
      <c r="O828" t="inlineStr">
        <is>
          <t>none</t>
        </is>
      </c>
      <c r="P828">
        <f>HYPERLINK("https://knru.ru/catalog/prinevskaya-ul-552742/","ссылка")</f>
        <v/>
      </c>
      <c r="Q828" t="inlineStr"/>
      <c r="R828" t="inlineStr">
        <is>
          <t>Нет у нас</t>
        </is>
      </c>
      <c r="S828" t="n">
        <v>0</v>
      </c>
      <c r="T828" t="inlineStr">
        <is>
          <t>Совпадений по улице+дому не найдено</t>
        </is>
      </c>
      <c r="U828" t="n">
        <v>1100</v>
      </c>
      <c r="V828" t="n">
        <v>46</v>
      </c>
      <c r="W828" t="n">
        <v>20</v>
      </c>
      <c r="X828" t="n">
        <v>26000000</v>
      </c>
      <c r="Y828" t="inlineStr"/>
      <c r="Z828" t="inlineStr"/>
      <c r="AA828" t="inlineStr">
        <is>
          <t>https://knru.ru/catalog/prinevskaya-ul-552742/</t>
        </is>
      </c>
      <c r="AB828" t="inlineStr">
        <is>
          <t>C</t>
        </is>
      </c>
    </row>
    <row r="829">
      <c r="A829" t="n">
        <v>1101</v>
      </c>
      <c r="B829" t="n">
        <v>46</v>
      </c>
      <c r="C829" t="n">
        <v>21</v>
      </c>
      <c r="D829" t="n">
        <v>552630</v>
      </c>
      <c r="E829" t="inlineStr"/>
      <c r="F829" t="inlineStr">
        <is>
          <t>Салова ул, 44</t>
        </is>
      </c>
      <c r="G829" t="n">
        <v>9734</v>
      </c>
      <c r="H829" t="inlineStr">
        <is>
          <t>300 000 000</t>
        </is>
      </c>
      <c r="I829" t="inlineStr"/>
      <c r="J829" t="inlineStr"/>
      <c r="K829" t="inlineStr"/>
      <c r="L829" t="inlineStr"/>
      <c r="M829" t="inlineStr"/>
      <c r="N829" t="inlineStr">
        <is>
          <t>no</t>
        </is>
      </c>
      <c r="O829" t="inlineStr">
        <is>
          <t>none</t>
        </is>
      </c>
      <c r="P829">
        <f>HYPERLINK("https://knru.ru/catalog/salova-ul-44-552630/","ссылка")</f>
        <v/>
      </c>
      <c r="Q829" t="inlineStr"/>
      <c r="R829" t="inlineStr">
        <is>
          <t>Нет у нас</t>
        </is>
      </c>
      <c r="S829" t="n">
        <v>0</v>
      </c>
      <c r="T829" t="inlineStr">
        <is>
          <t>Совпадений по улице+дому не найдено</t>
        </is>
      </c>
      <c r="U829" t="n">
        <v>1101</v>
      </c>
      <c r="V829" t="n">
        <v>46</v>
      </c>
      <c r="W829" t="n">
        <v>21</v>
      </c>
      <c r="X829" t="n">
        <v>300000000</v>
      </c>
      <c r="Y829" t="inlineStr"/>
      <c r="Z829" t="inlineStr"/>
      <c r="AA829" t="inlineStr">
        <is>
          <t>https://knru.ru/catalog/salova-ul-44-552630/</t>
        </is>
      </c>
      <c r="AB829" t="inlineStr">
        <is>
          <t>C</t>
        </is>
      </c>
    </row>
    <row r="830">
      <c r="A830" t="n">
        <v>1102</v>
      </c>
      <c r="B830" t="n">
        <v>46</v>
      </c>
      <c r="C830" t="n">
        <v>22</v>
      </c>
      <c r="D830" t="n">
        <v>558696</v>
      </c>
      <c r="E830" t="inlineStr"/>
      <c r="F830" t="inlineStr">
        <is>
          <t>Электросила N1 тер. СНТ, Лиговская ул</t>
        </is>
      </c>
      <c r="G830" t="n">
        <v>1543</v>
      </c>
      <c r="H830" t="inlineStr">
        <is>
          <t>1 500 000</t>
        </is>
      </c>
      <c r="I830" t="inlineStr"/>
      <c r="J830" t="inlineStr"/>
      <c r="K830" t="inlineStr"/>
      <c r="L830" t="inlineStr"/>
      <c r="M830" t="inlineStr"/>
      <c r="N830" t="inlineStr">
        <is>
          <t>no</t>
        </is>
      </c>
      <c r="O830" t="inlineStr">
        <is>
          <t>none</t>
        </is>
      </c>
      <c r="P830">
        <f>HYPERLINK("https://knru.ru/catalog/elektrosila-n1-ter-snt-ligovskaya-ul-558696/","ссылка")</f>
        <v/>
      </c>
      <c r="Q830" t="inlineStr"/>
      <c r="R830" t="inlineStr">
        <is>
          <t>Нет у нас</t>
        </is>
      </c>
      <c r="S830" t="n">
        <v>0</v>
      </c>
      <c r="T830" t="inlineStr">
        <is>
          <t>Совпадений по улице+дому не найдено</t>
        </is>
      </c>
      <c r="U830" t="n">
        <v>1102</v>
      </c>
      <c r="V830" t="n">
        <v>46</v>
      </c>
      <c r="W830" t="n">
        <v>22</v>
      </c>
      <c r="X830" t="n">
        <v>1500000</v>
      </c>
      <c r="Y830" t="inlineStr"/>
      <c r="Z830" t="inlineStr"/>
      <c r="AA830" t="inlineStr">
        <is>
          <t>https://knru.ru/catalog/elektrosila-n1-ter-snt-ligovskaya-ul-558696/</t>
        </is>
      </c>
      <c r="AB830" t="inlineStr">
        <is>
          <t>C</t>
        </is>
      </c>
    </row>
    <row r="831">
      <c r="A831" t="n">
        <v>1103</v>
      </c>
      <c r="B831" t="n">
        <v>46</v>
      </c>
      <c r="C831" t="n">
        <v>23</v>
      </c>
      <c r="D831" t="inlineStr"/>
      <c r="E831" t="inlineStr"/>
      <c r="F831" t="inlineStr">
        <is>
          <t>Энгельса пр-кт</t>
        </is>
      </c>
      <c r="G831" t="n">
        <v>15652</v>
      </c>
      <c r="H831" t="inlineStr">
        <is>
          <t>140 000 000</t>
        </is>
      </c>
      <c r="I831" t="inlineStr"/>
      <c r="J831" t="inlineStr"/>
      <c r="K831" t="inlineStr"/>
      <c r="L831" t="inlineStr"/>
      <c r="M831" t="inlineStr"/>
      <c r="N831" t="inlineStr">
        <is>
          <t>no</t>
        </is>
      </c>
      <c r="O831" t="inlineStr">
        <is>
          <t>none</t>
        </is>
      </c>
      <c r="P831">
        <f>HYPERLINK("https://knru.ru/catalog/engelsa-pr-kt/","ссылка")</f>
        <v/>
      </c>
      <c r="Q831" t="inlineStr"/>
      <c r="R831" t="inlineStr">
        <is>
          <t>Нет у нас</t>
        </is>
      </c>
      <c r="S831" t="n">
        <v>0</v>
      </c>
      <c r="T831" t="inlineStr">
        <is>
          <t>Совпадений по улице+дому не найдено</t>
        </is>
      </c>
      <c r="U831" t="n">
        <v>1103</v>
      </c>
      <c r="V831" t="n">
        <v>46</v>
      </c>
      <c r="W831" t="n">
        <v>23</v>
      </c>
      <c r="X831" t="n">
        <v>140000000</v>
      </c>
      <c r="Y831" t="inlineStr"/>
      <c r="Z831" t="inlineStr"/>
      <c r="AA831" t="inlineStr">
        <is>
          <t>https://knru.ru/catalog/engelsa-pr-kt/</t>
        </is>
      </c>
      <c r="AB831" t="inlineStr">
        <is>
          <t>C</t>
        </is>
      </c>
    </row>
    <row r="832">
      <c r="A832" t="n">
        <v>1104</v>
      </c>
      <c r="B832" t="n">
        <v>46</v>
      </c>
      <c r="C832" t="n">
        <v>24</v>
      </c>
      <c r="D832" t="inlineStr"/>
      <c r="E832" t="inlineStr"/>
      <c r="F832" t="inlineStr">
        <is>
          <t>Обручевых ул</t>
        </is>
      </c>
      <c r="G832" t="n">
        <v>3326</v>
      </c>
      <c r="H832" t="inlineStr">
        <is>
          <t>42 000 000</t>
        </is>
      </c>
      <c r="I832" t="inlineStr"/>
      <c r="J832" t="inlineStr"/>
      <c r="K832" t="inlineStr"/>
      <c r="L832" t="inlineStr"/>
      <c r="M832" t="inlineStr"/>
      <c r="N832" t="inlineStr">
        <is>
          <t>no</t>
        </is>
      </c>
      <c r="O832" t="inlineStr">
        <is>
          <t>none</t>
        </is>
      </c>
      <c r="P832">
        <f>HYPERLINK("https://knru.ru/catalog/obruchevyx-ul/","ссылка")</f>
        <v/>
      </c>
      <c r="Q832" t="inlineStr"/>
      <c r="R832" t="inlineStr">
        <is>
          <t>Нет у нас</t>
        </is>
      </c>
      <c r="S832" t="n">
        <v>0</v>
      </c>
      <c r="T832" t="inlineStr">
        <is>
          <t>Совпадений по улице+дому не найдено</t>
        </is>
      </c>
      <c r="U832" t="n">
        <v>1104</v>
      </c>
      <c r="V832" t="n">
        <v>46</v>
      </c>
      <c r="W832" t="n">
        <v>24</v>
      </c>
      <c r="X832" t="n">
        <v>42000000</v>
      </c>
      <c r="Y832" t="inlineStr"/>
      <c r="Z832" t="inlineStr"/>
      <c r="AA832" t="inlineStr">
        <is>
          <t>https://knru.ru/catalog/obruchevyx-ul/</t>
        </is>
      </c>
      <c r="AB832" t="inlineStr">
        <is>
          <t>C</t>
        </is>
      </c>
    </row>
    <row r="833">
      <c r="A833" t="n">
        <v>1105</v>
      </c>
      <c r="B833" t="n">
        <v>47</v>
      </c>
      <c r="C833" t="n">
        <v>1</v>
      </c>
      <c r="D833" t="inlineStr"/>
      <c r="E833" t="inlineStr"/>
      <c r="F833" t="inlineStr">
        <is>
          <t>Малая ул</t>
        </is>
      </c>
      <c r="G833" t="n">
        <v>1450</v>
      </c>
      <c r="H833" t="inlineStr">
        <is>
          <t>50 000 000</t>
        </is>
      </c>
      <c r="I833" t="inlineStr"/>
      <c r="J833" t="inlineStr"/>
      <c r="K833" t="inlineStr"/>
      <c r="L833" t="inlineStr"/>
      <c r="M833" t="inlineStr"/>
      <c r="N833" t="inlineStr">
        <is>
          <t>no</t>
        </is>
      </c>
      <c r="O833" t="inlineStr">
        <is>
          <t>none</t>
        </is>
      </c>
      <c r="P833">
        <f>HYPERLINK("https://knru.ru/catalog/malaya-ul/","ссылка")</f>
        <v/>
      </c>
      <c r="Q833" t="inlineStr"/>
      <c r="R833" t="inlineStr">
        <is>
          <t>Нет у нас</t>
        </is>
      </c>
      <c r="S833" t="n">
        <v>0</v>
      </c>
      <c r="T833" t="inlineStr">
        <is>
          <t>Совпадений по улице+дому не найдено</t>
        </is>
      </c>
      <c r="U833" t="n">
        <v>1105</v>
      </c>
      <c r="V833" t="n">
        <v>47</v>
      </c>
      <c r="W833" t="n">
        <v>1</v>
      </c>
      <c r="X833" t="n">
        <v>50000000</v>
      </c>
      <c r="Y833" t="inlineStr"/>
      <c r="Z833" t="inlineStr"/>
      <c r="AA833" t="inlineStr">
        <is>
          <t>https://knru.ru/catalog/malaya-ul/</t>
        </is>
      </c>
      <c r="AB833" t="inlineStr">
        <is>
          <t>C</t>
        </is>
      </c>
    </row>
    <row r="834">
      <c r="A834" t="n">
        <v>1107</v>
      </c>
      <c r="B834" t="n">
        <v>47</v>
      </c>
      <c r="C834" t="n">
        <v>3</v>
      </c>
      <c r="D834" t="inlineStr"/>
      <c r="E834" t="inlineStr"/>
      <c r="F834" t="inlineStr">
        <is>
          <t>Электросила N1 тер. СНТ, Лиговская ул</t>
        </is>
      </c>
      <c r="G834" t="n">
        <v>6411</v>
      </c>
      <c r="H834" t="inlineStr">
        <is>
          <t>1 000 000 000</t>
        </is>
      </c>
      <c r="I834" t="inlineStr"/>
      <c r="J834" t="inlineStr"/>
      <c r="K834" t="inlineStr"/>
      <c r="L834" t="inlineStr"/>
      <c r="M834" t="inlineStr"/>
      <c r="N834" t="inlineStr">
        <is>
          <t>no</t>
        </is>
      </c>
      <c r="O834" t="inlineStr">
        <is>
          <t>none</t>
        </is>
      </c>
      <c r="P834">
        <f>HYPERLINK("https://knru.ru/catalog/elektrosila-n1-ter-snt-ligovskaya-ul/","ссылка")</f>
        <v/>
      </c>
      <c r="Q834" t="inlineStr"/>
      <c r="R834" t="inlineStr">
        <is>
          <t>Нет у нас</t>
        </is>
      </c>
      <c r="S834" t="n">
        <v>0</v>
      </c>
      <c r="T834" t="inlineStr">
        <is>
          <t>Совпадений по улице+дому не найдено</t>
        </is>
      </c>
      <c r="U834" t="n">
        <v>1107</v>
      </c>
      <c r="V834" t="n">
        <v>47</v>
      </c>
      <c r="W834" t="n">
        <v>3</v>
      </c>
      <c r="X834" t="n">
        <v>1000000000</v>
      </c>
      <c r="Y834" t="inlineStr"/>
      <c r="Z834" t="inlineStr"/>
      <c r="AA834" t="inlineStr">
        <is>
          <t>https://knru.ru/catalog/elektrosila-n1-ter-snt-ligovskaya-ul/</t>
        </is>
      </c>
      <c r="AB834" t="inlineStr">
        <is>
          <t>C</t>
        </is>
      </c>
    </row>
    <row r="835">
      <c r="A835" t="n">
        <v>1108</v>
      </c>
      <c r="B835" t="n">
        <v>47</v>
      </c>
      <c r="C835" t="n">
        <v>4</v>
      </c>
      <c r="D835" t="inlineStr"/>
      <c r="E835" t="inlineStr"/>
      <c r="F835" t="inlineStr">
        <is>
          <t>Металлистов пр-кт</t>
        </is>
      </c>
      <c r="G835" t="n">
        <v>6000</v>
      </c>
      <c r="H835" t="inlineStr">
        <is>
          <t>230 000 000</t>
        </is>
      </c>
      <c r="I835" t="inlineStr"/>
      <c r="J835" t="inlineStr"/>
      <c r="K835" t="inlineStr"/>
      <c r="L835" t="inlineStr"/>
      <c r="M835" t="inlineStr"/>
      <c r="N835" t="inlineStr">
        <is>
          <t>no</t>
        </is>
      </c>
      <c r="O835" t="inlineStr">
        <is>
          <t>none</t>
        </is>
      </c>
      <c r="P835">
        <f>HYPERLINK("https://knru.ru/catalog/metallistov-pr-kt/","ссылка")</f>
        <v/>
      </c>
      <c r="Q835" t="inlineStr"/>
      <c r="R835" t="inlineStr">
        <is>
          <t>Нет у нас</t>
        </is>
      </c>
      <c r="S835" t="n">
        <v>0</v>
      </c>
      <c r="T835" t="inlineStr">
        <is>
          <t>Совпадений по улице+дому не найдено</t>
        </is>
      </c>
      <c r="U835" t="n">
        <v>1108</v>
      </c>
      <c r="V835" t="n">
        <v>47</v>
      </c>
      <c r="W835" t="n">
        <v>4</v>
      </c>
      <c r="X835" t="n">
        <v>230000000</v>
      </c>
      <c r="Y835" t="inlineStr"/>
      <c r="Z835" t="inlineStr"/>
      <c r="AA835" t="inlineStr">
        <is>
          <t>https://knru.ru/catalog/metallistov-pr-kt/</t>
        </is>
      </c>
      <c r="AB835" t="inlineStr">
        <is>
          <t>C</t>
        </is>
      </c>
    </row>
    <row r="836">
      <c r="A836" t="n">
        <v>1109</v>
      </c>
      <c r="B836" t="n">
        <v>47</v>
      </c>
      <c r="C836" t="n">
        <v>5</v>
      </c>
      <c r="D836" t="inlineStr"/>
      <c r="E836" t="inlineStr"/>
      <c r="F836" t="inlineStr">
        <is>
          <t>Восточный пер</t>
        </is>
      </c>
      <c r="G836" t="n">
        <v>106000</v>
      </c>
      <c r="H836" t="inlineStr">
        <is>
          <t>450 000 000</t>
        </is>
      </c>
      <c r="I836" t="inlineStr"/>
      <c r="J836" t="inlineStr"/>
      <c r="K836" t="inlineStr"/>
      <c r="L836" t="inlineStr"/>
      <c r="M836" t="inlineStr"/>
      <c r="N836" t="inlineStr">
        <is>
          <t>no</t>
        </is>
      </c>
      <c r="O836" t="inlineStr">
        <is>
          <t>none</t>
        </is>
      </c>
      <c r="P836">
        <f>HYPERLINK("https://knru.ru/catalog/vostochnyj-per/","ссылка")</f>
        <v/>
      </c>
      <c r="Q836" t="inlineStr"/>
      <c r="R836" t="inlineStr">
        <is>
          <t>Нет у нас</t>
        </is>
      </c>
      <c r="S836" t="n">
        <v>0</v>
      </c>
      <c r="T836" t="inlineStr">
        <is>
          <t>Совпадений по улице+дому не найдено</t>
        </is>
      </c>
      <c r="U836" t="n">
        <v>1109</v>
      </c>
      <c r="V836" t="n">
        <v>47</v>
      </c>
      <c r="W836" t="n">
        <v>5</v>
      </c>
      <c r="X836" t="n">
        <v>450000000</v>
      </c>
      <c r="Y836" t="inlineStr"/>
      <c r="Z836" t="inlineStr"/>
      <c r="AA836" t="inlineStr">
        <is>
          <t>https://knru.ru/catalog/vostochnyj-per/</t>
        </is>
      </c>
      <c r="AB836" t="inlineStr">
        <is>
          <t>C</t>
        </is>
      </c>
    </row>
    <row r="837">
      <c r="A837" t="n">
        <v>1110</v>
      </c>
      <c r="B837" t="n">
        <v>47</v>
      </c>
      <c r="C837" t="n">
        <v>6</v>
      </c>
      <c r="D837" t="inlineStr"/>
      <c r="E837" t="inlineStr"/>
      <c r="F837" t="inlineStr">
        <is>
          <t>Новая ул</t>
        </is>
      </c>
      <c r="G837" t="n">
        <v>1200</v>
      </c>
      <c r="H837" t="inlineStr">
        <is>
          <t>120 000 000</t>
        </is>
      </c>
      <c r="I837" t="inlineStr"/>
      <c r="J837" t="inlineStr"/>
      <c r="K837" t="inlineStr"/>
      <c r="L837" t="inlineStr"/>
      <c r="M837" t="inlineStr"/>
      <c r="N837" t="inlineStr">
        <is>
          <t>no</t>
        </is>
      </c>
      <c r="O837" t="inlineStr">
        <is>
          <t>none</t>
        </is>
      </c>
      <c r="P837">
        <f>HYPERLINK("https://knru.ru/catalog/novaya-ul/","ссылка")</f>
        <v/>
      </c>
      <c r="Q837" t="inlineStr"/>
      <c r="R837" t="inlineStr">
        <is>
          <t>Нет у нас</t>
        </is>
      </c>
      <c r="S837" t="n">
        <v>0</v>
      </c>
      <c r="T837" t="inlineStr">
        <is>
          <t>Совпадений по улице+дому не найдено</t>
        </is>
      </c>
      <c r="U837" t="n">
        <v>1110</v>
      </c>
      <c r="V837" t="n">
        <v>47</v>
      </c>
      <c r="W837" t="n">
        <v>6</v>
      </c>
      <c r="X837" t="n">
        <v>120000000</v>
      </c>
      <c r="Y837" t="inlineStr"/>
      <c r="Z837" t="inlineStr"/>
      <c r="AA837" t="inlineStr">
        <is>
          <t>https://knru.ru/catalog/novaya-ul/</t>
        </is>
      </c>
      <c r="AB837" t="inlineStr">
        <is>
          <t>C</t>
        </is>
      </c>
    </row>
    <row r="838">
      <c r="A838" t="n">
        <v>1111</v>
      </c>
      <c r="B838" t="n">
        <v>47</v>
      </c>
      <c r="C838" t="n">
        <v>7</v>
      </c>
      <c r="D838" t="n">
        <v>552207</v>
      </c>
      <c r="E838" t="inlineStr"/>
      <c r="F838" t="inlineStr">
        <is>
          <t>Промзона Мягловская тер., Круговая ул, 16</t>
        </is>
      </c>
      <c r="G838" t="n">
        <v>1416</v>
      </c>
      <c r="H838" t="inlineStr">
        <is>
          <t>113 280 000</t>
        </is>
      </c>
      <c r="I838" t="inlineStr"/>
      <c r="J838" t="inlineStr"/>
      <c r="K838" t="inlineStr"/>
      <c r="L838" t="inlineStr"/>
      <c r="M838" t="inlineStr"/>
      <c r="N838" t="inlineStr">
        <is>
          <t>yes</t>
        </is>
      </c>
      <c r="O838" t="inlineStr">
        <is>
          <t>pixel_heuristic</t>
        </is>
      </c>
      <c r="P838">
        <f>HYPERLINK("https://knru.ru/catalog/promzona-myaglovskaya-ter-krugovaya-ul-16-552207/","ссылка")</f>
        <v/>
      </c>
      <c r="Q838" t="inlineStr"/>
      <c r="R838" t="inlineStr">
        <is>
          <t>Нет у нас</t>
        </is>
      </c>
      <c r="S838" t="n">
        <v>0</v>
      </c>
      <c r="T838" t="inlineStr">
        <is>
          <t>Совпадений по улице+дому не найдено</t>
        </is>
      </c>
      <c r="U838" t="n">
        <v>1111</v>
      </c>
      <c r="V838" t="n">
        <v>47</v>
      </c>
      <c r="W838" t="n">
        <v>7</v>
      </c>
      <c r="X838" t="n">
        <v>113280000</v>
      </c>
      <c r="Y838" t="inlineStr"/>
      <c r="Z838" t="inlineStr"/>
      <c r="AA838" t="inlineStr">
        <is>
          <t>https://knru.ru/catalog/promzona-myaglovskaya-ter-krugovaya-ul-16-552207/</t>
        </is>
      </c>
      <c r="AB838" t="inlineStr">
        <is>
          <t>C</t>
        </is>
      </c>
    </row>
    <row r="839">
      <c r="A839" t="n">
        <v>1112</v>
      </c>
      <c r="B839" t="n">
        <v>47</v>
      </c>
      <c r="C839" t="n">
        <v>8</v>
      </c>
      <c r="D839" t="inlineStr"/>
      <c r="E839" t="inlineStr"/>
      <c r="F839" t="inlineStr">
        <is>
          <t>Воронежская ул, 108 А</t>
        </is>
      </c>
      <c r="G839" t="n">
        <v>1200</v>
      </c>
      <c r="H839" t="inlineStr">
        <is>
          <t>69 000 000</t>
        </is>
      </c>
      <c r="I839" t="inlineStr"/>
      <c r="J839" t="inlineStr"/>
      <c r="K839" t="inlineStr"/>
      <c r="L839" t="inlineStr"/>
      <c r="M839" t="inlineStr"/>
      <c r="N839" t="inlineStr">
        <is>
          <t>no</t>
        </is>
      </c>
      <c r="O839" t="inlineStr">
        <is>
          <t>none</t>
        </is>
      </c>
      <c r="P839">
        <f>HYPERLINK("https://knru.ru/catalog/voronezhskaya-ul-108-a/","ссылка")</f>
        <v/>
      </c>
      <c r="Q839" t="inlineStr"/>
      <c r="R839" t="inlineStr">
        <is>
          <t>Нет у нас</t>
        </is>
      </c>
      <c r="S839" t="n">
        <v>0</v>
      </c>
      <c r="T839" t="inlineStr">
        <is>
          <t>Совпадений по улице+дому не найдено</t>
        </is>
      </c>
      <c r="U839" t="n">
        <v>1112</v>
      </c>
      <c r="V839" t="n">
        <v>47</v>
      </c>
      <c r="W839" t="n">
        <v>8</v>
      </c>
      <c r="X839" t="n">
        <v>69000000</v>
      </c>
      <c r="Y839" t="inlineStr"/>
      <c r="Z839" t="inlineStr"/>
      <c r="AA839" t="inlineStr">
        <is>
          <t>https://knru.ru/catalog/voronezhskaya-ul-108-a/</t>
        </is>
      </c>
      <c r="AB839" t="inlineStr">
        <is>
          <t>C</t>
        </is>
      </c>
    </row>
    <row r="840">
      <c r="A840" t="n">
        <v>1113</v>
      </c>
      <c r="B840" t="n">
        <v>47</v>
      </c>
      <c r="C840" t="n">
        <v>9</v>
      </c>
      <c r="D840" t="n">
        <v>35</v>
      </c>
      <c r="E840" t="inlineStr"/>
      <c r="F840" t="inlineStr">
        <is>
          <t>Пригородный тер, 35</t>
        </is>
      </c>
      <c r="G840" t="n">
        <v>15000</v>
      </c>
      <c r="H840" t="inlineStr">
        <is>
          <t>250 000 000</t>
        </is>
      </c>
      <c r="I840" t="inlineStr"/>
      <c r="J840" t="inlineStr"/>
      <c r="K840" t="inlineStr"/>
      <c r="L840" t="inlineStr"/>
      <c r="M840" t="inlineStr"/>
      <c r="N840" t="inlineStr">
        <is>
          <t>no</t>
        </is>
      </c>
      <c r="O840" t="inlineStr">
        <is>
          <t>none</t>
        </is>
      </c>
      <c r="P840">
        <f>HYPERLINK("https://knru.ru/catalog/prigorodnyj-ter-35/","ссылка")</f>
        <v/>
      </c>
      <c r="Q840" t="inlineStr"/>
      <c r="R840" t="inlineStr">
        <is>
          <t>Нет у нас</t>
        </is>
      </c>
      <c r="S840" t="n">
        <v>0</v>
      </c>
      <c r="T840" t="inlineStr">
        <is>
          <t>Совпадений по улице+дому не найдено</t>
        </is>
      </c>
      <c r="U840" t="n">
        <v>1113</v>
      </c>
      <c r="V840" t="n">
        <v>47</v>
      </c>
      <c r="W840" t="n">
        <v>9</v>
      </c>
      <c r="X840" t="n">
        <v>250000000</v>
      </c>
      <c r="Y840" t="inlineStr"/>
      <c r="Z840" t="inlineStr"/>
      <c r="AA840" t="inlineStr">
        <is>
          <t>https://knru.ru/catalog/prigorodnyj-ter-35/</t>
        </is>
      </c>
      <c r="AB840" t="inlineStr">
        <is>
          <t>C</t>
        </is>
      </c>
    </row>
    <row r="841">
      <c r="A841" t="n">
        <v>1115</v>
      </c>
      <c r="B841" t="n">
        <v>47</v>
      </c>
      <c r="C841" t="n">
        <v>11</v>
      </c>
      <c r="D841" t="inlineStr"/>
      <c r="E841" t="inlineStr"/>
      <c r="F841" t="inlineStr">
        <is>
          <t>Школьная ул</t>
        </is>
      </c>
      <c r="G841" t="n">
        <v>10000</v>
      </c>
      <c r="H841" t="inlineStr">
        <is>
          <t>1 000 000</t>
        </is>
      </c>
      <c r="I841" t="inlineStr"/>
      <c r="J841" t="inlineStr"/>
      <c r="K841" t="inlineStr"/>
      <c r="L841" t="inlineStr"/>
      <c r="M841" t="inlineStr"/>
      <c r="N841" t="inlineStr">
        <is>
          <t>no</t>
        </is>
      </c>
      <c r="O841" t="inlineStr">
        <is>
          <t>none</t>
        </is>
      </c>
      <c r="P841">
        <f>HYPERLINK("https://knru.ru/catalog/shkolnaya-ul/","ссылка")</f>
        <v/>
      </c>
      <c r="Q841" t="inlineStr"/>
      <c r="R841" t="inlineStr">
        <is>
          <t>Нет у нас</t>
        </is>
      </c>
      <c r="S841" t="n">
        <v>0</v>
      </c>
      <c r="T841" t="inlineStr">
        <is>
          <t>Совпадений по улице+дому не найдено</t>
        </is>
      </c>
      <c r="U841" t="n">
        <v>1115</v>
      </c>
      <c r="V841" t="n">
        <v>47</v>
      </c>
      <c r="W841" t="n">
        <v>11</v>
      </c>
      <c r="X841" t="n">
        <v>1000000</v>
      </c>
      <c r="Y841" t="inlineStr"/>
      <c r="Z841" t="inlineStr"/>
      <c r="AA841" t="inlineStr">
        <is>
          <t>https://knru.ru/catalog/shkolnaya-ul/</t>
        </is>
      </c>
      <c r="AB841" t="inlineStr">
        <is>
          <t>C</t>
        </is>
      </c>
    </row>
    <row r="842">
      <c r="A842" t="n">
        <v>1116</v>
      </c>
      <c r="B842" t="n">
        <v>47</v>
      </c>
      <c r="C842" t="n">
        <v>12</v>
      </c>
      <c r="D842" t="n">
        <v>351</v>
      </c>
      <c r="E842" t="inlineStr"/>
      <c r="F842" t="inlineStr">
        <is>
          <t>Ермаковская ул, 351</t>
        </is>
      </c>
      <c r="G842" t="n">
        <v>1500</v>
      </c>
      <c r="H842" t="inlineStr">
        <is>
          <t>165 000 000</t>
        </is>
      </c>
      <c r="I842" t="inlineStr"/>
      <c r="J842" t="inlineStr"/>
      <c r="K842" t="inlineStr"/>
      <c r="L842" t="inlineStr"/>
      <c r="M842" t="inlineStr"/>
      <c r="N842" t="inlineStr">
        <is>
          <t>no</t>
        </is>
      </c>
      <c r="O842" t="inlineStr">
        <is>
          <t>none</t>
        </is>
      </c>
      <c r="P842">
        <f>HYPERLINK("https://knru.ru/catalog/ermakovskaya-ul-351/","ссылка")</f>
        <v/>
      </c>
      <c r="Q842" t="inlineStr"/>
      <c r="R842" t="inlineStr">
        <is>
          <t>Нет у нас</t>
        </is>
      </c>
      <c r="S842" t="n">
        <v>0</v>
      </c>
      <c r="T842" t="inlineStr">
        <is>
          <t>Совпадений по улице+дому не найдено</t>
        </is>
      </c>
      <c r="U842" t="n">
        <v>1116</v>
      </c>
      <c r="V842" t="n">
        <v>47</v>
      </c>
      <c r="W842" t="n">
        <v>12</v>
      </c>
      <c r="X842" t="n">
        <v>165000000</v>
      </c>
      <c r="Y842" t="inlineStr"/>
      <c r="Z842" t="inlineStr"/>
      <c r="AA842" t="inlineStr">
        <is>
          <t>https://knru.ru/catalog/ermakovskaya-ul-351/</t>
        </is>
      </c>
      <c r="AB842" t="inlineStr">
        <is>
          <t>C</t>
        </is>
      </c>
    </row>
    <row r="843">
      <c r="A843" t="n">
        <v>1117</v>
      </c>
      <c r="B843" t="n">
        <v>47</v>
      </c>
      <c r="C843" t="n">
        <v>13</v>
      </c>
      <c r="D843" t="inlineStr"/>
      <c r="E843" t="inlineStr"/>
      <c r="F843" t="inlineStr">
        <is>
          <t>Ленинградская ул, 15/20к1</t>
        </is>
      </c>
      <c r="G843" t="n">
        <v>1057</v>
      </c>
      <c r="H843" t="inlineStr">
        <is>
          <t>16 000 000</t>
        </is>
      </c>
      <c r="I843" t="inlineStr"/>
      <c r="J843" t="inlineStr"/>
      <c r="K843" t="inlineStr"/>
      <c r="L843" t="inlineStr"/>
      <c r="M843" t="inlineStr"/>
      <c r="N843" t="inlineStr">
        <is>
          <t>no</t>
        </is>
      </c>
      <c r="O843" t="inlineStr">
        <is>
          <t>none</t>
        </is>
      </c>
      <c r="P843">
        <f>HYPERLINK("https://knru.ru/catalog/leningradskaya-ul-15-20k1/","ссылка")</f>
        <v/>
      </c>
      <c r="Q843" t="inlineStr"/>
      <c r="R843" t="inlineStr">
        <is>
          <t>Нет у нас</t>
        </is>
      </c>
      <c r="S843" t="n">
        <v>0</v>
      </c>
      <c r="T843" t="inlineStr">
        <is>
          <t>Совпадений по улице+дому не найдено</t>
        </is>
      </c>
      <c r="U843" t="n">
        <v>1117</v>
      </c>
      <c r="V843" t="n">
        <v>47</v>
      </c>
      <c r="W843" t="n">
        <v>13</v>
      </c>
      <c r="X843" t="n">
        <v>16000000</v>
      </c>
      <c r="Y843" t="inlineStr"/>
      <c r="Z843" t="inlineStr"/>
      <c r="AA843" t="inlineStr">
        <is>
          <t>https://knru.ru/catalog/leningradskaya-ul-15-20k1/</t>
        </is>
      </c>
      <c r="AB843" t="inlineStr">
        <is>
          <t>C</t>
        </is>
      </c>
    </row>
    <row r="844">
      <c r="A844" t="n">
        <v>1118</v>
      </c>
      <c r="B844" t="n">
        <v>47</v>
      </c>
      <c r="C844" t="n">
        <v>14</v>
      </c>
      <c r="D844" t="inlineStr"/>
      <c r="E844" t="inlineStr">
        <is>
          <t>Невский</t>
        </is>
      </c>
      <c r="F844" t="inlineStr">
        <is>
          <t>Обуховской Обороны пр-кт, 49 К</t>
        </is>
      </c>
      <c r="G844" t="n">
        <v>17843</v>
      </c>
      <c r="H844" t="inlineStr">
        <is>
          <t>150 000 000</t>
        </is>
      </c>
      <c r="I844" t="inlineStr"/>
      <c r="J844" t="inlineStr"/>
      <c r="K844" t="inlineStr"/>
      <c r="L844" t="inlineStr"/>
      <c r="M844" t="inlineStr"/>
      <c r="N844" t="inlineStr">
        <is>
          <t>no</t>
        </is>
      </c>
      <c r="O844" t="inlineStr">
        <is>
          <t>none</t>
        </is>
      </c>
      <c r="P844">
        <f>HYPERLINK("https://knru.ru/catalog/obuxovskoj-oborony-pr-kt-49-k/","ссылка")</f>
        <v/>
      </c>
      <c r="Q844" t="inlineStr"/>
      <c r="R844" t="inlineStr">
        <is>
          <t>Нет у нас</t>
        </is>
      </c>
      <c r="S844" t="n">
        <v>0</v>
      </c>
      <c r="T844" t="inlineStr">
        <is>
          <t>Совпадений по улице+дому не найдено</t>
        </is>
      </c>
      <c r="U844" t="n">
        <v>1118</v>
      </c>
      <c r="V844" t="n">
        <v>47</v>
      </c>
      <c r="W844" t="n">
        <v>14</v>
      </c>
      <c r="X844" t="n">
        <v>150000000</v>
      </c>
      <c r="Y844" t="inlineStr"/>
      <c r="Z844" t="inlineStr"/>
      <c r="AA844" t="inlineStr">
        <is>
          <t>https://knru.ru/catalog/obuxovskoj-oborony-pr-kt-49-k/</t>
        </is>
      </c>
      <c r="AB844" t="inlineStr">
        <is>
          <t>C</t>
        </is>
      </c>
    </row>
    <row r="845">
      <c r="A845" t="n">
        <v>1119</v>
      </c>
      <c r="B845" t="n">
        <v>47</v>
      </c>
      <c r="C845" t="n">
        <v>15</v>
      </c>
      <c r="D845" t="inlineStr"/>
      <c r="E845" t="inlineStr"/>
      <c r="F845" t="inlineStr">
        <is>
          <t>Морская ул, 88а В</t>
        </is>
      </c>
      <c r="G845" t="n">
        <v>842</v>
      </c>
      <c r="H845" t="inlineStr">
        <is>
          <t>72 000 000</t>
        </is>
      </c>
      <c r="I845" t="inlineStr"/>
      <c r="J845" t="inlineStr"/>
      <c r="K845" t="inlineStr"/>
      <c r="L845" t="inlineStr"/>
      <c r="M845" t="inlineStr"/>
      <c r="N845" t="inlineStr">
        <is>
          <t>no</t>
        </is>
      </c>
      <c r="O845" t="inlineStr">
        <is>
          <t>none</t>
        </is>
      </c>
      <c r="P845">
        <f>HYPERLINK("https://knru.ru/catalog/morskaya-ul-88a-v/","ссылка")</f>
        <v/>
      </c>
      <c r="Q845" t="inlineStr"/>
      <c r="R845" t="inlineStr">
        <is>
          <t>Нет у нас</t>
        </is>
      </c>
      <c r="S845" t="n">
        <v>0</v>
      </c>
      <c r="T845" t="inlineStr">
        <is>
          <t>Совпадений по улице+дому не найдено</t>
        </is>
      </c>
      <c r="U845" t="n">
        <v>1119</v>
      </c>
      <c r="V845" t="n">
        <v>47</v>
      </c>
      <c r="W845" t="n">
        <v>15</v>
      </c>
      <c r="X845" t="n">
        <v>72000000</v>
      </c>
      <c r="Y845" t="inlineStr"/>
      <c r="Z845" t="inlineStr"/>
      <c r="AA845" t="inlineStr">
        <is>
          <t>https://knru.ru/catalog/morskaya-ul-88a-v/</t>
        </is>
      </c>
      <c r="AB845" t="inlineStr">
        <is>
          <t>C</t>
        </is>
      </c>
    </row>
    <row r="846">
      <c r="A846" t="n">
        <v>1120</v>
      </c>
      <c r="B846" t="n">
        <v>47</v>
      </c>
      <c r="C846" t="n">
        <v>16</v>
      </c>
      <c r="D846" t="n">
        <v>494</v>
      </c>
      <c r="E846" t="inlineStr"/>
      <c r="F846" t="inlineStr">
        <is>
          <t>Территория предприятия Шушары тер, 494</t>
        </is>
      </c>
      <c r="G846" t="n">
        <v>54183</v>
      </c>
      <c r="H846" t="inlineStr">
        <is>
          <t>250 000 000</t>
        </is>
      </c>
      <c r="I846" t="inlineStr"/>
      <c r="J846" t="inlineStr"/>
      <c r="K846" t="inlineStr"/>
      <c r="L846" t="inlineStr"/>
      <c r="M846" t="inlineStr"/>
      <c r="N846" t="inlineStr">
        <is>
          <t>no</t>
        </is>
      </c>
      <c r="O846" t="inlineStr">
        <is>
          <t>none</t>
        </is>
      </c>
      <c r="P846">
        <f>HYPERLINK("https://knru.ru/catalog/territoriya-predpriyatiya-shushary-ter-494/","ссылка")</f>
        <v/>
      </c>
      <c r="Q846" t="inlineStr"/>
      <c r="R846" t="inlineStr">
        <is>
          <t>Нет у нас</t>
        </is>
      </c>
      <c r="S846" t="n">
        <v>0</v>
      </c>
      <c r="T846" t="inlineStr">
        <is>
          <t>Совпадений по улице+дому не найдено</t>
        </is>
      </c>
      <c r="U846" t="n">
        <v>1120</v>
      </c>
      <c r="V846" t="n">
        <v>47</v>
      </c>
      <c r="W846" t="n">
        <v>16</v>
      </c>
      <c r="X846" t="n">
        <v>250000000</v>
      </c>
      <c r="Y846" t="inlineStr"/>
      <c r="Z846" t="inlineStr"/>
      <c r="AA846" t="inlineStr">
        <is>
          <t>https://knru.ru/catalog/territoriya-predpriyatiya-shushary-ter-494/</t>
        </is>
      </c>
      <c r="AB846" t="inlineStr">
        <is>
          <t>C</t>
        </is>
      </c>
    </row>
    <row r="847">
      <c r="A847" t="n">
        <v>1121</v>
      </c>
      <c r="B847" t="n">
        <v>47</v>
      </c>
      <c r="C847" t="n">
        <v>17</v>
      </c>
      <c r="D847" t="n">
        <v>4</v>
      </c>
      <c r="E847" t="inlineStr">
        <is>
          <t>Московский</t>
        </is>
      </c>
      <c r="F847" t="inlineStr">
        <is>
          <t>Дизельный проезд, 4</t>
        </is>
      </c>
      <c r="G847" t="n">
        <v>1470</v>
      </c>
      <c r="H847" t="inlineStr">
        <is>
          <t>150 000 000</t>
        </is>
      </c>
      <c r="I847" t="inlineStr"/>
      <c r="J847" t="inlineStr"/>
      <c r="K847" t="inlineStr"/>
      <c r="L847" t="inlineStr"/>
      <c r="M847" t="inlineStr"/>
      <c r="N847" t="inlineStr">
        <is>
          <t>no</t>
        </is>
      </c>
      <c r="O847" t="inlineStr">
        <is>
          <t>none</t>
        </is>
      </c>
      <c r="P847">
        <f>HYPERLINK("https://knru.ru/catalog/dizelnyj-proezd-4/","ссылка")</f>
        <v/>
      </c>
      <c r="Q847" t="inlineStr"/>
      <c r="R847" t="inlineStr">
        <is>
          <t>Нет у нас</t>
        </is>
      </c>
      <c r="S847" t="n">
        <v>0</v>
      </c>
      <c r="T847" t="inlineStr">
        <is>
          <t>Совпадений по улице+дому не найдено</t>
        </is>
      </c>
      <c r="U847" t="n">
        <v>1121</v>
      </c>
      <c r="V847" t="n">
        <v>47</v>
      </c>
      <c r="W847" t="n">
        <v>17</v>
      </c>
      <c r="X847" t="n">
        <v>150000000</v>
      </c>
      <c r="Y847" t="inlineStr"/>
      <c r="Z847" t="inlineStr"/>
      <c r="AA847" t="inlineStr">
        <is>
          <t>https://knru.ru/catalog/dizelnyj-proezd-4/</t>
        </is>
      </c>
      <c r="AB847" t="inlineStr">
        <is>
          <t>C</t>
        </is>
      </c>
    </row>
    <row r="848">
      <c r="A848" t="n">
        <v>1122</v>
      </c>
      <c r="B848" t="n">
        <v>47</v>
      </c>
      <c r="C848" t="n">
        <v>18</v>
      </c>
      <c r="D848" t="n">
        <v>57</v>
      </c>
      <c r="E848" t="inlineStr"/>
      <c r="F848" t="inlineStr">
        <is>
          <t>Подгорная ул, 57</t>
        </is>
      </c>
      <c r="G848" t="n">
        <v>927</v>
      </c>
      <c r="H848" t="inlineStr">
        <is>
          <t>90 000 000</t>
        </is>
      </c>
      <c r="I848" t="inlineStr"/>
      <c r="J848" t="inlineStr"/>
      <c r="K848" t="inlineStr"/>
      <c r="L848" t="inlineStr"/>
      <c r="M848" t="inlineStr"/>
      <c r="N848" t="inlineStr">
        <is>
          <t>no</t>
        </is>
      </c>
      <c r="O848" t="inlineStr">
        <is>
          <t>none</t>
        </is>
      </c>
      <c r="P848">
        <f>HYPERLINK("https://knru.ru/catalog/podgornaya-ul-57/","ссылка")</f>
        <v/>
      </c>
      <c r="Q848" t="inlineStr"/>
      <c r="R848" t="inlineStr">
        <is>
          <t>Нет у нас</t>
        </is>
      </c>
      <c r="S848" t="n">
        <v>0</v>
      </c>
      <c r="T848" t="inlineStr">
        <is>
          <t>Совпадений по улице+дому не найдено</t>
        </is>
      </c>
      <c r="U848" t="n">
        <v>1122</v>
      </c>
      <c r="V848" t="n">
        <v>47</v>
      </c>
      <c r="W848" t="n">
        <v>18</v>
      </c>
      <c r="X848" t="n">
        <v>90000000</v>
      </c>
      <c r="Y848" t="inlineStr"/>
      <c r="Z848" t="inlineStr"/>
      <c r="AA848" t="inlineStr">
        <is>
          <t>https://knru.ru/catalog/podgornaya-ul-57/</t>
        </is>
      </c>
      <c r="AB848" t="inlineStr">
        <is>
          <t>C</t>
        </is>
      </c>
    </row>
    <row r="849">
      <c r="A849" t="n">
        <v>1123</v>
      </c>
      <c r="B849" t="n">
        <v>47</v>
      </c>
      <c r="C849" t="n">
        <v>19</v>
      </c>
      <c r="D849" t="n">
        <v>1</v>
      </c>
      <c r="E849" t="inlineStr"/>
      <c r="F849" t="inlineStr">
        <is>
          <t>Промышленная ул, 1</t>
        </is>
      </c>
      <c r="G849" t="n">
        <v>4530</v>
      </c>
      <c r="H849" t="inlineStr">
        <is>
          <t>22 650 000</t>
        </is>
      </c>
      <c r="I849" t="inlineStr"/>
      <c r="J849" t="inlineStr"/>
      <c r="K849" t="inlineStr"/>
      <c r="L849" t="inlineStr"/>
      <c r="M849" t="inlineStr"/>
      <c r="N849" t="inlineStr">
        <is>
          <t>no</t>
        </is>
      </c>
      <c r="O849" t="inlineStr">
        <is>
          <t>none</t>
        </is>
      </c>
      <c r="P849">
        <f>HYPERLINK("https://knru.ru/catalog/promyshlennaya-ul-1/","ссылка")</f>
        <v/>
      </c>
      <c r="Q849" t="inlineStr"/>
      <c r="R849" t="inlineStr">
        <is>
          <t>Нет у нас</t>
        </is>
      </c>
      <c r="S849" t="n">
        <v>0</v>
      </c>
      <c r="T849" t="inlineStr">
        <is>
          <t>Совпадений по улице+дому не найдено</t>
        </is>
      </c>
      <c r="U849" t="n">
        <v>1123</v>
      </c>
      <c r="V849" t="n">
        <v>47</v>
      </c>
      <c r="W849" t="n">
        <v>19</v>
      </c>
      <c r="X849" t="n">
        <v>22650000</v>
      </c>
      <c r="Y849" t="inlineStr"/>
      <c r="Z849" t="inlineStr"/>
      <c r="AA849" t="inlineStr">
        <is>
          <t>https://knru.ru/catalog/promyshlennaya-ul-1/</t>
        </is>
      </c>
      <c r="AB849" t="inlineStr">
        <is>
          <t>C</t>
        </is>
      </c>
    </row>
    <row r="850">
      <c r="A850" t="n">
        <v>1124</v>
      </c>
      <c r="B850" t="n">
        <v>47</v>
      </c>
      <c r="C850" t="n">
        <v>20</v>
      </c>
      <c r="D850" t="inlineStr"/>
      <c r="E850" t="inlineStr"/>
      <c r="F850" t="inlineStr">
        <is>
          <t>4-й Предпортовый проезд</t>
        </is>
      </c>
      <c r="G850" t="n">
        <v>49000</v>
      </c>
      <c r="H850" t="inlineStr">
        <is>
          <t>700 000 000</t>
        </is>
      </c>
      <c r="I850" t="inlineStr"/>
      <c r="J850" t="inlineStr"/>
      <c r="K850" t="inlineStr"/>
      <c r="L850" t="inlineStr"/>
      <c r="M850" t="inlineStr"/>
      <c r="N850" t="inlineStr">
        <is>
          <t>yes</t>
        </is>
      </c>
      <c r="O850" t="inlineStr">
        <is>
          <t>pixel_heuristic</t>
        </is>
      </c>
      <c r="P850">
        <f>HYPERLINK("https://knru.ru/catalog/4-j-predportovyj-proezd/","ссылка")</f>
        <v/>
      </c>
      <c r="Q850" t="inlineStr"/>
      <c r="R850" t="inlineStr">
        <is>
          <t>Нет у нас</t>
        </is>
      </c>
      <c r="S850" t="n">
        <v>0</v>
      </c>
      <c r="T850" t="inlineStr">
        <is>
          <t>Совпадений по улице+дому не найдено</t>
        </is>
      </c>
      <c r="U850" t="n">
        <v>1124</v>
      </c>
      <c r="V850" t="n">
        <v>47</v>
      </c>
      <c r="W850" t="n">
        <v>20</v>
      </c>
      <c r="X850" t="n">
        <v>700000000</v>
      </c>
      <c r="Y850" t="inlineStr"/>
      <c r="Z850" t="inlineStr"/>
      <c r="AA850" t="inlineStr">
        <is>
          <t>https://knru.ru/catalog/4-j-predportovyj-proezd/</t>
        </is>
      </c>
      <c r="AB850" t="inlineStr">
        <is>
          <t>C</t>
        </is>
      </c>
    </row>
    <row r="851">
      <c r="A851" t="n">
        <v>1125</v>
      </c>
      <c r="B851" t="n">
        <v>47</v>
      </c>
      <c r="C851" t="n">
        <v>21</v>
      </c>
      <c r="D851" t="n">
        <v>14</v>
      </c>
      <c r="E851" t="inlineStr"/>
      <c r="F851" t="inlineStr">
        <is>
          <t>Виз ул, 14</t>
        </is>
      </c>
      <c r="G851" t="n">
        <v>20700</v>
      </c>
      <c r="H851" t="inlineStr">
        <is>
          <t>255 000 000</t>
        </is>
      </c>
      <c r="I851" t="inlineStr"/>
      <c r="J851" t="inlineStr"/>
      <c r="K851" t="inlineStr"/>
      <c r="L851" t="inlineStr"/>
      <c r="M851" t="inlineStr"/>
      <c r="N851" t="inlineStr">
        <is>
          <t>no</t>
        </is>
      </c>
      <c r="O851" t="inlineStr">
        <is>
          <t>none</t>
        </is>
      </c>
      <c r="P851">
        <f>HYPERLINK("https://knru.ru/catalog/viz-ul-14/","ссылка")</f>
        <v/>
      </c>
      <c r="Q851" t="inlineStr"/>
      <c r="R851" t="inlineStr">
        <is>
          <t>Нет у нас</t>
        </is>
      </c>
      <c r="S851" t="n">
        <v>0</v>
      </c>
      <c r="T851" t="inlineStr">
        <is>
          <t>Совпадений по улице+дому не найдено</t>
        </is>
      </c>
      <c r="U851" t="n">
        <v>1125</v>
      </c>
      <c r="V851" t="n">
        <v>47</v>
      </c>
      <c r="W851" t="n">
        <v>21</v>
      </c>
      <c r="X851" t="n">
        <v>255000000</v>
      </c>
      <c r="Y851" t="inlineStr"/>
      <c r="Z851" t="inlineStr"/>
      <c r="AA851" t="inlineStr">
        <is>
          <t>https://knru.ru/catalog/viz-ul-14/</t>
        </is>
      </c>
      <c r="AB851" t="inlineStr">
        <is>
          <t>C</t>
        </is>
      </c>
    </row>
    <row r="852">
      <c r="A852" t="n">
        <v>1126</v>
      </c>
      <c r="B852" t="n">
        <v>47</v>
      </c>
      <c r="C852" t="n">
        <v>22</v>
      </c>
      <c r="D852" t="n">
        <v>551736</v>
      </c>
      <c r="E852" t="inlineStr">
        <is>
          <t>Калининский</t>
        </is>
      </c>
      <c r="F852" t="inlineStr">
        <is>
          <t>Бобруйская ул, 7</t>
        </is>
      </c>
      <c r="G852" t="n">
        <v>13381</v>
      </c>
      <c r="H852" t="inlineStr">
        <is>
          <t>850 000 000</t>
        </is>
      </c>
      <c r="I852" t="inlineStr"/>
      <c r="J852" t="inlineStr"/>
      <c r="K852" t="inlineStr"/>
      <c r="L852" t="inlineStr"/>
      <c r="M852" t="inlineStr"/>
      <c r="N852" t="inlineStr">
        <is>
          <t>no</t>
        </is>
      </c>
      <c r="O852" t="inlineStr">
        <is>
          <t>none</t>
        </is>
      </c>
      <c r="P852">
        <f>HYPERLINK("https://knru.ru/catalog/bobrujskaya-ul-7-551736/","ссылка")</f>
        <v/>
      </c>
      <c r="Q852" t="inlineStr"/>
      <c r="R852" t="inlineStr">
        <is>
          <t>Нет у нас</t>
        </is>
      </c>
      <c r="S852" t="n">
        <v>0</v>
      </c>
      <c r="T852" t="inlineStr">
        <is>
          <t>Совпадений по улице+дому не найдено</t>
        </is>
      </c>
      <c r="U852" t="n">
        <v>1126</v>
      </c>
      <c r="V852" t="n">
        <v>47</v>
      </c>
      <c r="W852" t="n">
        <v>22</v>
      </c>
      <c r="X852" t="n">
        <v>850000000</v>
      </c>
      <c r="Y852" t="inlineStr"/>
      <c r="Z852" t="inlineStr"/>
      <c r="AA852" t="inlineStr">
        <is>
          <t>https://knru.ru/catalog/bobrujskaya-ul-7-551736/</t>
        </is>
      </c>
      <c r="AB852" t="inlineStr">
        <is>
          <t>C</t>
        </is>
      </c>
    </row>
    <row r="853">
      <c r="A853" t="n">
        <v>1127</v>
      </c>
      <c r="B853" t="n">
        <v>47</v>
      </c>
      <c r="C853" t="n">
        <v>23</v>
      </c>
      <c r="D853" t="n">
        <v>1</v>
      </c>
      <c r="E853" t="inlineStr"/>
      <c r="F853" t="inlineStr">
        <is>
          <t>Токарева ул, 1</t>
        </is>
      </c>
      <c r="G853" t="n">
        <v>2400</v>
      </c>
      <c r="H853" t="inlineStr">
        <is>
          <t>133 000 000</t>
        </is>
      </c>
      <c r="I853" t="inlineStr"/>
      <c r="J853" t="inlineStr"/>
      <c r="K853" t="inlineStr"/>
      <c r="L853" t="inlineStr"/>
      <c r="M853" t="inlineStr"/>
      <c r="N853" t="inlineStr">
        <is>
          <t>no</t>
        </is>
      </c>
      <c r="O853" t="inlineStr">
        <is>
          <t>none</t>
        </is>
      </c>
      <c r="P853">
        <f>HYPERLINK("https://knru.ru/catalog/tokareva-ul-1/","ссылка")</f>
        <v/>
      </c>
      <c r="Q853" t="inlineStr"/>
      <c r="R853" t="inlineStr">
        <is>
          <t>Нет у нас</t>
        </is>
      </c>
      <c r="S853" t="n">
        <v>0</v>
      </c>
      <c r="T853" t="inlineStr">
        <is>
          <t>Совпадений по улице+дому не найдено</t>
        </is>
      </c>
      <c r="U853" t="n">
        <v>1127</v>
      </c>
      <c r="V853" t="n">
        <v>47</v>
      </c>
      <c r="W853" t="n">
        <v>23</v>
      </c>
      <c r="X853" t="n">
        <v>133000000</v>
      </c>
      <c r="Y853" t="inlineStr"/>
      <c r="Z853" t="inlineStr"/>
      <c r="AA853" t="inlineStr">
        <is>
          <t>https://knru.ru/catalog/tokareva-ul-1/</t>
        </is>
      </c>
      <c r="AB853" t="inlineStr">
        <is>
          <t>C</t>
        </is>
      </c>
    </row>
    <row r="854">
      <c r="A854" t="n">
        <v>1129</v>
      </c>
      <c r="B854" t="n">
        <v>48</v>
      </c>
      <c r="C854" t="n">
        <v>1</v>
      </c>
      <c r="D854" t="inlineStr"/>
      <c r="E854" t="inlineStr"/>
      <c r="F854" t="inlineStr">
        <is>
          <t>Владимирский пр-кт, 9 А</t>
        </is>
      </c>
      <c r="G854" t="n">
        <v>40000</v>
      </c>
      <c r="H854" t="inlineStr">
        <is>
          <t>280 000 000</t>
        </is>
      </c>
      <c r="I854" t="inlineStr"/>
      <c r="J854" t="inlineStr"/>
      <c r="K854" t="inlineStr"/>
      <c r="L854" t="inlineStr"/>
      <c r="M854" t="inlineStr"/>
      <c r="N854" t="inlineStr">
        <is>
          <t>no</t>
        </is>
      </c>
      <c r="O854" t="inlineStr">
        <is>
          <t>none</t>
        </is>
      </c>
      <c r="P854">
        <f>HYPERLINK("https://knru.ru/catalog/vladimirskij-pr-kt-9-a/","ссылка")</f>
        <v/>
      </c>
      <c r="Q854" t="inlineStr"/>
      <c r="R854" t="inlineStr">
        <is>
          <t>Нет у нас</t>
        </is>
      </c>
      <c r="S854" t="n">
        <v>0</v>
      </c>
      <c r="T854" t="inlineStr">
        <is>
          <t>Совпадений по улице+дому не найдено</t>
        </is>
      </c>
      <c r="U854" t="n">
        <v>1129</v>
      </c>
      <c r="V854" t="n">
        <v>48</v>
      </c>
      <c r="W854" t="n">
        <v>1</v>
      </c>
      <c r="X854" t="n">
        <v>280000000</v>
      </c>
      <c r="Y854" t="inlineStr"/>
      <c r="Z854" t="inlineStr"/>
      <c r="AA854" t="inlineStr">
        <is>
          <t>https://knru.ru/catalog/vladimirskij-pr-kt-9-a/</t>
        </is>
      </c>
      <c r="AB854" t="inlineStr">
        <is>
          <t>C</t>
        </is>
      </c>
    </row>
    <row r="855">
      <c r="A855" t="n">
        <v>1130</v>
      </c>
      <c r="B855" t="n">
        <v>48</v>
      </c>
      <c r="C855" t="n">
        <v>2</v>
      </c>
      <c r="D855" t="n">
        <v>551500</v>
      </c>
      <c r="E855" t="inlineStr">
        <is>
          <t>Пушкинский</t>
        </is>
      </c>
      <c r="F855" t="inlineStr">
        <is>
          <t>Московское ш, 113к2стр1</t>
        </is>
      </c>
      <c r="G855" t="n">
        <v>2000</v>
      </c>
      <c r="H855" t="inlineStr">
        <is>
          <t>218 000 000</t>
        </is>
      </c>
      <c r="I855" t="inlineStr"/>
      <c r="J855" t="inlineStr"/>
      <c r="K855" t="inlineStr"/>
      <c r="L855" t="inlineStr"/>
      <c r="M855" t="inlineStr"/>
      <c r="N855" t="inlineStr">
        <is>
          <t>no</t>
        </is>
      </c>
      <c r="O855" t="inlineStr">
        <is>
          <t>none</t>
        </is>
      </c>
      <c r="P855">
        <f>HYPERLINK("https://knru.ru/catalog/moskovskoe-sh-113k2str1-551500/","ссылка")</f>
        <v/>
      </c>
      <c r="Q855" t="inlineStr"/>
      <c r="R855" t="inlineStr">
        <is>
          <t>Нет у нас</t>
        </is>
      </c>
      <c r="S855" t="n">
        <v>0</v>
      </c>
      <c r="T855" t="inlineStr">
        <is>
          <t>Совпадений по улице+дому не найдено</t>
        </is>
      </c>
      <c r="U855" t="n">
        <v>1130</v>
      </c>
      <c r="V855" t="n">
        <v>48</v>
      </c>
      <c r="W855" t="n">
        <v>2</v>
      </c>
      <c r="X855" t="n">
        <v>218000000</v>
      </c>
      <c r="Y855" t="inlineStr"/>
      <c r="Z855" t="inlineStr"/>
      <c r="AA855" t="inlineStr">
        <is>
          <t>https://knru.ru/catalog/moskovskoe-sh-113k2str1-551500/</t>
        </is>
      </c>
      <c r="AB855" t="inlineStr">
        <is>
          <t>C</t>
        </is>
      </c>
    </row>
    <row r="856">
      <c r="A856" t="n">
        <v>1131</v>
      </c>
      <c r="B856" t="n">
        <v>48</v>
      </c>
      <c r="C856" t="n">
        <v>3</v>
      </c>
      <c r="D856" t="inlineStr"/>
      <c r="E856" t="inlineStr">
        <is>
          <t>Калининский</t>
        </is>
      </c>
      <c r="F856" t="inlineStr">
        <is>
          <t>Жукова ул, 17к2стр1</t>
        </is>
      </c>
      <c r="G856" t="n">
        <v>8800</v>
      </c>
      <c r="H856" t="inlineStr">
        <is>
          <t>165 000 000</t>
        </is>
      </c>
      <c r="I856" t="inlineStr"/>
      <c r="J856" t="inlineStr"/>
      <c r="K856" t="inlineStr"/>
      <c r="L856" t="inlineStr"/>
      <c r="M856" t="inlineStr"/>
      <c r="N856" t="inlineStr">
        <is>
          <t>no</t>
        </is>
      </c>
      <c r="O856" t="inlineStr">
        <is>
          <t>none</t>
        </is>
      </c>
      <c r="P856">
        <f>HYPERLINK("https://knru.ru/catalog/zhukova-ul-17k2str1/","ссылка")</f>
        <v/>
      </c>
      <c r="Q856" t="inlineStr"/>
      <c r="R856" t="inlineStr">
        <is>
          <t>Нет у нас</t>
        </is>
      </c>
      <c r="S856" t="n">
        <v>0</v>
      </c>
      <c r="T856" t="inlineStr">
        <is>
          <t>Совпадений по улице+дому не найдено</t>
        </is>
      </c>
      <c r="U856" t="n">
        <v>1131</v>
      </c>
      <c r="V856" t="n">
        <v>48</v>
      </c>
      <c r="W856" t="n">
        <v>3</v>
      </c>
      <c r="X856" t="n">
        <v>165000000</v>
      </c>
      <c r="Y856" t="inlineStr"/>
      <c r="Z856" t="inlineStr"/>
      <c r="AA856" t="inlineStr">
        <is>
          <t>https://knru.ru/catalog/zhukova-ul-17k2str1/</t>
        </is>
      </c>
      <c r="AB856" t="inlineStr">
        <is>
          <t>C</t>
        </is>
      </c>
    </row>
    <row r="857">
      <c r="A857" t="n">
        <v>1132</v>
      </c>
      <c r="B857" t="n">
        <v>48</v>
      </c>
      <c r="C857" t="n">
        <v>4</v>
      </c>
      <c r="D857" t="n">
        <v>1</v>
      </c>
      <c r="E857" t="inlineStr"/>
      <c r="F857" t="inlineStr">
        <is>
          <t>Предприятия Ручьи тер, 1</t>
        </is>
      </c>
      <c r="G857" t="n">
        <v>15000</v>
      </c>
      <c r="H857" t="inlineStr">
        <is>
          <t>66 000 000</t>
        </is>
      </c>
      <c r="I857" t="inlineStr"/>
      <c r="J857" t="inlineStr"/>
      <c r="K857" t="inlineStr"/>
      <c r="L857" t="inlineStr"/>
      <c r="M857" t="inlineStr"/>
      <c r="N857" t="inlineStr">
        <is>
          <t>no</t>
        </is>
      </c>
      <c r="O857" t="inlineStr">
        <is>
          <t>none</t>
        </is>
      </c>
      <c r="P857">
        <f>HYPERLINK("https://knru.ru/catalog/predpriyatiya-ruchi-ter-1/","ссылка")</f>
        <v/>
      </c>
      <c r="Q857" t="inlineStr"/>
      <c r="R857" t="inlineStr">
        <is>
          <t>Нет у нас</t>
        </is>
      </c>
      <c r="S857" t="n">
        <v>0</v>
      </c>
      <c r="T857" t="inlineStr">
        <is>
          <t>Совпадений по улице+дому не найдено</t>
        </is>
      </c>
      <c r="U857" t="n">
        <v>1132</v>
      </c>
      <c r="V857" t="n">
        <v>48</v>
      </c>
      <c r="W857" t="n">
        <v>4</v>
      </c>
      <c r="X857" t="n">
        <v>66000000</v>
      </c>
      <c r="Y857" t="inlineStr"/>
      <c r="Z857" t="inlineStr"/>
      <c r="AA857" t="inlineStr">
        <is>
          <t>https://knru.ru/catalog/predpriyatiya-ruchi-ter-1/</t>
        </is>
      </c>
      <c r="AB857" t="inlineStr">
        <is>
          <t>C</t>
        </is>
      </c>
    </row>
    <row r="858">
      <c r="A858" t="n">
        <v>1133</v>
      </c>
      <c r="B858" t="n">
        <v>48</v>
      </c>
      <c r="C858" t="n">
        <v>5</v>
      </c>
      <c r="D858" t="inlineStr"/>
      <c r="E858" t="inlineStr">
        <is>
          <t>Невский</t>
        </is>
      </c>
      <c r="F858" t="inlineStr">
        <is>
          <t>Приневская ул</t>
        </is>
      </c>
      <c r="G858" t="n">
        <v>27500</v>
      </c>
      <c r="H858" t="inlineStr">
        <is>
          <t>45 000 000</t>
        </is>
      </c>
      <c r="I858" t="inlineStr"/>
      <c r="J858" t="inlineStr"/>
      <c r="K858" t="inlineStr"/>
      <c r="L858" t="inlineStr"/>
      <c r="M858" t="inlineStr"/>
      <c r="N858" t="inlineStr">
        <is>
          <t>no</t>
        </is>
      </c>
      <c r="O858" t="inlineStr">
        <is>
          <t>none</t>
        </is>
      </c>
      <c r="P858">
        <f>HYPERLINK("https://knru.ru/catalog/prinevskaya-ul/","ссылка")</f>
        <v/>
      </c>
      <c r="Q858" t="inlineStr"/>
      <c r="R858" t="inlineStr">
        <is>
          <t>Нет у нас</t>
        </is>
      </c>
      <c r="S858" t="n">
        <v>0</v>
      </c>
      <c r="T858" t="inlineStr">
        <is>
          <t>Совпадений по улице+дому не найдено</t>
        </is>
      </c>
      <c r="U858" t="n">
        <v>1133</v>
      </c>
      <c r="V858" t="n">
        <v>48</v>
      </c>
      <c r="W858" t="n">
        <v>5</v>
      </c>
      <c r="X858" t="n">
        <v>45000000</v>
      </c>
      <c r="Y858" t="inlineStr"/>
      <c r="Z858" t="inlineStr"/>
      <c r="AA858" t="inlineStr">
        <is>
          <t>https://knru.ru/catalog/prinevskaya-ul/</t>
        </is>
      </c>
      <c r="AB858" t="inlineStr">
        <is>
          <t>C</t>
        </is>
      </c>
    </row>
    <row r="859">
      <c r="A859" t="n">
        <v>1134</v>
      </c>
      <c r="B859" t="n">
        <v>48</v>
      </c>
      <c r="C859" t="n">
        <v>6</v>
      </c>
      <c r="D859" t="n">
        <v>29</v>
      </c>
      <c r="E859" t="inlineStr">
        <is>
          <t>Выборгский</t>
        </is>
      </c>
      <c r="F859" t="inlineStr">
        <is>
          <t>Энгельса пр-кт, 27 АБ</t>
        </is>
      </c>
      <c r="G859" t="n">
        <v>50</v>
      </c>
      <c r="H859" t="inlineStr">
        <is>
          <t>16 144 000</t>
        </is>
      </c>
      <c r="I859" t="inlineStr"/>
      <c r="J859" t="inlineStr"/>
      <c r="K859" t="inlineStr"/>
      <c r="L859" t="inlineStr"/>
      <c r="M859" t="inlineStr"/>
      <c r="N859" t="inlineStr">
        <is>
          <t>no</t>
        </is>
      </c>
      <c r="O859" t="inlineStr">
        <is>
          <t>none</t>
        </is>
      </c>
      <c r="P859">
        <f>HYPERLINK("https://knru.ru/catalog/pr-engelsa-29/","ссылка")</f>
        <v/>
      </c>
      <c r="Q859" t="inlineStr"/>
      <c r="R859" t="inlineStr">
        <is>
          <t>Нет у нас</t>
        </is>
      </c>
      <c r="S859" t="n">
        <v>0</v>
      </c>
      <c r="T859" t="inlineStr">
        <is>
          <t>Совпадений по улице+дому не найдено</t>
        </is>
      </c>
      <c r="U859" t="n">
        <v>1134</v>
      </c>
      <c r="V859" t="n">
        <v>48</v>
      </c>
      <c r="W859" t="n">
        <v>6</v>
      </c>
      <c r="X859" t="n">
        <v>16144000</v>
      </c>
      <c r="Y859" t="inlineStr"/>
      <c r="Z859" t="inlineStr"/>
      <c r="AA859" t="inlineStr">
        <is>
          <t>https://knru.ru/catalog/pr-engelsa-29/</t>
        </is>
      </c>
      <c r="AB859" t="inlineStr">
        <is>
          <t>C</t>
        </is>
      </c>
    </row>
    <row r="860">
      <c r="A860" t="n">
        <v>1135</v>
      </c>
      <c r="B860" t="n">
        <v>48</v>
      </c>
      <c r="C860" t="n">
        <v>7</v>
      </c>
      <c r="D860" t="n">
        <v>27</v>
      </c>
      <c r="E860" t="inlineStr">
        <is>
          <t>Невский</t>
        </is>
      </c>
      <c r="F860" t="inlineStr">
        <is>
          <t>Большевиков пр-кт, 27 А</t>
        </is>
      </c>
      <c r="G860" t="n">
        <v>2755.9</v>
      </c>
      <c r="H860" t="inlineStr">
        <is>
          <t>297 000 000</t>
        </is>
      </c>
      <c r="I860" t="inlineStr"/>
      <c r="J860" t="inlineStr"/>
      <c r="K860" t="inlineStr"/>
      <c r="L860" t="inlineStr"/>
      <c r="M860" t="inlineStr"/>
      <c r="N860" t="inlineStr">
        <is>
          <t>no</t>
        </is>
      </c>
      <c r="O860" t="inlineStr">
        <is>
          <t>none</t>
        </is>
      </c>
      <c r="P860">
        <f>HYPERLINK("https://knru.ru/catalog/pr-bolshevikov-d-27/","ссылка")</f>
        <v/>
      </c>
      <c r="Q860" t="inlineStr"/>
      <c r="R860" t="inlineStr">
        <is>
          <t>Нет у нас</t>
        </is>
      </c>
      <c r="S860" t="n">
        <v>0</v>
      </c>
      <c r="T860" t="inlineStr">
        <is>
          <t>Совпадений по улице+дому не найдено</t>
        </is>
      </c>
      <c r="U860" t="n">
        <v>1135</v>
      </c>
      <c r="V860" t="n">
        <v>48</v>
      </c>
      <c r="W860" t="n">
        <v>7</v>
      </c>
      <c r="X860" t="n">
        <v>297000000</v>
      </c>
      <c r="Y860" t="inlineStr"/>
      <c r="Z860" t="inlineStr"/>
      <c r="AA860" t="inlineStr">
        <is>
          <t>https://knru.ru/catalog/pr-bolshevikov-d-27/</t>
        </is>
      </c>
      <c r="AB860" t="inlineStr">
        <is>
          <t>C</t>
        </is>
      </c>
    </row>
    <row r="861">
      <c r="A861" t="n">
        <v>1136</v>
      </c>
      <c r="B861" t="n">
        <v>48</v>
      </c>
      <c r="C861" t="n">
        <v>8</v>
      </c>
      <c r="D861" t="n">
        <v>557503</v>
      </c>
      <c r="E861" t="inlineStr">
        <is>
          <t>Адмиралтейский</t>
        </is>
      </c>
      <c r="F861" t="inlineStr">
        <is>
          <t>Московский пр-кт, 73к3 А</t>
        </is>
      </c>
      <c r="G861" t="n">
        <v>299</v>
      </c>
      <c r="H861" t="inlineStr">
        <is>
          <t>110 000 000</t>
        </is>
      </c>
      <c r="I861" t="inlineStr"/>
      <c r="J861" t="inlineStr"/>
      <c r="K861" t="inlineStr"/>
      <c r="L861" t="inlineStr"/>
      <c r="M861" t="inlineStr"/>
      <c r="N861" t="inlineStr">
        <is>
          <t>no</t>
        </is>
      </c>
      <c r="O861" t="inlineStr">
        <is>
          <t>none</t>
        </is>
      </c>
      <c r="P861">
        <f>HYPERLINK("https://knru.ru/catalog/moskovskij-pr-d-73-k-3-557503/","ссылка")</f>
        <v/>
      </c>
      <c r="Q861" t="inlineStr"/>
      <c r="R861" t="inlineStr">
        <is>
          <t>Нет у нас</t>
        </is>
      </c>
      <c r="S861" t="n">
        <v>0</v>
      </c>
      <c r="T861" t="inlineStr">
        <is>
          <t>Совпадений по улице+дому не найдено</t>
        </is>
      </c>
      <c r="U861" t="n">
        <v>1136</v>
      </c>
      <c r="V861" t="n">
        <v>48</v>
      </c>
      <c r="W861" t="n">
        <v>8</v>
      </c>
      <c r="X861" t="n">
        <v>110000000</v>
      </c>
      <c r="Y861" t="inlineStr"/>
      <c r="Z861" t="inlineStr"/>
      <c r="AA861" t="inlineStr">
        <is>
          <t>https://knru.ru/catalog/moskovskij-pr-d-73-k-3-557503/</t>
        </is>
      </c>
      <c r="AB861" t="inlineStr">
        <is>
          <t>C</t>
        </is>
      </c>
    </row>
    <row r="862">
      <c r="A862" t="n">
        <v>1137</v>
      </c>
      <c r="B862" t="n">
        <v>48</v>
      </c>
      <c r="C862" t="n">
        <v>9</v>
      </c>
      <c r="D862" t="n">
        <v>6</v>
      </c>
      <c r="E862" t="inlineStr">
        <is>
          <t>Кировский</t>
        </is>
      </c>
      <c r="F862" t="inlineStr">
        <is>
          <t>Двинская ул, 6стр1</t>
        </is>
      </c>
      <c r="G862" t="n">
        <v>104</v>
      </c>
      <c r="H862" t="inlineStr">
        <is>
          <t>23 000 000</t>
        </is>
      </c>
      <c r="I862" t="inlineStr"/>
      <c r="J862" t="inlineStr"/>
      <c r="K862" t="inlineStr"/>
      <c r="L862" t="inlineStr"/>
      <c r="M862" t="inlineStr"/>
      <c r="N862" t="inlineStr">
        <is>
          <t>no</t>
        </is>
      </c>
      <c r="O862" t="inlineStr">
        <is>
          <t>none</t>
        </is>
      </c>
      <c r="P862">
        <f>HYPERLINK("https://knru.ru/catalog/ul-dvinskaya-d-6/","ссылка")</f>
        <v/>
      </c>
      <c r="Q862" t="inlineStr"/>
      <c r="R862" t="inlineStr">
        <is>
          <t>Нет у нас</t>
        </is>
      </c>
      <c r="S862" t="n">
        <v>0</v>
      </c>
      <c r="T862" t="inlineStr">
        <is>
          <t>Совпадений по улице+дому не найдено</t>
        </is>
      </c>
      <c r="U862" t="n">
        <v>1137</v>
      </c>
      <c r="V862" t="n">
        <v>48</v>
      </c>
      <c r="W862" t="n">
        <v>9</v>
      </c>
      <c r="X862" t="n">
        <v>23000000</v>
      </c>
      <c r="Y862" t="inlineStr"/>
      <c r="Z862" t="inlineStr"/>
      <c r="AA862" t="inlineStr">
        <is>
          <t>https://knru.ru/catalog/ul-dvinskaya-d-6/</t>
        </is>
      </c>
      <c r="AB862" t="inlineStr">
        <is>
          <t>C</t>
        </is>
      </c>
    </row>
    <row r="863">
      <c r="A863" t="n">
        <v>1138</v>
      </c>
      <c r="B863" t="n">
        <v>48</v>
      </c>
      <c r="C863" t="n">
        <v>10</v>
      </c>
      <c r="D863" t="inlineStr"/>
      <c r="E863" t="inlineStr">
        <is>
          <t>Красногвардейский</t>
        </is>
      </c>
      <c r="F863" t="inlineStr">
        <is>
          <t>1-я Жерновская ул, 29 А</t>
        </is>
      </c>
      <c r="G863" t="n">
        <v>1340</v>
      </c>
      <c r="H863" t="inlineStr">
        <is>
          <t>106 000 000</t>
        </is>
      </c>
      <c r="I863" t="inlineStr"/>
      <c r="J863" t="inlineStr"/>
      <c r="K863" t="inlineStr"/>
      <c r="L863" t="inlineStr"/>
      <c r="M863" t="inlineStr"/>
      <c r="N863" t="inlineStr">
        <is>
          <t>no</t>
        </is>
      </c>
      <c r="O863" t="inlineStr">
        <is>
          <t>none</t>
        </is>
      </c>
      <c r="P863">
        <f>HYPERLINK("https://knru.ru/catalog/1-ya-zhernovskaya-ul-d-29a/","ссылка")</f>
        <v/>
      </c>
      <c r="Q863" t="inlineStr"/>
      <c r="R863" t="inlineStr">
        <is>
          <t>Нет у нас</t>
        </is>
      </c>
      <c r="S863" t="n">
        <v>0</v>
      </c>
      <c r="T863" t="inlineStr">
        <is>
          <t>Совпадений по улице+дому не найдено</t>
        </is>
      </c>
      <c r="U863" t="n">
        <v>1138</v>
      </c>
      <c r="V863" t="n">
        <v>48</v>
      </c>
      <c r="W863" t="n">
        <v>10</v>
      </c>
      <c r="X863" t="n">
        <v>106000000</v>
      </c>
      <c r="Y863" t="inlineStr"/>
      <c r="Z863" t="inlineStr"/>
      <c r="AA863" t="inlineStr">
        <is>
          <t>https://knru.ru/catalog/1-ya-zhernovskaya-ul-d-29a/</t>
        </is>
      </c>
      <c r="AB863" t="inlineStr">
        <is>
          <t>C</t>
        </is>
      </c>
    </row>
    <row r="864">
      <c r="A864" t="n">
        <v>1139</v>
      </c>
      <c r="B864" t="n">
        <v>48</v>
      </c>
      <c r="C864" t="n">
        <v>11</v>
      </c>
      <c r="D864" t="n">
        <v>560888</v>
      </c>
      <c r="E864" t="inlineStr">
        <is>
          <t>Приморский</t>
        </is>
      </c>
      <c r="F864" t="inlineStr">
        <is>
          <t>Лисичанская ул, 15</t>
        </is>
      </c>
      <c r="G864" t="n">
        <v>132</v>
      </c>
      <c r="H864" t="inlineStr">
        <is>
          <t>45 506 234</t>
        </is>
      </c>
      <c r="I864" t="inlineStr"/>
      <c r="J864" t="inlineStr"/>
      <c r="K864" t="inlineStr"/>
      <c r="L864" t="inlineStr"/>
      <c r="M864" t="inlineStr"/>
      <c r="N864" t="inlineStr">
        <is>
          <t>no</t>
        </is>
      </c>
      <c r="O864" t="inlineStr">
        <is>
          <t>none</t>
        </is>
      </c>
      <c r="P864">
        <f>HYPERLINK("https://knru.ru/catalog/ul-beloostrovskaya-d-28-k-2-lisichanskaya-d-15-560888/","ссылка")</f>
        <v/>
      </c>
      <c r="Q864" t="inlineStr"/>
      <c r="R864" t="inlineStr">
        <is>
          <t>Нет у нас</t>
        </is>
      </c>
      <c r="S864" t="n">
        <v>0</v>
      </c>
      <c r="T864" t="inlineStr">
        <is>
          <t>Совпадений по улице+дому не найдено</t>
        </is>
      </c>
      <c r="U864" t="n">
        <v>1139</v>
      </c>
      <c r="V864" t="n">
        <v>48</v>
      </c>
      <c r="W864" t="n">
        <v>11</v>
      </c>
      <c r="X864" t="n">
        <v>45506234</v>
      </c>
      <c r="Y864" t="inlineStr"/>
      <c r="Z864" t="inlineStr"/>
      <c r="AA864" t="inlineStr">
        <is>
          <t>https://knru.ru/catalog/ul-beloostrovskaya-d-28-k-2-lisichanskaya-d-15-560888/</t>
        </is>
      </c>
      <c r="AB864" t="inlineStr">
        <is>
          <t>C</t>
        </is>
      </c>
    </row>
    <row r="865">
      <c r="A865" t="n">
        <v>1140</v>
      </c>
      <c r="B865" t="n">
        <v>48</v>
      </c>
      <c r="C865" t="n">
        <v>12</v>
      </c>
      <c r="D865" t="n">
        <v>2</v>
      </c>
      <c r="E865" t="inlineStr">
        <is>
          <t>Выборгский</t>
        </is>
      </c>
      <c r="F865" t="inlineStr">
        <is>
          <t>Лиственная ул, 20стр1</t>
        </is>
      </c>
      <c r="G865" t="n">
        <v>101.9</v>
      </c>
      <c r="H865" t="inlineStr">
        <is>
          <t>22 672 750</t>
        </is>
      </c>
      <c r="I865" t="inlineStr"/>
      <c r="J865" t="inlineStr"/>
      <c r="K865" t="inlineStr"/>
      <c r="L865" t="inlineStr"/>
      <c r="M865" t="inlineStr"/>
      <c r="N865" t="inlineStr">
        <is>
          <t>no</t>
        </is>
      </c>
      <c r="O865" t="inlineStr">
        <is>
          <t>none</t>
        </is>
      </c>
      <c r="P865">
        <f>HYPERLINK("https://knru.ru/catalog/listvennaya-ul-d-20-k-2/","ссылка")</f>
        <v/>
      </c>
      <c r="Q865" t="inlineStr"/>
      <c r="R865" t="inlineStr">
        <is>
          <t>Нет у нас</t>
        </is>
      </c>
      <c r="S865" t="n">
        <v>0</v>
      </c>
      <c r="T865" t="inlineStr">
        <is>
          <t>Совпадений по улице+дому не найдено</t>
        </is>
      </c>
      <c r="U865" t="n">
        <v>1140</v>
      </c>
      <c r="V865" t="n">
        <v>48</v>
      </c>
      <c r="W865" t="n">
        <v>12</v>
      </c>
      <c r="X865" t="n">
        <v>22672750</v>
      </c>
      <c r="Y865" t="inlineStr"/>
      <c r="Z865" t="inlineStr"/>
      <c r="AA865" t="inlineStr">
        <is>
          <t>https://knru.ru/catalog/listvennaya-ul-d-20-k-2/</t>
        </is>
      </c>
      <c r="AB865" t="inlineStr">
        <is>
          <t>C</t>
        </is>
      </c>
    </row>
    <row r="866">
      <c r="A866" t="n">
        <v>1141</v>
      </c>
      <c r="B866" t="n">
        <v>48</v>
      </c>
      <c r="C866" t="n">
        <v>13</v>
      </c>
      <c r="D866" t="n">
        <v>16</v>
      </c>
      <c r="E866" t="inlineStr"/>
      <c r="F866" t="inlineStr">
        <is>
          <t>Красносельское ш, 16</t>
        </is>
      </c>
      <c r="G866" t="n">
        <v>142.5</v>
      </c>
      <c r="H866" t="inlineStr">
        <is>
          <t>31 706 250</t>
        </is>
      </c>
      <c r="I866" t="inlineStr"/>
      <c r="J866" t="inlineStr"/>
      <c r="K866" t="inlineStr"/>
      <c r="L866" t="inlineStr"/>
      <c r="M866" t="inlineStr"/>
      <c r="N866" t="inlineStr">
        <is>
          <t>no</t>
        </is>
      </c>
      <c r="O866" t="inlineStr">
        <is>
          <t>none</t>
        </is>
      </c>
      <c r="P866">
        <f>HYPERLINK("https://knru.ru/catalog/krasnoselskoe-sh-d-16/","ссылка")</f>
        <v/>
      </c>
      <c r="Q866" t="inlineStr"/>
      <c r="R866" t="inlineStr">
        <is>
          <t>Нет у нас</t>
        </is>
      </c>
      <c r="S866" t="n">
        <v>0</v>
      </c>
      <c r="T866" t="inlineStr">
        <is>
          <t>Совпадений по улице+дому не найдено</t>
        </is>
      </c>
      <c r="U866" t="n">
        <v>1141</v>
      </c>
      <c r="V866" t="n">
        <v>48</v>
      </c>
      <c r="W866" t="n">
        <v>13</v>
      </c>
      <c r="X866" t="n">
        <v>31706250</v>
      </c>
      <c r="Y866" t="inlineStr"/>
      <c r="Z866" t="inlineStr"/>
      <c r="AA866" t="inlineStr">
        <is>
          <t>https://knru.ru/catalog/krasnoselskoe-sh-d-16/</t>
        </is>
      </c>
      <c r="AB866" t="inlineStr">
        <is>
          <t>C</t>
        </is>
      </c>
    </row>
    <row r="867">
      <c r="A867" t="n">
        <v>1143</v>
      </c>
      <c r="B867" t="n">
        <v>48</v>
      </c>
      <c r="C867" t="n">
        <v>15</v>
      </c>
      <c r="D867" t="n">
        <v>560480</v>
      </c>
      <c r="E867" t="inlineStr"/>
      <c r="F867" t="inlineStr">
        <is>
          <t>Тамбасова ул, 1к1стр1</t>
        </is>
      </c>
      <c r="G867" t="n">
        <v>152.8</v>
      </c>
      <c r="H867" t="inlineStr">
        <is>
          <t>25 212 000</t>
        </is>
      </c>
      <c r="I867" t="inlineStr"/>
      <c r="J867" t="inlineStr"/>
      <c r="K867" t="inlineStr"/>
      <c r="L867" t="inlineStr"/>
      <c r="M867" t="inlineStr"/>
      <c r="N867" t="inlineStr">
        <is>
          <t>no</t>
        </is>
      </c>
      <c r="O867" t="inlineStr">
        <is>
          <t>none</t>
        </is>
      </c>
      <c r="P867">
        <f>HYPERLINK("https://knru.ru/catalog/ul-tambasova-d-1-k-1-560480/","ссылка")</f>
        <v/>
      </c>
      <c r="Q867" t="inlineStr"/>
      <c r="R867" t="inlineStr">
        <is>
          <t>Нет у нас</t>
        </is>
      </c>
      <c r="S867" t="n">
        <v>0</v>
      </c>
      <c r="T867" t="inlineStr">
        <is>
          <t>Совпадений по улице+дому не найдено</t>
        </is>
      </c>
      <c r="U867" t="n">
        <v>1143</v>
      </c>
      <c r="V867" t="n">
        <v>48</v>
      </c>
      <c r="W867" t="n">
        <v>15</v>
      </c>
      <c r="X867" t="n">
        <v>25212000</v>
      </c>
      <c r="Y867" t="inlineStr"/>
      <c r="Z867" t="inlineStr"/>
      <c r="AA867" t="inlineStr">
        <is>
          <t>https://knru.ru/catalog/ul-tambasova-d-1-k-1-560480/</t>
        </is>
      </c>
      <c r="AB867" t="inlineStr">
        <is>
          <t>C</t>
        </is>
      </c>
    </row>
    <row r="868">
      <c r="A868" t="n">
        <v>1144</v>
      </c>
      <c r="B868" t="n">
        <v>48</v>
      </c>
      <c r="C868" t="n">
        <v>16</v>
      </c>
      <c r="D868" t="n">
        <v>1</v>
      </c>
      <c r="E868" t="inlineStr"/>
      <c r="F868" t="inlineStr">
        <is>
          <t>Тамбасова ул, 1к1стр1</t>
        </is>
      </c>
      <c r="G868" t="n">
        <v>145.8</v>
      </c>
      <c r="H868" t="inlineStr">
        <is>
          <t>24 057 000</t>
        </is>
      </c>
      <c r="I868" t="inlineStr"/>
      <c r="J868" t="inlineStr"/>
      <c r="K868" t="inlineStr"/>
      <c r="L868" t="inlineStr"/>
      <c r="M868" t="inlineStr"/>
      <c r="N868" t="inlineStr">
        <is>
          <t>no</t>
        </is>
      </c>
      <c r="O868" t="inlineStr">
        <is>
          <t>none</t>
        </is>
      </c>
      <c r="P868">
        <f>HYPERLINK("https://knru.ru/catalog/ul-tambasova-d-1-k-1/","ссылка")</f>
        <v/>
      </c>
      <c r="Q868" t="inlineStr"/>
      <c r="R868" t="inlineStr">
        <is>
          <t>Нет у нас</t>
        </is>
      </c>
      <c r="S868" t="n">
        <v>0</v>
      </c>
      <c r="T868" t="inlineStr">
        <is>
          <t>Совпадений по улице+дому не найдено</t>
        </is>
      </c>
      <c r="U868" t="n">
        <v>1144</v>
      </c>
      <c r="V868" t="n">
        <v>48</v>
      </c>
      <c r="W868" t="n">
        <v>16</v>
      </c>
      <c r="X868" t="n">
        <v>24057000</v>
      </c>
      <c r="Y868" t="inlineStr"/>
      <c r="Z868" t="inlineStr"/>
      <c r="AA868" t="inlineStr">
        <is>
          <t>https://knru.ru/catalog/ul-tambasova-d-1-k-1/</t>
        </is>
      </c>
      <c r="AB868" t="inlineStr">
        <is>
          <t>C</t>
        </is>
      </c>
    </row>
    <row r="869">
      <c r="A869" t="n">
        <v>1145</v>
      </c>
      <c r="B869" t="n">
        <v>48</v>
      </c>
      <c r="C869" t="n">
        <v>17</v>
      </c>
      <c r="D869" t="n">
        <v>3</v>
      </c>
      <c r="E869" t="inlineStr"/>
      <c r="F869" t="inlineStr">
        <is>
          <t>Воронцовский б-р, 21к3</t>
        </is>
      </c>
      <c r="G869" t="n">
        <v>97.7</v>
      </c>
      <c r="H869" t="inlineStr">
        <is>
          <t>29 952 000</t>
        </is>
      </c>
      <c r="I869" t="inlineStr"/>
      <c r="J869" t="inlineStr"/>
      <c r="K869" t="inlineStr"/>
      <c r="L869" t="inlineStr"/>
      <c r="M869" t="inlineStr"/>
      <c r="N869" t="inlineStr">
        <is>
          <t>no</t>
        </is>
      </c>
      <c r="O869" t="inlineStr">
        <is>
          <t>none</t>
        </is>
      </c>
      <c r="P869">
        <f>HYPERLINK("https://knru.ru/catalog/g-murino-vorontsovskij-b-r-d-21-k-3/","ссылка")</f>
        <v/>
      </c>
      <c r="Q869" t="inlineStr"/>
      <c r="R869" t="inlineStr">
        <is>
          <t>Нет у нас</t>
        </is>
      </c>
      <c r="S869" t="n">
        <v>0</v>
      </c>
      <c r="T869" t="inlineStr">
        <is>
          <t>Совпадений по улице+дому не найдено</t>
        </is>
      </c>
      <c r="U869" t="n">
        <v>1145</v>
      </c>
      <c r="V869" t="n">
        <v>48</v>
      </c>
      <c r="W869" t="n">
        <v>17</v>
      </c>
      <c r="X869" t="n">
        <v>29952000</v>
      </c>
      <c r="Y869" t="inlineStr"/>
      <c r="Z869" t="inlineStr"/>
      <c r="AA869" t="inlineStr">
        <is>
          <t>https://knru.ru/catalog/g-murino-vorontsovskij-b-r-d-21-k-3/</t>
        </is>
      </c>
      <c r="AB869" t="inlineStr">
        <is>
          <t>C</t>
        </is>
      </c>
    </row>
    <row r="870">
      <c r="A870" t="n">
        <v>1146</v>
      </c>
      <c r="B870" t="n">
        <v>48</v>
      </c>
      <c r="C870" t="n">
        <v>18</v>
      </c>
      <c r="D870" t="n">
        <v>560474</v>
      </c>
      <c r="E870" t="inlineStr"/>
      <c r="F870" t="inlineStr">
        <is>
          <t>Строителей пр-кт, 16</t>
        </is>
      </c>
      <c r="G870" t="n">
        <v>284.9</v>
      </c>
      <c r="H870" t="inlineStr">
        <is>
          <t>45 012 620</t>
        </is>
      </c>
      <c r="I870" t="inlineStr"/>
      <c r="J870" t="inlineStr"/>
      <c r="K870" t="inlineStr"/>
      <c r="L870" t="inlineStr"/>
      <c r="M870" t="inlineStr"/>
      <c r="N870" t="inlineStr">
        <is>
          <t>no</t>
        </is>
      </c>
      <c r="O870" t="inlineStr">
        <is>
          <t>none</t>
        </is>
      </c>
      <c r="P870">
        <f>HYPERLINK("https://knru.ru/catalog/kudrovo-pr-stroitelej-d-16-560474/","ссылка")</f>
        <v/>
      </c>
      <c r="Q870" t="inlineStr"/>
      <c r="R870" t="inlineStr">
        <is>
          <t>Нет у нас</t>
        </is>
      </c>
      <c r="S870" t="n">
        <v>0</v>
      </c>
      <c r="T870" t="inlineStr">
        <is>
          <t>Совпадений по улице+дому не найдено</t>
        </is>
      </c>
      <c r="U870" t="n">
        <v>1146</v>
      </c>
      <c r="V870" t="n">
        <v>48</v>
      </c>
      <c r="W870" t="n">
        <v>18</v>
      </c>
      <c r="X870" t="n">
        <v>45012620</v>
      </c>
      <c r="Y870" t="inlineStr"/>
      <c r="Z870" t="inlineStr"/>
      <c r="AA870" t="inlineStr">
        <is>
          <t>https://knru.ru/catalog/kudrovo-pr-stroitelej-d-16-560474/</t>
        </is>
      </c>
      <c r="AB870" t="inlineStr">
        <is>
          <t>C</t>
        </is>
      </c>
    </row>
    <row r="871">
      <c r="A871" t="n">
        <v>1147</v>
      </c>
      <c r="B871" t="n">
        <v>48</v>
      </c>
      <c r="C871" t="n">
        <v>19</v>
      </c>
      <c r="D871" t="n">
        <v>560421</v>
      </c>
      <c r="E871" t="inlineStr">
        <is>
          <t>Василеостровский</t>
        </is>
      </c>
      <c r="F871" t="inlineStr">
        <is>
          <t>Кожевенная линия, к.6</t>
        </is>
      </c>
      <c r="G871" t="n">
        <v>144.8</v>
      </c>
      <c r="H871" t="inlineStr">
        <is>
          <t>37 650 600</t>
        </is>
      </c>
      <c r="I871" t="inlineStr"/>
      <c r="J871" t="inlineStr"/>
      <c r="K871" t="inlineStr"/>
      <c r="L871" t="inlineStr"/>
      <c r="M871" t="inlineStr"/>
      <c r="N871" t="inlineStr">
        <is>
          <t>no</t>
        </is>
      </c>
      <c r="O871" t="inlineStr">
        <is>
          <t>none</t>
        </is>
      </c>
      <c r="P871">
        <f>HYPERLINK("https://knru.ru/catalog/kozhevennaya-liniya-k-5-560421/","ссылка")</f>
        <v/>
      </c>
      <c r="Q871" t="inlineStr"/>
      <c r="R871" t="inlineStr">
        <is>
          <t>Нет у нас</t>
        </is>
      </c>
      <c r="S871" t="n">
        <v>0</v>
      </c>
      <c r="T871" t="inlineStr">
        <is>
          <t>Совпадений по улице+дому не найдено</t>
        </is>
      </c>
      <c r="U871" t="n">
        <v>1147</v>
      </c>
      <c r="V871" t="n">
        <v>48</v>
      </c>
      <c r="W871" t="n">
        <v>19</v>
      </c>
      <c r="X871" t="n">
        <v>37650600</v>
      </c>
      <c r="Y871" t="inlineStr"/>
      <c r="Z871" t="inlineStr"/>
      <c r="AA871" t="inlineStr">
        <is>
          <t>https://knru.ru/catalog/kozhevennaya-liniya-k-5-560421/</t>
        </is>
      </c>
      <c r="AB871" t="inlineStr">
        <is>
          <t>C</t>
        </is>
      </c>
    </row>
    <row r="872">
      <c r="A872" t="n">
        <v>1148</v>
      </c>
      <c r="B872" t="n">
        <v>48</v>
      </c>
      <c r="C872" t="n">
        <v>20</v>
      </c>
      <c r="D872" t="n">
        <v>560420</v>
      </c>
      <c r="E872" t="inlineStr">
        <is>
          <t>Василеостровский</t>
        </is>
      </c>
      <c r="F872" t="inlineStr">
        <is>
          <t>Кожевенная линия, к.6</t>
        </is>
      </c>
      <c r="G872" t="n">
        <v>96.5</v>
      </c>
      <c r="H872" t="inlineStr">
        <is>
          <t>35 693 900</t>
        </is>
      </c>
      <c r="I872" t="inlineStr"/>
      <c r="J872" t="inlineStr"/>
      <c r="K872" t="inlineStr"/>
      <c r="L872" t="inlineStr"/>
      <c r="M872" t="inlineStr"/>
      <c r="N872" t="inlineStr">
        <is>
          <t>no</t>
        </is>
      </c>
      <c r="O872" t="inlineStr">
        <is>
          <t>none</t>
        </is>
      </c>
      <c r="P872">
        <f>HYPERLINK("https://knru.ru/catalog/kozhevennaya-liniya-k-5-560420/","ссылка")</f>
        <v/>
      </c>
      <c r="Q872" t="inlineStr"/>
      <c r="R872" t="inlineStr">
        <is>
          <t>Нет у нас</t>
        </is>
      </c>
      <c r="S872" t="n">
        <v>0</v>
      </c>
      <c r="T872" t="inlineStr">
        <is>
          <t>Совпадений по улице+дому не найдено</t>
        </is>
      </c>
      <c r="U872" t="n">
        <v>1148</v>
      </c>
      <c r="V872" t="n">
        <v>48</v>
      </c>
      <c r="W872" t="n">
        <v>20</v>
      </c>
      <c r="X872" t="n">
        <v>35693900</v>
      </c>
      <c r="Y872" t="inlineStr"/>
      <c r="Z872" t="inlineStr"/>
      <c r="AA872" t="inlineStr">
        <is>
          <t>https://knru.ru/catalog/kozhevennaya-liniya-k-5-560420/</t>
        </is>
      </c>
      <c r="AB872" t="inlineStr">
        <is>
          <t>C</t>
        </is>
      </c>
    </row>
    <row r="873">
      <c r="A873" t="n">
        <v>1149</v>
      </c>
      <c r="B873" t="n">
        <v>48</v>
      </c>
      <c r="C873" t="n">
        <v>21</v>
      </c>
      <c r="D873" t="n">
        <v>5</v>
      </c>
      <c r="E873" t="inlineStr">
        <is>
          <t>Василеостровский</t>
        </is>
      </c>
      <c r="F873" t="inlineStr">
        <is>
          <t>Кожевенная линия, к.6</t>
        </is>
      </c>
      <c r="G873" t="n">
        <v>86.5</v>
      </c>
      <c r="H873" t="inlineStr">
        <is>
          <t>23 352 300</t>
        </is>
      </c>
      <c r="I873" t="inlineStr"/>
      <c r="J873" t="inlineStr"/>
      <c r="K873" t="inlineStr"/>
      <c r="L873" t="inlineStr"/>
      <c r="M873" t="inlineStr"/>
      <c r="N873" t="inlineStr">
        <is>
          <t>no</t>
        </is>
      </c>
      <c r="O873" t="inlineStr">
        <is>
          <t>none</t>
        </is>
      </c>
      <c r="P873">
        <f>HYPERLINK("https://knru.ru/catalog/kozhevennaya-liniya-k-5/","ссылка")</f>
        <v/>
      </c>
      <c r="Q873" t="inlineStr"/>
      <c r="R873" t="inlineStr">
        <is>
          <t>Нет у нас</t>
        </is>
      </c>
      <c r="S873" t="n">
        <v>0</v>
      </c>
      <c r="T873" t="inlineStr">
        <is>
          <t>Совпадений по улице+дому не найдено</t>
        </is>
      </c>
      <c r="U873" t="n">
        <v>1149</v>
      </c>
      <c r="V873" t="n">
        <v>48</v>
      </c>
      <c r="W873" t="n">
        <v>21</v>
      </c>
      <c r="X873" t="n">
        <v>23352300</v>
      </c>
      <c r="Y873" t="inlineStr"/>
      <c r="Z873" t="inlineStr"/>
      <c r="AA873" t="inlineStr">
        <is>
          <t>https://knru.ru/catalog/kozhevennaya-liniya-k-5/</t>
        </is>
      </c>
      <c r="AB873" t="inlineStr">
        <is>
          <t>C</t>
        </is>
      </c>
    </row>
    <row r="874">
      <c r="A874" t="n">
        <v>1150</v>
      </c>
      <c r="B874" t="n">
        <v>48</v>
      </c>
      <c r="C874" t="n">
        <v>22</v>
      </c>
      <c r="D874" t="n">
        <v>560417</v>
      </c>
      <c r="E874" t="inlineStr">
        <is>
          <t>Василеостровский</t>
        </is>
      </c>
      <c r="F874" t="inlineStr">
        <is>
          <t>Кожевенная линия, к.6</t>
        </is>
      </c>
      <c r="G874" t="n">
        <v>77.8</v>
      </c>
      <c r="H874" t="inlineStr">
        <is>
          <t>25 687 200</t>
        </is>
      </c>
      <c r="I874" t="inlineStr"/>
      <c r="J874" t="inlineStr"/>
      <c r="K874" t="inlineStr"/>
      <c r="L874" t="inlineStr"/>
      <c r="M874" t="inlineStr"/>
      <c r="N874" t="inlineStr">
        <is>
          <t>no</t>
        </is>
      </c>
      <c r="O874" t="inlineStr">
        <is>
          <t>none</t>
        </is>
      </c>
      <c r="P874">
        <f>HYPERLINK("https://knru.ru/catalog/kozhevennaya-liniya-k-6-560417/","ссылка")</f>
        <v/>
      </c>
      <c r="Q874" t="inlineStr"/>
      <c r="R874" t="inlineStr">
        <is>
          <t>Нет у нас</t>
        </is>
      </c>
      <c r="S874" t="n">
        <v>0</v>
      </c>
      <c r="T874" t="inlineStr">
        <is>
          <t>Совпадений по улице+дому не найдено</t>
        </is>
      </c>
      <c r="U874" t="n">
        <v>1150</v>
      </c>
      <c r="V874" t="n">
        <v>48</v>
      </c>
      <c r="W874" t="n">
        <v>22</v>
      </c>
      <c r="X874" t="n">
        <v>25687200</v>
      </c>
      <c r="Y874" t="inlineStr"/>
      <c r="Z874" t="inlineStr"/>
      <c r="AA874" t="inlineStr">
        <is>
          <t>https://knru.ru/catalog/kozhevennaya-liniya-k-6-560417/</t>
        </is>
      </c>
      <c r="AB874" t="inlineStr">
        <is>
          <t>C</t>
        </is>
      </c>
    </row>
    <row r="875">
      <c r="A875" t="n">
        <v>1151</v>
      </c>
      <c r="B875" t="n">
        <v>48</v>
      </c>
      <c r="C875" t="n">
        <v>23</v>
      </c>
      <c r="D875" t="n">
        <v>6</v>
      </c>
      <c r="E875" t="inlineStr">
        <is>
          <t>Василеостровский</t>
        </is>
      </c>
      <c r="F875" t="inlineStr">
        <is>
          <t>Кожевенная линия, к.6</t>
        </is>
      </c>
      <c r="G875" t="n">
        <v>42.5</v>
      </c>
      <c r="H875" t="inlineStr">
        <is>
          <t>15 292 800</t>
        </is>
      </c>
      <c r="I875" t="inlineStr"/>
      <c r="J875" t="inlineStr"/>
      <c r="K875" t="inlineStr"/>
      <c r="L875" t="inlineStr"/>
      <c r="M875" t="inlineStr"/>
      <c r="N875" t="inlineStr">
        <is>
          <t>no</t>
        </is>
      </c>
      <c r="O875" t="inlineStr">
        <is>
          <t>none</t>
        </is>
      </c>
      <c r="P875">
        <f>HYPERLINK("https://knru.ru/catalog/kozhevennaya-liniya-k-6/","ссылка")</f>
        <v/>
      </c>
      <c r="Q875" t="inlineStr"/>
      <c r="R875" t="inlineStr">
        <is>
          <t>Нет у нас</t>
        </is>
      </c>
      <c r="S875" t="n">
        <v>0</v>
      </c>
      <c r="T875" t="inlineStr">
        <is>
          <t>Совпадений по улице+дому не найдено</t>
        </is>
      </c>
      <c r="U875" t="n">
        <v>1151</v>
      </c>
      <c r="V875" t="n">
        <v>48</v>
      </c>
      <c r="W875" t="n">
        <v>23</v>
      </c>
      <c r="X875" t="n">
        <v>15292800</v>
      </c>
      <c r="Y875" t="inlineStr"/>
      <c r="Z875" t="inlineStr"/>
      <c r="AA875" t="inlineStr">
        <is>
          <t>https://knru.ru/catalog/kozhevennaya-liniya-k-6/</t>
        </is>
      </c>
      <c r="AB875" t="inlineStr">
        <is>
          <t>C</t>
        </is>
      </c>
    </row>
    <row r="876">
      <c r="A876" t="n">
        <v>1152</v>
      </c>
      <c r="B876" t="n">
        <v>48</v>
      </c>
      <c r="C876" t="n">
        <v>24</v>
      </c>
      <c r="D876" t="n">
        <v>1</v>
      </c>
      <c r="E876" t="inlineStr">
        <is>
          <t>Выборгский</t>
        </is>
      </c>
      <c r="F876" t="inlineStr">
        <is>
          <t>Светлановский пр-кт, 14к1стр1</t>
        </is>
      </c>
      <c r="G876" t="n">
        <v>282</v>
      </c>
      <c r="H876" t="inlineStr">
        <is>
          <t>58 421 610</t>
        </is>
      </c>
      <c r="I876" t="inlineStr"/>
      <c r="J876" t="inlineStr"/>
      <c r="K876" t="inlineStr"/>
      <c r="L876" t="inlineStr"/>
      <c r="M876" t="inlineStr"/>
      <c r="N876" t="inlineStr">
        <is>
          <t>no</t>
        </is>
      </c>
      <c r="O876" t="inlineStr">
        <is>
          <t>none</t>
        </is>
      </c>
      <c r="P876">
        <f>HYPERLINK("https://knru.ru/catalog/svetlanovskij-pr-d-14-k-1/","ссылка")</f>
        <v/>
      </c>
      <c r="Q876" t="inlineStr"/>
      <c r="R876" t="inlineStr">
        <is>
          <t>Нет у нас</t>
        </is>
      </c>
      <c r="S876" t="n">
        <v>0</v>
      </c>
      <c r="T876" t="inlineStr">
        <is>
          <t>Совпадений по улице+дому не найдено</t>
        </is>
      </c>
      <c r="U876" t="n">
        <v>1152</v>
      </c>
      <c r="V876" t="n">
        <v>48</v>
      </c>
      <c r="W876" t="n">
        <v>24</v>
      </c>
      <c r="X876" t="n">
        <v>58421610</v>
      </c>
      <c r="Y876" t="inlineStr"/>
      <c r="Z876" t="inlineStr"/>
      <c r="AA876" t="inlineStr">
        <is>
          <t>https://knru.ru/catalog/svetlanovskij-pr-d-14-k-1/</t>
        </is>
      </c>
      <c r="AB876" t="inlineStr">
        <is>
          <t>C</t>
        </is>
      </c>
    </row>
    <row r="877">
      <c r="A877" t="n">
        <v>1153</v>
      </c>
      <c r="B877" t="n">
        <v>49</v>
      </c>
      <c r="C877" t="n">
        <v>1</v>
      </c>
      <c r="D877" t="n">
        <v>560320</v>
      </c>
      <c r="E877" t="inlineStr"/>
      <c r="F877" t="inlineStr">
        <is>
          <t>ул Питерская, 2.1</t>
        </is>
      </c>
      <c r="G877" t="n">
        <v>60.7</v>
      </c>
      <c r="H877" t="inlineStr">
        <is>
          <t>14 600 000</t>
        </is>
      </c>
      <c r="I877" t="inlineStr"/>
      <c r="J877" t="inlineStr"/>
      <c r="K877" t="inlineStr"/>
      <c r="L877" t="inlineStr"/>
      <c r="M877" t="inlineStr"/>
      <c r="N877" t="inlineStr">
        <is>
          <t>no</t>
        </is>
      </c>
      <c r="O877" t="inlineStr">
        <is>
          <t>none</t>
        </is>
      </c>
      <c r="P877">
        <f>HYPERLINK("https://knru.ru/catalog/novosele-piterskij-pr-560320/","ссылка")</f>
        <v/>
      </c>
      <c r="Q877" t="inlineStr"/>
      <c r="R877" t="inlineStr">
        <is>
          <t>Нет у нас</t>
        </is>
      </c>
      <c r="S877" t="n">
        <v>0</v>
      </c>
      <c r="T877" t="inlineStr">
        <is>
          <t>Совпадений по улице+дому не найдено</t>
        </is>
      </c>
      <c r="U877" t="n">
        <v>1153</v>
      </c>
      <c r="V877" t="n">
        <v>49</v>
      </c>
      <c r="W877" t="n">
        <v>1</v>
      </c>
      <c r="X877" t="n">
        <v>14600000</v>
      </c>
      <c r="Y877" t="inlineStr"/>
      <c r="Z877" t="inlineStr"/>
      <c r="AA877" t="inlineStr">
        <is>
          <t>https://knru.ru/catalog/novosele-piterskij-pr-560320/</t>
        </is>
      </c>
      <c r="AB877" t="inlineStr">
        <is>
          <t>C</t>
        </is>
      </c>
    </row>
    <row r="878">
      <c r="A878" t="n">
        <v>1154</v>
      </c>
      <c r="B878" t="n">
        <v>49</v>
      </c>
      <c r="C878" t="n">
        <v>2</v>
      </c>
      <c r="D878" t="n">
        <v>1</v>
      </c>
      <c r="E878" t="inlineStr">
        <is>
          <t>Приморский</t>
        </is>
      </c>
      <c r="F878" t="inlineStr">
        <is>
          <t>Планерная ул, 87к1стр1</t>
        </is>
      </c>
      <c r="G878" t="n">
        <v>52.9</v>
      </c>
      <c r="H878" t="inlineStr">
        <is>
          <t>16 082 212</t>
        </is>
      </c>
      <c r="I878" t="inlineStr"/>
      <c r="J878" t="inlineStr"/>
      <c r="K878" t="inlineStr"/>
      <c r="L878" t="inlineStr"/>
      <c r="M878" t="inlineStr"/>
      <c r="N878" t="inlineStr">
        <is>
          <t>no</t>
        </is>
      </c>
      <c r="O878" t="inlineStr">
        <is>
          <t>none</t>
        </is>
      </c>
      <c r="P878">
        <f>HYPERLINK("https://knru.ru/catalog/planernaya-ul-d-87-k-1/","ссылка")</f>
        <v/>
      </c>
      <c r="Q878" t="inlineStr"/>
      <c r="R878" t="inlineStr">
        <is>
          <t>Нет у нас</t>
        </is>
      </c>
      <c r="S878" t="n">
        <v>0</v>
      </c>
      <c r="T878" t="inlineStr">
        <is>
          <t>Совпадений по улице+дому не найдено</t>
        </is>
      </c>
      <c r="U878" t="n">
        <v>1154</v>
      </c>
      <c r="V878" t="n">
        <v>49</v>
      </c>
      <c r="W878" t="n">
        <v>2</v>
      </c>
      <c r="X878" t="n">
        <v>16082212</v>
      </c>
      <c r="Y878" t="inlineStr"/>
      <c r="Z878" t="inlineStr"/>
      <c r="AA878" t="inlineStr">
        <is>
          <t>https://knru.ru/catalog/planernaya-ul-d-87-k-1/</t>
        </is>
      </c>
      <c r="AB878" t="inlineStr">
        <is>
          <t>C</t>
        </is>
      </c>
    </row>
    <row r="879">
      <c r="A879" t="n">
        <v>1155</v>
      </c>
      <c r="B879" t="n">
        <v>49</v>
      </c>
      <c r="C879" t="n">
        <v>3</v>
      </c>
      <c r="D879" t="n">
        <v>560318</v>
      </c>
      <c r="E879" t="inlineStr"/>
      <c r="F879" t="inlineStr">
        <is>
          <t>Солнечная ул, 2</t>
        </is>
      </c>
      <c r="G879" t="n">
        <v>52.8</v>
      </c>
      <c r="H879" t="inlineStr">
        <is>
          <t>15 719 204</t>
        </is>
      </c>
      <c r="I879" t="inlineStr"/>
      <c r="J879" t="inlineStr"/>
      <c r="K879" t="inlineStr"/>
      <c r="L879" t="inlineStr"/>
      <c r="M879" t="inlineStr"/>
      <c r="N879" t="inlineStr">
        <is>
          <t>no</t>
        </is>
      </c>
      <c r="O879" t="inlineStr">
        <is>
          <t>none</t>
        </is>
      </c>
      <c r="P879">
        <f>HYPERLINK("https://knru.ru/catalog/kudrovo-solnechnaya-ul-d-2-560318/","ссылка")</f>
        <v/>
      </c>
      <c r="Q879" t="inlineStr"/>
      <c r="R879" t="inlineStr">
        <is>
          <t>Нет у нас</t>
        </is>
      </c>
      <c r="S879" t="n">
        <v>0</v>
      </c>
      <c r="T879" t="inlineStr">
        <is>
          <t>Совпадений по улице+дому не найдено</t>
        </is>
      </c>
      <c r="U879" t="n">
        <v>1155</v>
      </c>
      <c r="V879" t="n">
        <v>49</v>
      </c>
      <c r="W879" t="n">
        <v>3</v>
      </c>
      <c r="X879" t="n">
        <v>15719204</v>
      </c>
      <c r="Y879" t="inlineStr"/>
      <c r="Z879" t="inlineStr"/>
      <c r="AA879" t="inlineStr">
        <is>
          <t>https://knru.ru/catalog/kudrovo-solnechnaya-ul-d-2-560318/</t>
        </is>
      </c>
      <c r="AB879" t="inlineStr">
        <is>
          <t>C</t>
        </is>
      </c>
    </row>
    <row r="880">
      <c r="A880" t="n">
        <v>1156</v>
      </c>
      <c r="B880" t="n">
        <v>49</v>
      </c>
      <c r="C880" t="n">
        <v>4</v>
      </c>
      <c r="D880" t="n">
        <v>2</v>
      </c>
      <c r="E880" t="inlineStr"/>
      <c r="F880" t="inlineStr">
        <is>
          <t>Солнечная ул, 2</t>
        </is>
      </c>
      <c r="G880" t="n">
        <v>40.9</v>
      </c>
      <c r="H880" t="inlineStr">
        <is>
          <t>12 912 970</t>
        </is>
      </c>
      <c r="I880" t="inlineStr"/>
      <c r="J880" t="inlineStr"/>
      <c r="K880" t="inlineStr"/>
      <c r="L880" t="inlineStr"/>
      <c r="M880" t="inlineStr"/>
      <c r="N880" t="inlineStr">
        <is>
          <t>no</t>
        </is>
      </c>
      <c r="O880" t="inlineStr">
        <is>
          <t>none</t>
        </is>
      </c>
      <c r="P880">
        <f>HYPERLINK("https://knru.ru/catalog/kudrovo-solnechnaya-ul-d-2/","ссылка")</f>
        <v/>
      </c>
      <c r="Q880" t="inlineStr"/>
      <c r="R880" t="inlineStr">
        <is>
          <t>Нет у нас</t>
        </is>
      </c>
      <c r="S880" t="n">
        <v>0</v>
      </c>
      <c r="T880" t="inlineStr">
        <is>
          <t>Совпадений по улице+дому не найдено</t>
        </is>
      </c>
      <c r="U880" t="n">
        <v>1156</v>
      </c>
      <c r="V880" t="n">
        <v>49</v>
      </c>
      <c r="W880" t="n">
        <v>4</v>
      </c>
      <c r="X880" t="n">
        <v>12912970</v>
      </c>
      <c r="Y880" t="inlineStr"/>
      <c r="Z880" t="inlineStr"/>
      <c r="AA880" t="inlineStr">
        <is>
          <t>https://knru.ru/catalog/kudrovo-solnechnaya-ul-d-2/</t>
        </is>
      </c>
      <c r="AB880" t="inlineStr">
        <is>
          <t>C</t>
        </is>
      </c>
    </row>
    <row r="881">
      <c r="A881" t="n">
        <v>1157</v>
      </c>
      <c r="B881" t="n">
        <v>49</v>
      </c>
      <c r="C881" t="n">
        <v>5</v>
      </c>
      <c r="D881" t="n">
        <v>28</v>
      </c>
      <c r="E881" t="inlineStr">
        <is>
          <t>Невский</t>
        </is>
      </c>
      <c r="F881" t="inlineStr">
        <is>
          <t>Русановская ул, 28</t>
        </is>
      </c>
      <c r="G881" t="n">
        <v>95.59999999999999</v>
      </c>
      <c r="H881" t="inlineStr">
        <is>
          <t>15 523 600</t>
        </is>
      </c>
      <c r="I881" t="inlineStr"/>
      <c r="J881" t="inlineStr"/>
      <c r="K881" t="inlineStr"/>
      <c r="L881" t="inlineStr"/>
      <c r="M881" t="inlineStr"/>
      <c r="N881" t="inlineStr">
        <is>
          <t>no</t>
        </is>
      </c>
      <c r="O881" t="inlineStr">
        <is>
          <t>none</t>
        </is>
      </c>
      <c r="P881">
        <f>HYPERLINK("https://knru.ru/catalog/ul-rusanovskaya-d-28/","ссылка")</f>
        <v/>
      </c>
      <c r="Q881" t="inlineStr"/>
      <c r="R881" t="inlineStr">
        <is>
          <t>Нет у нас</t>
        </is>
      </c>
      <c r="S881" t="n">
        <v>0</v>
      </c>
      <c r="T881" t="inlineStr">
        <is>
          <t>Совпадений по улице+дому не найдено</t>
        </is>
      </c>
      <c r="U881" t="n">
        <v>1157</v>
      </c>
      <c r="V881" t="n">
        <v>49</v>
      </c>
      <c r="W881" t="n">
        <v>5</v>
      </c>
      <c r="X881" t="n">
        <v>15523600</v>
      </c>
      <c r="Y881" t="inlineStr"/>
      <c r="Z881" t="inlineStr"/>
      <c r="AA881" t="inlineStr">
        <is>
          <t>https://knru.ru/catalog/ul-rusanovskaya-d-28/</t>
        </is>
      </c>
      <c r="AB881" t="inlineStr">
        <is>
          <t>C</t>
        </is>
      </c>
    </row>
    <row r="882">
      <c r="A882" t="n">
        <v>1158</v>
      </c>
      <c r="B882" t="n">
        <v>49</v>
      </c>
      <c r="C882" t="n">
        <v>6</v>
      </c>
      <c r="D882" t="n">
        <v>560234</v>
      </c>
      <c r="E882" t="inlineStr"/>
      <c r="F882" t="inlineStr">
        <is>
          <t>Голландская ул, к 8</t>
        </is>
      </c>
      <c r="G882" t="n">
        <v>82.90000000000001</v>
      </c>
      <c r="H882" t="inlineStr">
        <is>
          <t>14 485 676</t>
        </is>
      </c>
      <c r="I882" t="inlineStr"/>
      <c r="J882" t="inlineStr"/>
      <c r="K882" t="inlineStr"/>
      <c r="L882" t="inlineStr"/>
      <c r="M882" t="inlineStr"/>
      <c r="N882" t="inlineStr">
        <is>
          <t>no</t>
        </is>
      </c>
      <c r="O882" t="inlineStr">
        <is>
          <t>none</t>
        </is>
      </c>
      <c r="P882">
        <f>HYPERLINK("https://knru.ru/catalog/p-yanino-ul-gollandskaya-k-8-560234/","ссылка")</f>
        <v/>
      </c>
      <c r="Q882" t="inlineStr"/>
      <c r="R882" t="inlineStr">
        <is>
          <t>Нет у нас</t>
        </is>
      </c>
      <c r="S882" t="n">
        <v>0</v>
      </c>
      <c r="T882" t="inlineStr">
        <is>
          <t>Совпадений по улице+дому не найдено</t>
        </is>
      </c>
      <c r="U882" t="n">
        <v>1158</v>
      </c>
      <c r="V882" t="n">
        <v>49</v>
      </c>
      <c r="W882" t="n">
        <v>6</v>
      </c>
      <c r="X882" t="n">
        <v>14485676</v>
      </c>
      <c r="Y882" t="inlineStr"/>
      <c r="Z882" t="inlineStr"/>
      <c r="AA882" t="inlineStr">
        <is>
          <t>https://knru.ru/catalog/p-yanino-ul-gollandskaya-k-8-560234/</t>
        </is>
      </c>
      <c r="AB882" t="inlineStr">
        <is>
          <t>C</t>
        </is>
      </c>
    </row>
    <row r="883">
      <c r="A883" t="n">
        <v>1159</v>
      </c>
      <c r="B883" t="n">
        <v>49</v>
      </c>
      <c r="C883" t="n">
        <v>7</v>
      </c>
      <c r="D883" t="n">
        <v>8</v>
      </c>
      <c r="E883" t="inlineStr"/>
      <c r="F883" t="inlineStr">
        <is>
          <t>Голландская ул, к 8</t>
        </is>
      </c>
      <c r="G883" t="n">
        <v>100.5</v>
      </c>
      <c r="H883" t="inlineStr">
        <is>
          <t>15 710 380</t>
        </is>
      </c>
      <c r="I883" t="inlineStr"/>
      <c r="J883" t="inlineStr"/>
      <c r="K883" t="inlineStr"/>
      <c r="L883" t="inlineStr"/>
      <c r="M883" t="inlineStr"/>
      <c r="N883" t="inlineStr">
        <is>
          <t>no</t>
        </is>
      </c>
      <c r="O883" t="inlineStr">
        <is>
          <t>none</t>
        </is>
      </c>
      <c r="P883">
        <f>HYPERLINK("https://knru.ru/catalog/p-yanino-ul-gollandskaya-k-8/","ссылка")</f>
        <v/>
      </c>
      <c r="Q883" t="inlineStr"/>
      <c r="R883" t="inlineStr">
        <is>
          <t>Нет у нас</t>
        </is>
      </c>
      <c r="S883" t="n">
        <v>0</v>
      </c>
      <c r="T883" t="inlineStr">
        <is>
          <t>Совпадений по улице+дому не найдено</t>
        </is>
      </c>
      <c r="U883" t="n">
        <v>1159</v>
      </c>
      <c r="V883" t="n">
        <v>49</v>
      </c>
      <c r="W883" t="n">
        <v>7</v>
      </c>
      <c r="X883" t="n">
        <v>15710380</v>
      </c>
      <c r="Y883" t="inlineStr"/>
      <c r="Z883" t="inlineStr"/>
      <c r="AA883" t="inlineStr">
        <is>
          <t>https://knru.ru/catalog/p-yanino-ul-gollandskaya-k-8/</t>
        </is>
      </c>
      <c r="AB883" t="inlineStr">
        <is>
          <t>C</t>
        </is>
      </c>
    </row>
    <row r="884">
      <c r="A884" t="n">
        <v>1160</v>
      </c>
      <c r="B884" t="n">
        <v>49</v>
      </c>
      <c r="C884" t="n">
        <v>8</v>
      </c>
      <c r="D884" t="n">
        <v>15</v>
      </c>
      <c r="E884" t="inlineStr"/>
      <c r="F884" t="inlineStr">
        <is>
          <t>Голландская ул, к 15</t>
        </is>
      </c>
      <c r="G884" t="n">
        <v>401.3</v>
      </c>
      <c r="H884" t="inlineStr">
        <is>
          <t>127 021 171</t>
        </is>
      </c>
      <c r="I884" t="inlineStr"/>
      <c r="J884" t="inlineStr"/>
      <c r="K884" t="inlineStr"/>
      <c r="L884" t="inlineStr"/>
      <c r="M884" t="inlineStr"/>
      <c r="N884" t="inlineStr">
        <is>
          <t>no</t>
        </is>
      </c>
      <c r="O884" t="inlineStr">
        <is>
          <t>none</t>
        </is>
      </c>
      <c r="P884">
        <f>HYPERLINK("https://knru.ru/catalog/p-yanino-ul-gollandskaya-k-15/","ссылка")</f>
        <v/>
      </c>
      <c r="Q884" t="inlineStr"/>
      <c r="R884" t="inlineStr">
        <is>
          <t>Нет у нас</t>
        </is>
      </c>
      <c r="S884" t="n">
        <v>0</v>
      </c>
      <c r="T884" t="inlineStr">
        <is>
          <t>Совпадений по улице+дому не найдено</t>
        </is>
      </c>
      <c r="U884" t="n">
        <v>1160</v>
      </c>
      <c r="V884" t="n">
        <v>49</v>
      </c>
      <c r="W884" t="n">
        <v>8</v>
      </c>
      <c r="X884" t="n">
        <v>127021171</v>
      </c>
      <c r="Y884" t="inlineStr"/>
      <c r="Z884" t="inlineStr"/>
      <c r="AA884" t="inlineStr">
        <is>
          <t>https://knru.ru/catalog/p-yanino-ul-gollandskaya-k-15/</t>
        </is>
      </c>
      <c r="AB884" t="inlineStr">
        <is>
          <t>C</t>
        </is>
      </c>
    </row>
    <row r="885">
      <c r="A885" t="n">
        <v>1162</v>
      </c>
      <c r="B885" t="n">
        <v>49</v>
      </c>
      <c r="C885" t="n">
        <v>10</v>
      </c>
      <c r="D885" t="n">
        <v>3</v>
      </c>
      <c r="E885" t="inlineStr"/>
      <c r="F885" t="inlineStr">
        <is>
          <t>Тихая ул, 7к5</t>
        </is>
      </c>
      <c r="G885" t="n">
        <v>74.7</v>
      </c>
      <c r="H885" t="inlineStr">
        <is>
          <t>29 065 800</t>
        </is>
      </c>
      <c r="I885" t="inlineStr"/>
      <c r="J885" t="inlineStr"/>
      <c r="K885" t="inlineStr"/>
      <c r="L885" t="inlineStr"/>
      <c r="M885" t="inlineStr"/>
      <c r="N885" t="inlineStr">
        <is>
          <t>no</t>
        </is>
      </c>
      <c r="O885" t="inlineStr">
        <is>
          <t>none</t>
        </is>
      </c>
      <c r="P885">
        <f>HYPERLINK("https://knru.ru/catalog/p-bugry-ul-tixaya-d-7-k-3/","ссылка")</f>
        <v/>
      </c>
      <c r="Q885" t="inlineStr"/>
      <c r="R885" t="inlineStr">
        <is>
          <t>Нет у нас</t>
        </is>
      </c>
      <c r="S885" t="n">
        <v>0</v>
      </c>
      <c r="T885" t="inlineStr">
        <is>
          <t>Совпадений по улице+дому не найдено</t>
        </is>
      </c>
      <c r="U885" t="n">
        <v>1162</v>
      </c>
      <c r="V885" t="n">
        <v>49</v>
      </c>
      <c r="W885" t="n">
        <v>10</v>
      </c>
      <c r="X885" t="n">
        <v>29065800</v>
      </c>
      <c r="Y885" t="inlineStr"/>
      <c r="Z885" t="inlineStr"/>
      <c r="AA885" t="inlineStr">
        <is>
          <t>https://knru.ru/catalog/p-bugry-ul-tixaya-d-7-k-3/</t>
        </is>
      </c>
      <c r="AB885" t="inlineStr">
        <is>
          <t>C</t>
        </is>
      </c>
    </row>
    <row r="886">
      <c r="A886" t="n">
        <v>1163</v>
      </c>
      <c r="B886" t="n">
        <v>49</v>
      </c>
      <c r="C886" t="n">
        <v>11</v>
      </c>
      <c r="D886" t="n">
        <v>5</v>
      </c>
      <c r="E886" t="inlineStr"/>
      <c r="F886" t="inlineStr">
        <is>
          <t>Тихая ул, 7к5</t>
        </is>
      </c>
      <c r="G886" t="n">
        <v>20.3</v>
      </c>
      <c r="H886" t="inlineStr">
        <is>
          <t>9 450 000</t>
        </is>
      </c>
      <c r="I886" t="inlineStr"/>
      <c r="J886" t="inlineStr"/>
      <c r="K886" t="inlineStr"/>
      <c r="L886" t="inlineStr"/>
      <c r="M886" t="inlineStr"/>
      <c r="N886" t="inlineStr">
        <is>
          <t>no</t>
        </is>
      </c>
      <c r="O886" t="inlineStr">
        <is>
          <t>none</t>
        </is>
      </c>
      <c r="P886">
        <f>HYPERLINK("https://knru.ru/catalog/p-bugry-ul-tixaya-d-7-k-5/","ссылка")</f>
        <v/>
      </c>
      <c r="Q886" t="inlineStr"/>
      <c r="R886" t="inlineStr">
        <is>
          <t>Нет у нас</t>
        </is>
      </c>
      <c r="S886" t="n">
        <v>0</v>
      </c>
      <c r="T886" t="inlineStr">
        <is>
          <t>Совпадений по улице+дому не найдено</t>
        </is>
      </c>
      <c r="U886" t="n">
        <v>1163</v>
      </c>
      <c r="V886" t="n">
        <v>49</v>
      </c>
      <c r="W886" t="n">
        <v>11</v>
      </c>
      <c r="X886" t="n">
        <v>9450000</v>
      </c>
      <c r="Y886" t="inlineStr"/>
      <c r="Z886" t="inlineStr"/>
      <c r="AA886" t="inlineStr">
        <is>
          <t>https://knru.ru/catalog/p-bugry-ul-tixaya-d-7-k-5/</t>
        </is>
      </c>
      <c r="AB886" t="inlineStr">
        <is>
          <t>C</t>
        </is>
      </c>
    </row>
    <row r="887">
      <c r="A887" t="n">
        <v>1164</v>
      </c>
      <c r="B887" t="n">
        <v>49</v>
      </c>
      <c r="C887" t="n">
        <v>12</v>
      </c>
      <c r="D887" t="n">
        <v>560130</v>
      </c>
      <c r="E887" t="inlineStr">
        <is>
          <t>Приморский</t>
        </is>
      </c>
      <c r="F887" t="inlineStr">
        <is>
          <t>Лисичанская ул, 15</t>
        </is>
      </c>
      <c r="G887" t="n">
        <v>123.8</v>
      </c>
      <c r="H887" t="inlineStr">
        <is>
          <t>44 300 066</t>
        </is>
      </c>
      <c r="I887" t="inlineStr"/>
      <c r="J887" t="inlineStr"/>
      <c r="K887" t="inlineStr"/>
      <c r="L887" t="inlineStr"/>
      <c r="M887" t="inlineStr"/>
      <c r="N887" t="inlineStr">
        <is>
          <t>no</t>
        </is>
      </c>
      <c r="O887" t="inlineStr">
        <is>
          <t>none</t>
        </is>
      </c>
      <c r="P887">
        <f>HYPERLINK("https://knru.ru/catalog/ul-beloostrovskaya-d-28-k-2-lisichanskaya-d-15-560130/","ссылка")</f>
        <v/>
      </c>
      <c r="Q887" t="inlineStr"/>
      <c r="R887" t="inlineStr">
        <is>
          <t>Нет у нас</t>
        </is>
      </c>
      <c r="S887" t="n">
        <v>0</v>
      </c>
      <c r="T887" t="inlineStr">
        <is>
          <t>Совпадений по улице+дому не найдено</t>
        </is>
      </c>
      <c r="U887" t="n">
        <v>1164</v>
      </c>
      <c r="V887" t="n">
        <v>49</v>
      </c>
      <c r="W887" t="n">
        <v>12</v>
      </c>
      <c r="X887" t="n">
        <v>44300066</v>
      </c>
      <c r="Y887" t="inlineStr"/>
      <c r="Z887" t="inlineStr"/>
      <c r="AA887" t="inlineStr">
        <is>
          <t>https://knru.ru/catalog/ul-beloostrovskaya-d-28-k-2-lisichanskaya-d-15-560130/</t>
        </is>
      </c>
      <c r="AB887" t="inlineStr">
        <is>
          <t>C</t>
        </is>
      </c>
    </row>
    <row r="888">
      <c r="A888" t="n">
        <v>1165</v>
      </c>
      <c r="B888" t="n">
        <v>49</v>
      </c>
      <c r="C888" t="n">
        <v>13</v>
      </c>
      <c r="D888" t="n">
        <v>15</v>
      </c>
      <c r="E888" t="inlineStr">
        <is>
          <t>Приморский</t>
        </is>
      </c>
      <c r="F888" t="inlineStr">
        <is>
          <t>Лисичанская ул, 15</t>
        </is>
      </c>
      <c r="G888" t="n">
        <v>47.5</v>
      </c>
      <c r="H888" t="inlineStr">
        <is>
          <t>16 997 198</t>
        </is>
      </c>
      <c r="I888" t="inlineStr"/>
      <c r="J888" t="inlineStr"/>
      <c r="K888" t="inlineStr"/>
      <c r="L888" t="inlineStr"/>
      <c r="M888" t="inlineStr"/>
      <c r="N888" t="inlineStr">
        <is>
          <t>no</t>
        </is>
      </c>
      <c r="O888" t="inlineStr">
        <is>
          <t>none</t>
        </is>
      </c>
      <c r="P888">
        <f>HYPERLINK("https://knru.ru/catalog/ul-beloostrovskaya-d-28-k-2-lisichanskaya-d-15/","ссылка")</f>
        <v/>
      </c>
      <c r="Q888" t="inlineStr"/>
      <c r="R888" t="inlineStr">
        <is>
          <t>Нет у нас</t>
        </is>
      </c>
      <c r="S888" t="n">
        <v>0</v>
      </c>
      <c r="T888" t="inlineStr">
        <is>
          <t>Совпадений по улице+дому не найдено</t>
        </is>
      </c>
      <c r="U888" t="n">
        <v>1165</v>
      </c>
      <c r="V888" t="n">
        <v>49</v>
      </c>
      <c r="W888" t="n">
        <v>13</v>
      </c>
      <c r="X888" t="n">
        <v>16997198</v>
      </c>
      <c r="Y888" t="inlineStr"/>
      <c r="Z888" t="inlineStr"/>
      <c r="AA888" t="inlineStr">
        <is>
          <t>https://knru.ru/catalog/ul-beloostrovskaya-d-28-k-2-lisichanskaya-d-15/</t>
        </is>
      </c>
      <c r="AB888" t="inlineStr">
        <is>
          <t>C</t>
        </is>
      </c>
    </row>
    <row r="889">
      <c r="A889" t="n">
        <v>1166</v>
      </c>
      <c r="B889" t="n">
        <v>49</v>
      </c>
      <c r="C889" t="n">
        <v>14</v>
      </c>
      <c r="D889" t="n">
        <v>3</v>
      </c>
      <c r="E889" t="inlineStr">
        <is>
          <t>Приморский</t>
        </is>
      </c>
      <c r="F889" t="inlineStr">
        <is>
          <t>Вазаский пер, 3стр1</t>
        </is>
      </c>
      <c r="G889" t="n">
        <v>105.6</v>
      </c>
      <c r="H889" t="inlineStr">
        <is>
          <t>41 247 360</t>
        </is>
      </c>
      <c r="I889" t="inlineStr"/>
      <c r="J889" t="inlineStr"/>
      <c r="K889" t="inlineStr"/>
      <c r="L889" t="inlineStr"/>
      <c r="M889" t="inlineStr"/>
      <c r="N889" t="inlineStr">
        <is>
          <t>no</t>
        </is>
      </c>
      <c r="O889" t="inlineStr">
        <is>
          <t>none</t>
        </is>
      </c>
      <c r="P889">
        <f>HYPERLINK("https://knru.ru/catalog/vazaskij-per-d-3/","ссылка")</f>
        <v/>
      </c>
      <c r="Q889" t="inlineStr"/>
      <c r="R889" t="inlineStr">
        <is>
          <t>Нет у нас</t>
        </is>
      </c>
      <c r="S889" t="n">
        <v>0</v>
      </c>
      <c r="T889" t="inlineStr">
        <is>
          <t>Совпадений по улице+дому не найдено</t>
        </is>
      </c>
      <c r="U889" t="n">
        <v>1166</v>
      </c>
      <c r="V889" t="n">
        <v>49</v>
      </c>
      <c r="W889" t="n">
        <v>14</v>
      </c>
      <c r="X889" t="n">
        <v>41247360</v>
      </c>
      <c r="Y889" t="inlineStr"/>
      <c r="Z889" t="inlineStr"/>
      <c r="AA889" t="inlineStr">
        <is>
          <t>https://knru.ru/catalog/vazaskij-per-d-3/</t>
        </is>
      </c>
      <c r="AB889" t="inlineStr">
        <is>
          <t>C</t>
        </is>
      </c>
    </row>
    <row r="890">
      <c r="A890" t="n">
        <v>1167</v>
      </c>
      <c r="B890" t="n">
        <v>49</v>
      </c>
      <c r="C890" t="n">
        <v>15</v>
      </c>
      <c r="D890" t="n">
        <v>3</v>
      </c>
      <c r="E890" t="inlineStr"/>
      <c r="F890" t="inlineStr">
        <is>
          <t>Пражская, 3</t>
        </is>
      </c>
      <c r="G890" t="n">
        <v>121.6</v>
      </c>
      <c r="H890" t="inlineStr">
        <is>
          <t>20 224 512</t>
        </is>
      </c>
      <c r="I890" t="inlineStr"/>
      <c r="J890" t="inlineStr"/>
      <c r="K890" t="inlineStr"/>
      <c r="L890" t="inlineStr"/>
      <c r="M890" t="inlineStr"/>
      <c r="N890" t="inlineStr">
        <is>
          <t>no</t>
        </is>
      </c>
      <c r="O890" t="inlineStr">
        <is>
          <t>none</t>
        </is>
      </c>
      <c r="P890">
        <f>HYPERLINK("https://knru.ru/catalog/zhk-kudrovskij-park-ul-prazhskaya-d-3/","ссылка")</f>
        <v/>
      </c>
      <c r="Q890" t="inlineStr"/>
      <c r="R890" t="inlineStr">
        <is>
          <t>Нет у нас</t>
        </is>
      </c>
      <c r="S890" t="n">
        <v>0</v>
      </c>
      <c r="T890" t="inlineStr">
        <is>
          <t>Совпадений по улице+дому не найдено</t>
        </is>
      </c>
      <c r="U890" t="n">
        <v>1167</v>
      </c>
      <c r="V890" t="n">
        <v>49</v>
      </c>
      <c r="W890" t="n">
        <v>15</v>
      </c>
      <c r="X890" t="n">
        <v>20224512</v>
      </c>
      <c r="Y890" t="inlineStr"/>
      <c r="Z890" t="inlineStr"/>
      <c r="AA890" t="inlineStr">
        <is>
          <t>https://knru.ru/catalog/zhk-kudrovskij-park-ul-prazhskaya-d-3/</t>
        </is>
      </c>
      <c r="AB890" t="inlineStr">
        <is>
          <t>C</t>
        </is>
      </c>
    </row>
    <row r="891">
      <c r="A891" t="n">
        <v>1168</v>
      </c>
      <c r="B891" t="n">
        <v>49</v>
      </c>
      <c r="C891" t="n">
        <v>16</v>
      </c>
      <c r="D891" t="n">
        <v>560065</v>
      </c>
      <c r="E891" t="inlineStr">
        <is>
          <t>Выборгский</t>
        </is>
      </c>
      <c r="F891" t="inlineStr">
        <is>
          <t>Курчатова ул, 14 А</t>
        </is>
      </c>
      <c r="G891" t="n">
        <v>83</v>
      </c>
      <c r="H891" t="inlineStr">
        <is>
          <t>41 475 000</t>
        </is>
      </c>
      <c r="I891" t="inlineStr"/>
      <c r="J891" t="inlineStr"/>
      <c r="K891" t="inlineStr"/>
      <c r="L891" t="inlineStr"/>
      <c r="M891" t="inlineStr"/>
      <c r="N891" t="inlineStr">
        <is>
          <t>no</t>
        </is>
      </c>
      <c r="O891" t="inlineStr">
        <is>
          <t>none</t>
        </is>
      </c>
      <c r="P891">
        <f>HYPERLINK("https://knru.ru/catalog/ul-kurchatova-d-14a-560065/","ссылка")</f>
        <v/>
      </c>
      <c r="Q891" t="inlineStr"/>
      <c r="R891" t="inlineStr">
        <is>
          <t>Нет у нас</t>
        </is>
      </c>
      <c r="S891" t="n">
        <v>0</v>
      </c>
      <c r="T891" t="inlineStr">
        <is>
          <t>Совпадений по улице+дому не найдено</t>
        </is>
      </c>
      <c r="U891" t="n">
        <v>1168</v>
      </c>
      <c r="V891" t="n">
        <v>49</v>
      </c>
      <c r="W891" t="n">
        <v>16</v>
      </c>
      <c r="X891" t="n">
        <v>41475000</v>
      </c>
      <c r="Y891" t="inlineStr"/>
      <c r="Z891" t="inlineStr"/>
      <c r="AA891" t="inlineStr">
        <is>
          <t>https://knru.ru/catalog/ul-kurchatova-d-14a-560065/</t>
        </is>
      </c>
      <c r="AB891" t="inlineStr">
        <is>
          <t>C</t>
        </is>
      </c>
    </row>
    <row r="892">
      <c r="A892" t="n">
        <v>1174</v>
      </c>
      <c r="B892" t="n">
        <v>49</v>
      </c>
      <c r="C892" t="n">
        <v>22</v>
      </c>
      <c r="D892" t="n">
        <v>559364</v>
      </c>
      <c r="E892" t="inlineStr"/>
      <c r="F892" t="inlineStr">
        <is>
          <t>Колтушское ш, 1.1</t>
        </is>
      </c>
      <c r="G892" t="n">
        <v>67.7</v>
      </c>
      <c r="H892" t="inlineStr">
        <is>
          <t>11 153 182</t>
        </is>
      </c>
      <c r="I892" t="inlineStr"/>
      <c r="J892" t="inlineStr"/>
      <c r="K892" t="inlineStr"/>
      <c r="L892" t="inlineStr"/>
      <c r="M892" t="inlineStr"/>
      <c r="N892" t="inlineStr">
        <is>
          <t>no</t>
        </is>
      </c>
      <c r="O892" t="inlineStr">
        <is>
          <t>none</t>
        </is>
      </c>
      <c r="P892">
        <f>HYPERLINK("https://knru.ru/catalog/vsevolozhsk-mkrn-yuzhnyj-k1-1-559364/","ссылка")</f>
        <v/>
      </c>
      <c r="Q892" t="inlineStr"/>
      <c r="R892" t="inlineStr">
        <is>
          <t>Нет у нас</t>
        </is>
      </c>
      <c r="S892" t="n">
        <v>0</v>
      </c>
      <c r="T892" t="inlineStr">
        <is>
          <t>Совпадений по улице+дому не найдено</t>
        </is>
      </c>
      <c r="U892" t="n">
        <v>1174</v>
      </c>
      <c r="V892" t="n">
        <v>49</v>
      </c>
      <c r="W892" t="n">
        <v>22</v>
      </c>
      <c r="X892" t="n">
        <v>11153182</v>
      </c>
      <c r="Y892" t="inlineStr"/>
      <c r="Z892" t="inlineStr"/>
      <c r="AA892" t="inlineStr">
        <is>
          <t>https://knru.ru/catalog/vsevolozhsk-mkrn-yuzhnyj-k1-1-559364/</t>
        </is>
      </c>
      <c r="AB892" t="inlineStr">
        <is>
          <t>C</t>
        </is>
      </c>
    </row>
    <row r="893">
      <c r="A893" t="n">
        <v>1175</v>
      </c>
      <c r="B893" t="n">
        <v>49</v>
      </c>
      <c r="C893" t="n">
        <v>23</v>
      </c>
      <c r="D893" t="n">
        <v>559362</v>
      </c>
      <c r="E893" t="inlineStr"/>
      <c r="F893" t="inlineStr">
        <is>
          <t>Колтушское ш, 1.1</t>
        </is>
      </c>
      <c r="G893" t="n">
        <v>27.9</v>
      </c>
      <c r="H893" t="inlineStr">
        <is>
          <t>6 534 564</t>
        </is>
      </c>
      <c r="I893" t="inlineStr"/>
      <c r="J893" t="inlineStr"/>
      <c r="K893" t="inlineStr"/>
      <c r="L893" t="inlineStr"/>
      <c r="M893" t="inlineStr"/>
      <c r="N893" t="inlineStr">
        <is>
          <t>no</t>
        </is>
      </c>
      <c r="O893" t="inlineStr">
        <is>
          <t>none</t>
        </is>
      </c>
      <c r="P893">
        <f>HYPERLINK("https://knru.ru/catalog/vsevolozhsk-mkrn-yuzhnyj-k1-1-559362/","ссылка")</f>
        <v/>
      </c>
      <c r="Q893" t="inlineStr"/>
      <c r="R893" t="inlineStr">
        <is>
          <t>Нет у нас</t>
        </is>
      </c>
      <c r="S893" t="n">
        <v>0</v>
      </c>
      <c r="T893" t="inlineStr">
        <is>
          <t>Совпадений по улице+дому не найдено</t>
        </is>
      </c>
      <c r="U893" t="n">
        <v>1175</v>
      </c>
      <c r="V893" t="n">
        <v>49</v>
      </c>
      <c r="W893" t="n">
        <v>23</v>
      </c>
      <c r="X893" t="n">
        <v>6534564</v>
      </c>
      <c r="Y893" t="inlineStr"/>
      <c r="Z893" t="inlineStr"/>
      <c r="AA893" t="inlineStr">
        <is>
          <t>https://knru.ru/catalog/vsevolozhsk-mkrn-yuzhnyj-k1-1-559362/</t>
        </is>
      </c>
      <c r="AB893" t="inlineStr">
        <is>
          <t>C</t>
        </is>
      </c>
    </row>
    <row r="894">
      <c r="A894" t="n">
        <v>1176</v>
      </c>
      <c r="B894" t="n">
        <v>49</v>
      </c>
      <c r="C894" t="n">
        <v>24</v>
      </c>
      <c r="D894" t="n">
        <v>559361</v>
      </c>
      <c r="E894" t="inlineStr"/>
      <c r="F894" t="inlineStr">
        <is>
          <t>Колтушское ш, 1.1</t>
        </is>
      </c>
      <c r="G894" t="n">
        <v>65.8</v>
      </c>
      <c r="H894" t="inlineStr">
        <is>
          <t>13 764 644</t>
        </is>
      </c>
      <c r="I894" t="inlineStr"/>
      <c r="J894" t="inlineStr"/>
      <c r="K894" t="inlineStr"/>
      <c r="L894" t="inlineStr"/>
      <c r="M894" t="inlineStr"/>
      <c r="N894" t="inlineStr">
        <is>
          <t>no</t>
        </is>
      </c>
      <c r="O894" t="inlineStr">
        <is>
          <t>none</t>
        </is>
      </c>
      <c r="P894">
        <f>HYPERLINK("https://knru.ru/catalog/vsevolozhsk-mkrn-yuzhnyj-k1-1-559361/","ссылка")</f>
        <v/>
      </c>
      <c r="Q894" t="inlineStr"/>
      <c r="R894" t="inlineStr">
        <is>
          <t>Нет у нас</t>
        </is>
      </c>
      <c r="S894" t="n">
        <v>0</v>
      </c>
      <c r="T894" t="inlineStr">
        <is>
          <t>Совпадений по улице+дому не найдено</t>
        </is>
      </c>
      <c r="U894" t="n">
        <v>1176</v>
      </c>
      <c r="V894" t="n">
        <v>49</v>
      </c>
      <c r="W894" t="n">
        <v>24</v>
      </c>
      <c r="X894" t="n">
        <v>13764644</v>
      </c>
      <c r="Y894" t="inlineStr"/>
      <c r="Z894" t="inlineStr"/>
      <c r="AA894" t="inlineStr">
        <is>
          <t>https://knru.ru/catalog/vsevolozhsk-mkrn-yuzhnyj-k1-1-559361/</t>
        </is>
      </c>
      <c r="AB894" t="inlineStr">
        <is>
          <t>C</t>
        </is>
      </c>
    </row>
    <row r="895">
      <c r="A895" t="n">
        <v>1177</v>
      </c>
      <c r="B895" t="n">
        <v>50</v>
      </c>
      <c r="C895" t="n">
        <v>1</v>
      </c>
      <c r="D895" t="n">
        <v>559360</v>
      </c>
      <c r="E895" t="inlineStr"/>
      <c r="F895" t="inlineStr">
        <is>
          <t>Колтушское ш, 1.1</t>
        </is>
      </c>
      <c r="G895" t="n">
        <v>72.90000000000001</v>
      </c>
      <c r="H895" t="inlineStr">
        <is>
          <t>14 815 469</t>
        </is>
      </c>
      <c r="I895" t="inlineStr"/>
      <c r="J895" t="inlineStr"/>
      <c r="K895" t="inlineStr"/>
      <c r="L895" t="inlineStr"/>
      <c r="M895" t="inlineStr"/>
      <c r="N895" t="inlineStr">
        <is>
          <t>no</t>
        </is>
      </c>
      <c r="O895" t="inlineStr">
        <is>
          <t>none</t>
        </is>
      </c>
      <c r="P895">
        <f>HYPERLINK("https://knru.ru/catalog/vsevolozhsk-mkrn-yuzhnyj-k1-1-559360/","ссылка")</f>
        <v/>
      </c>
      <c r="Q895" t="inlineStr"/>
      <c r="R895" t="inlineStr">
        <is>
          <t>Нет у нас</t>
        </is>
      </c>
      <c r="S895" t="n">
        <v>0</v>
      </c>
      <c r="T895" t="inlineStr">
        <is>
          <t>Совпадений по улице+дому не найдено</t>
        </is>
      </c>
      <c r="U895" t="n">
        <v>1177</v>
      </c>
      <c r="V895" t="n">
        <v>50</v>
      </c>
      <c r="W895" t="n">
        <v>1</v>
      </c>
      <c r="X895" t="n">
        <v>14815469</v>
      </c>
      <c r="Y895" t="inlineStr"/>
      <c r="Z895" t="inlineStr"/>
      <c r="AA895" t="inlineStr">
        <is>
          <t>https://knru.ru/catalog/vsevolozhsk-mkrn-yuzhnyj-k1-1-559360/</t>
        </is>
      </c>
      <c r="AB895" t="inlineStr">
        <is>
          <t>C</t>
        </is>
      </c>
    </row>
    <row r="896">
      <c r="A896" t="n">
        <v>1178</v>
      </c>
      <c r="B896" t="n">
        <v>50</v>
      </c>
      <c r="C896" t="n">
        <v>2</v>
      </c>
      <c r="D896" t="n">
        <v>559359</v>
      </c>
      <c r="E896" t="inlineStr">
        <is>
          <t>Всеволожский</t>
        </is>
      </c>
      <c r="F896" t="inlineStr">
        <is>
          <t>Колтушское ш, 1.1</t>
        </is>
      </c>
      <c r="G896" t="n">
        <v>67.90000000000001</v>
      </c>
      <c r="H896" t="inlineStr">
        <is>
          <t>13 369 408</t>
        </is>
      </c>
      <c r="I896" t="inlineStr"/>
      <c r="J896" t="inlineStr"/>
      <c r="K896" t="inlineStr"/>
      <c r="L896" t="inlineStr"/>
      <c r="M896" t="inlineStr"/>
      <c r="N896" t="inlineStr">
        <is>
          <t>no</t>
        </is>
      </c>
      <c r="O896" t="inlineStr">
        <is>
          <t>none</t>
        </is>
      </c>
      <c r="P896">
        <f>HYPERLINK("https://knru.ru/catalog/vsevolozhsk-mkrn-yuzhnyj-k1-1-559359/","ссылка")</f>
        <v/>
      </c>
      <c r="Q896" t="inlineStr"/>
      <c r="R896" t="inlineStr">
        <is>
          <t>Нет у нас</t>
        </is>
      </c>
      <c r="S896" t="n">
        <v>0</v>
      </c>
      <c r="T896" t="inlineStr">
        <is>
          <t>Совпадений по улице+дому не найдено</t>
        </is>
      </c>
      <c r="U896" t="n">
        <v>1178</v>
      </c>
      <c r="V896" t="n">
        <v>50</v>
      </c>
      <c r="W896" t="n">
        <v>2</v>
      </c>
      <c r="X896" t="n">
        <v>13369408</v>
      </c>
      <c r="Y896" t="inlineStr"/>
      <c r="Z896" t="inlineStr"/>
      <c r="AA896" t="inlineStr">
        <is>
          <t>https://knru.ru/catalog/vsevolozhsk-mkrn-yuzhnyj-k1-1-559359/</t>
        </is>
      </c>
      <c r="AB896" t="inlineStr">
        <is>
          <t>C</t>
        </is>
      </c>
    </row>
    <row r="897">
      <c r="A897" t="n">
        <v>1179</v>
      </c>
      <c r="B897" t="n">
        <v>50</v>
      </c>
      <c r="C897" t="n">
        <v>3</v>
      </c>
      <c r="D897" t="n">
        <v>559355</v>
      </c>
      <c r="E897" t="inlineStr">
        <is>
          <t>Всеволожский</t>
        </is>
      </c>
      <c r="F897" t="inlineStr">
        <is>
          <t>Колтушское ш, 1.1</t>
        </is>
      </c>
      <c r="G897" t="n">
        <v>28</v>
      </c>
      <c r="H897" t="inlineStr">
        <is>
          <t>7 841 675</t>
        </is>
      </c>
      <c r="I897" t="inlineStr"/>
      <c r="J897" t="inlineStr"/>
      <c r="K897" t="inlineStr"/>
      <c r="L897" t="inlineStr"/>
      <c r="M897" t="inlineStr"/>
      <c r="N897" t="inlineStr">
        <is>
          <t>no</t>
        </is>
      </c>
      <c r="O897" t="inlineStr">
        <is>
          <t>none</t>
        </is>
      </c>
      <c r="P897">
        <f>HYPERLINK("https://knru.ru/catalog/vsevolozhsk-mkrn-yuzhnyj-k1-1-559355/","ссылка")</f>
        <v/>
      </c>
      <c r="Q897" t="inlineStr"/>
      <c r="R897" t="inlineStr">
        <is>
          <t>Нет у нас</t>
        </is>
      </c>
      <c r="S897" t="n">
        <v>0</v>
      </c>
      <c r="T897" t="inlineStr">
        <is>
          <t>Совпадений по улице+дому не найдено</t>
        </is>
      </c>
      <c r="U897" t="n">
        <v>1179</v>
      </c>
      <c r="V897" t="n">
        <v>50</v>
      </c>
      <c r="W897" t="n">
        <v>3</v>
      </c>
      <c r="X897" t="n">
        <v>7841675</v>
      </c>
      <c r="Y897" t="inlineStr"/>
      <c r="Z897" t="inlineStr"/>
      <c r="AA897" t="inlineStr">
        <is>
          <t>https://knru.ru/catalog/vsevolozhsk-mkrn-yuzhnyj-k1-1-559355/</t>
        </is>
      </c>
      <c r="AB897" t="inlineStr">
        <is>
          <t>C</t>
        </is>
      </c>
    </row>
    <row r="898">
      <c r="A898" t="n">
        <v>1180</v>
      </c>
      <c r="B898" t="n">
        <v>50</v>
      </c>
      <c r="C898" t="n">
        <v>4</v>
      </c>
      <c r="D898" t="n">
        <v>1</v>
      </c>
      <c r="E898" t="inlineStr"/>
      <c r="F898" t="inlineStr">
        <is>
          <t>Колтушское ш, 1.1</t>
        </is>
      </c>
      <c r="G898" t="n">
        <v>27.6</v>
      </c>
      <c r="H898" t="inlineStr">
        <is>
          <t>7 389 245</t>
        </is>
      </c>
      <c r="I898" t="inlineStr"/>
      <c r="J898" t="inlineStr"/>
      <c r="K898" t="inlineStr"/>
      <c r="L898" t="inlineStr"/>
      <c r="M898" t="inlineStr"/>
      <c r="N898" t="inlineStr">
        <is>
          <t>no</t>
        </is>
      </c>
      <c r="O898" t="inlineStr">
        <is>
          <t>none</t>
        </is>
      </c>
      <c r="P898">
        <f>HYPERLINK("https://knru.ru/catalog/vsevolozhsk-mkrn-yuzhnyj-k1-1/","ссылка")</f>
        <v/>
      </c>
      <c r="Q898" t="inlineStr"/>
      <c r="R898" t="inlineStr">
        <is>
          <t>Нет у нас</t>
        </is>
      </c>
      <c r="S898" t="n">
        <v>0</v>
      </c>
      <c r="T898" t="inlineStr">
        <is>
          <t>Совпадений по улице+дому не найдено</t>
        </is>
      </c>
      <c r="U898" t="n">
        <v>1180</v>
      </c>
      <c r="V898" t="n">
        <v>50</v>
      </c>
      <c r="W898" t="n">
        <v>4</v>
      </c>
      <c r="X898" t="n">
        <v>7389245</v>
      </c>
      <c r="Y898" t="inlineStr"/>
      <c r="Z898" t="inlineStr"/>
      <c r="AA898" t="inlineStr">
        <is>
          <t>https://knru.ru/catalog/vsevolozhsk-mkrn-yuzhnyj-k1-1/</t>
        </is>
      </c>
      <c r="AB898" t="inlineStr">
        <is>
          <t>C</t>
        </is>
      </c>
    </row>
    <row r="899">
      <c r="A899" t="n">
        <v>1184</v>
      </c>
      <c r="B899" t="n">
        <v>50</v>
      </c>
      <c r="C899" t="n">
        <v>8</v>
      </c>
      <c r="D899" t="n">
        <v>559191</v>
      </c>
      <c r="E899" t="inlineStr"/>
      <c r="F899" t="inlineStr">
        <is>
          <t>Невская ул, 7-4</t>
        </is>
      </c>
      <c r="G899" t="n">
        <v>149.1</v>
      </c>
      <c r="H899" t="inlineStr">
        <is>
          <t>23 857 600</t>
        </is>
      </c>
      <c r="I899" t="inlineStr"/>
      <c r="J899" t="inlineStr"/>
      <c r="K899" t="inlineStr"/>
      <c r="L899" t="inlineStr"/>
      <c r="M899" t="inlineStr"/>
      <c r="N899" t="inlineStr">
        <is>
          <t>no</t>
        </is>
      </c>
      <c r="O899" t="inlineStr">
        <is>
          <t>none</t>
        </is>
      </c>
      <c r="P899">
        <f>HYPERLINK("https://knru.ru/catalog/lo-novosele-zhk-quot-uyutnyj-novosele-quot-559191/","ссылка")</f>
        <v/>
      </c>
      <c r="Q899" t="inlineStr"/>
      <c r="R899" t="inlineStr">
        <is>
          <t>Нет у нас</t>
        </is>
      </c>
      <c r="S899" t="n">
        <v>0</v>
      </c>
      <c r="T899" t="inlineStr">
        <is>
          <t>Совпадений по улице+дому не найдено</t>
        </is>
      </c>
      <c r="U899" t="n">
        <v>1184</v>
      </c>
      <c r="V899" t="n">
        <v>50</v>
      </c>
      <c r="W899" t="n">
        <v>8</v>
      </c>
      <c r="X899" t="n">
        <v>23857600</v>
      </c>
      <c r="Y899" t="inlineStr"/>
      <c r="Z899" t="inlineStr"/>
      <c r="AA899" t="inlineStr">
        <is>
          <t>https://knru.ru/catalog/lo-novosele-zhk-quot-uyutnyj-novosele-quot-559191/</t>
        </is>
      </c>
      <c r="AB899" t="inlineStr">
        <is>
          <t>C</t>
        </is>
      </c>
    </row>
    <row r="900">
      <c r="A900" t="n">
        <v>1185</v>
      </c>
      <c r="B900" t="n">
        <v>50</v>
      </c>
      <c r="C900" t="n">
        <v>9</v>
      </c>
      <c r="D900" t="n">
        <v>2</v>
      </c>
      <c r="E900" t="inlineStr">
        <is>
          <t>Московский</t>
        </is>
      </c>
      <c r="F900" t="inlineStr">
        <is>
          <t>Заставская ул, 46к2стр1</t>
        </is>
      </c>
      <c r="G900" t="n">
        <v>93.2</v>
      </c>
      <c r="H900" t="inlineStr">
        <is>
          <t>25 000 000</t>
        </is>
      </c>
      <c r="I900" t="inlineStr"/>
      <c r="J900" t="inlineStr"/>
      <c r="K900" t="inlineStr"/>
      <c r="L900" t="inlineStr"/>
      <c r="M900" t="inlineStr"/>
      <c r="N900" t="inlineStr">
        <is>
          <t>no</t>
        </is>
      </c>
      <c r="O900" t="inlineStr">
        <is>
          <t>none</t>
        </is>
      </c>
      <c r="P900">
        <f>HYPERLINK("https://knru.ru/catalog/zastavskaya-ul-d-46-k-2/","ссылка")</f>
        <v/>
      </c>
      <c r="Q900" t="inlineStr"/>
      <c r="R900" t="inlineStr">
        <is>
          <t>Нет у нас</t>
        </is>
      </c>
      <c r="S900" t="n">
        <v>0</v>
      </c>
      <c r="T900" t="inlineStr">
        <is>
          <t>Совпадений по улице+дому не найдено</t>
        </is>
      </c>
      <c r="U900" t="n">
        <v>1185</v>
      </c>
      <c r="V900" t="n">
        <v>50</v>
      </c>
      <c r="W900" t="n">
        <v>9</v>
      </c>
      <c r="X900" t="n">
        <v>25000000</v>
      </c>
      <c r="Y900" t="inlineStr"/>
      <c r="Z900" t="inlineStr"/>
      <c r="AA900" t="inlineStr">
        <is>
          <t>https://knru.ru/catalog/zastavskaya-ul-d-46-k-2/</t>
        </is>
      </c>
      <c r="AB900" t="inlineStr">
        <is>
          <t>C</t>
        </is>
      </c>
    </row>
    <row r="901">
      <c r="A901" t="n">
        <v>1190</v>
      </c>
      <c r="B901" t="n">
        <v>50</v>
      </c>
      <c r="C901" t="n">
        <v>14</v>
      </c>
      <c r="D901" t="n">
        <v>111</v>
      </c>
      <c r="E901" t="inlineStr">
        <is>
          <t>Красногвардейский</t>
        </is>
      </c>
      <c r="F901" t="inlineStr">
        <is>
          <t>Северный пр-кт, 111стр1</t>
        </is>
      </c>
      <c r="G901" t="n">
        <v>54.2</v>
      </c>
      <c r="H901" t="inlineStr">
        <is>
          <t>13 008 000</t>
        </is>
      </c>
      <c r="I901" t="inlineStr"/>
      <c r="J901" t="inlineStr"/>
      <c r="K901" t="inlineStr"/>
      <c r="L901" t="inlineStr"/>
      <c r="M901" t="inlineStr"/>
      <c r="N901" t="inlineStr">
        <is>
          <t>no</t>
        </is>
      </c>
      <c r="O901" t="inlineStr">
        <is>
          <t>none</t>
        </is>
      </c>
      <c r="P901">
        <f>HYPERLINK("https://knru.ru/catalog/severnyj-pr-d-111/","ссылка")</f>
        <v/>
      </c>
      <c r="Q901" t="inlineStr"/>
      <c r="R901" t="inlineStr">
        <is>
          <t>Нет у нас</t>
        </is>
      </c>
      <c r="S901" t="n">
        <v>0</v>
      </c>
      <c r="T901" t="inlineStr">
        <is>
          <t>Совпадений по улице+дому не найдено</t>
        </is>
      </c>
      <c r="U901" t="n">
        <v>1190</v>
      </c>
      <c r="V901" t="n">
        <v>50</v>
      </c>
      <c r="W901" t="n">
        <v>14</v>
      </c>
      <c r="X901" t="n">
        <v>13008000</v>
      </c>
      <c r="Y901" t="inlineStr"/>
      <c r="Z901" t="inlineStr"/>
      <c r="AA901" t="inlineStr">
        <is>
          <t>https://knru.ru/catalog/severnyj-pr-d-111/</t>
        </is>
      </c>
      <c r="AB901" t="inlineStr">
        <is>
          <t>C</t>
        </is>
      </c>
    </row>
    <row r="902">
      <c r="A902" t="n">
        <v>1191</v>
      </c>
      <c r="B902" t="n">
        <v>50</v>
      </c>
      <c r="C902" t="n">
        <v>15</v>
      </c>
      <c r="D902" t="n">
        <v>558438</v>
      </c>
      <c r="E902" t="inlineStr">
        <is>
          <t>Выборгский</t>
        </is>
      </c>
      <c r="F902" t="inlineStr">
        <is>
          <t>Энгельса пр-кт, 27 АБ</t>
        </is>
      </c>
      <c r="G902" t="n">
        <v>58.2</v>
      </c>
      <c r="H902" t="inlineStr">
        <is>
          <t>37 222 400</t>
        </is>
      </c>
      <c r="I902" t="inlineStr"/>
      <c r="J902" t="inlineStr"/>
      <c r="K902" t="inlineStr"/>
      <c r="L902" t="inlineStr"/>
      <c r="M902" t="inlineStr"/>
      <c r="N902" t="inlineStr">
        <is>
          <t>no</t>
        </is>
      </c>
      <c r="O902" t="inlineStr">
        <is>
          <t>none</t>
        </is>
      </c>
      <c r="P902">
        <f>HYPERLINK("https://knru.ru/catalog/pr-engelsa-27-lit-ts-558438/","ссылка")</f>
        <v/>
      </c>
      <c r="Q902" t="inlineStr"/>
      <c r="R902" t="inlineStr">
        <is>
          <t>Нет у нас</t>
        </is>
      </c>
      <c r="S902" t="n">
        <v>0</v>
      </c>
      <c r="T902" t="inlineStr">
        <is>
          <t>Совпадений по улице+дому не найдено</t>
        </is>
      </c>
      <c r="U902" t="n">
        <v>1191</v>
      </c>
      <c r="V902" t="n">
        <v>50</v>
      </c>
      <c r="W902" t="n">
        <v>15</v>
      </c>
      <c r="X902" t="n">
        <v>37222400</v>
      </c>
      <c r="Y902" t="inlineStr"/>
      <c r="Z902" t="inlineStr"/>
      <c r="AA902" t="inlineStr">
        <is>
          <t>https://knru.ru/catalog/pr-engelsa-27-lit-ts-558438/</t>
        </is>
      </c>
      <c r="AB902" t="inlineStr">
        <is>
          <t>C</t>
        </is>
      </c>
    </row>
    <row r="903">
      <c r="A903" t="n">
        <v>1192</v>
      </c>
      <c r="B903" t="n">
        <v>50</v>
      </c>
      <c r="C903" t="n">
        <v>16</v>
      </c>
      <c r="D903" t="n">
        <v>558437</v>
      </c>
      <c r="E903" t="inlineStr">
        <is>
          <t>Выборгский</t>
        </is>
      </c>
      <c r="F903" t="inlineStr">
        <is>
          <t>Энгельса пр-кт, 27 АБ</t>
        </is>
      </c>
      <c r="G903" t="n">
        <v>47.9</v>
      </c>
      <c r="H903" t="inlineStr">
        <is>
          <t>30 700 800</t>
        </is>
      </c>
      <c r="I903" t="inlineStr"/>
      <c r="J903" t="inlineStr"/>
      <c r="K903" t="inlineStr"/>
      <c r="L903" t="inlineStr"/>
      <c r="M903" t="inlineStr"/>
      <c r="N903" t="inlineStr">
        <is>
          <t>no</t>
        </is>
      </c>
      <c r="O903" t="inlineStr">
        <is>
          <t>none</t>
        </is>
      </c>
      <c r="P903">
        <f>HYPERLINK("https://knru.ru/catalog/pr-engelsa-27-lit-ts-558437/","ссылка")</f>
        <v/>
      </c>
      <c r="Q903" t="inlineStr"/>
      <c r="R903" t="inlineStr">
        <is>
          <t>Нет у нас</t>
        </is>
      </c>
      <c r="S903" t="n">
        <v>0</v>
      </c>
      <c r="T903" t="inlineStr">
        <is>
          <t>Совпадений по улице+дому не найдено</t>
        </is>
      </c>
      <c r="U903" t="n">
        <v>1192</v>
      </c>
      <c r="V903" t="n">
        <v>50</v>
      </c>
      <c r="W903" t="n">
        <v>16</v>
      </c>
      <c r="X903" t="n">
        <v>30700800</v>
      </c>
      <c r="Y903" t="inlineStr"/>
      <c r="Z903" t="inlineStr"/>
      <c r="AA903" t="inlineStr">
        <is>
          <t>https://knru.ru/catalog/pr-engelsa-27-lit-ts-558437/</t>
        </is>
      </c>
      <c r="AB903" t="inlineStr">
        <is>
          <t>C</t>
        </is>
      </c>
    </row>
    <row r="904">
      <c r="A904" t="n">
        <v>1193</v>
      </c>
      <c r="B904" t="n">
        <v>50</v>
      </c>
      <c r="C904" t="n">
        <v>17</v>
      </c>
      <c r="D904" t="n">
        <v>558436</v>
      </c>
      <c r="E904" t="inlineStr">
        <is>
          <t>Выборгский</t>
        </is>
      </c>
      <c r="F904" t="inlineStr">
        <is>
          <t>Энгельса пр-кт, 27 АБ</t>
        </is>
      </c>
      <c r="G904" t="n">
        <v>42.7</v>
      </c>
      <c r="H904" t="inlineStr">
        <is>
          <t>27 554 400</t>
        </is>
      </c>
      <c r="I904" t="inlineStr"/>
      <c r="J904" t="inlineStr"/>
      <c r="K904" t="inlineStr"/>
      <c r="L904" t="inlineStr"/>
      <c r="M904" t="inlineStr"/>
      <c r="N904" t="inlineStr">
        <is>
          <t>no</t>
        </is>
      </c>
      <c r="O904" t="inlineStr">
        <is>
          <t>none</t>
        </is>
      </c>
      <c r="P904">
        <f>HYPERLINK("https://knru.ru/catalog/pr-engelsa-27-lit-ts-558436/","ссылка")</f>
        <v/>
      </c>
      <c r="Q904" t="inlineStr"/>
      <c r="R904" t="inlineStr">
        <is>
          <t>Нет у нас</t>
        </is>
      </c>
      <c r="S904" t="n">
        <v>0</v>
      </c>
      <c r="T904" t="inlineStr">
        <is>
          <t>Совпадений по улице+дому не найдено</t>
        </is>
      </c>
      <c r="U904" t="n">
        <v>1193</v>
      </c>
      <c r="V904" t="n">
        <v>50</v>
      </c>
      <c r="W904" t="n">
        <v>17</v>
      </c>
      <c r="X904" t="n">
        <v>27554400</v>
      </c>
      <c r="Y904" t="inlineStr"/>
      <c r="Z904" t="inlineStr"/>
      <c r="AA904" t="inlineStr">
        <is>
          <t>https://knru.ru/catalog/pr-engelsa-27-lit-ts-558436/</t>
        </is>
      </c>
      <c r="AB904" t="inlineStr">
        <is>
          <t>C</t>
        </is>
      </c>
    </row>
    <row r="905">
      <c r="A905" t="n">
        <v>1194</v>
      </c>
      <c r="B905" t="n">
        <v>50</v>
      </c>
      <c r="C905" t="n">
        <v>18</v>
      </c>
      <c r="D905" t="n">
        <v>558435</v>
      </c>
      <c r="E905" t="inlineStr">
        <is>
          <t>Выборгский</t>
        </is>
      </c>
      <c r="F905" t="inlineStr">
        <is>
          <t>Энгельса пр-кт, 27 АБ</t>
        </is>
      </c>
      <c r="G905" t="n">
        <v>52.8</v>
      </c>
      <c r="H905" t="inlineStr">
        <is>
          <t>33 792 000</t>
        </is>
      </c>
      <c r="I905" t="inlineStr"/>
      <c r="J905" t="inlineStr"/>
      <c r="K905" t="inlineStr"/>
      <c r="L905" t="inlineStr"/>
      <c r="M905" t="inlineStr"/>
      <c r="N905" t="inlineStr">
        <is>
          <t>no</t>
        </is>
      </c>
      <c r="O905" t="inlineStr">
        <is>
          <t>none</t>
        </is>
      </c>
      <c r="P905">
        <f>HYPERLINK("https://knru.ru/catalog/pr-engelsa-27-lit-ts-558435/","ссылка")</f>
        <v/>
      </c>
      <c r="Q905" t="inlineStr"/>
      <c r="R905" t="inlineStr">
        <is>
          <t>Нет у нас</t>
        </is>
      </c>
      <c r="S905" t="n">
        <v>0</v>
      </c>
      <c r="T905" t="inlineStr">
        <is>
          <t>Совпадений по улице+дому не найдено</t>
        </is>
      </c>
      <c r="U905" t="n">
        <v>1194</v>
      </c>
      <c r="V905" t="n">
        <v>50</v>
      </c>
      <c r="W905" t="n">
        <v>18</v>
      </c>
      <c r="X905" t="n">
        <v>33792000</v>
      </c>
      <c r="Y905" t="inlineStr"/>
      <c r="Z905" t="inlineStr"/>
      <c r="AA905" t="inlineStr">
        <is>
          <t>https://knru.ru/catalog/pr-engelsa-27-lit-ts-558435/</t>
        </is>
      </c>
      <c r="AB905" t="inlineStr">
        <is>
          <t>C</t>
        </is>
      </c>
    </row>
    <row r="906">
      <c r="A906" t="n">
        <v>1195</v>
      </c>
      <c r="B906" t="n">
        <v>50</v>
      </c>
      <c r="C906" t="n">
        <v>19</v>
      </c>
      <c r="D906" t="n">
        <v>558434</v>
      </c>
      <c r="E906" t="inlineStr">
        <is>
          <t>Выборгский</t>
        </is>
      </c>
      <c r="F906" t="inlineStr">
        <is>
          <t>Энгельса пр-кт, 27 АБ</t>
        </is>
      </c>
      <c r="G906" t="n">
        <v>135.4</v>
      </c>
      <c r="H906" t="inlineStr">
        <is>
          <t>81 228 000</t>
        </is>
      </c>
      <c r="I906" t="inlineStr"/>
      <c r="J906" t="inlineStr"/>
      <c r="K906" t="inlineStr"/>
      <c r="L906" t="inlineStr"/>
      <c r="M906" t="inlineStr"/>
      <c r="N906" t="inlineStr">
        <is>
          <t>no</t>
        </is>
      </c>
      <c r="O906" t="inlineStr">
        <is>
          <t>none</t>
        </is>
      </c>
      <c r="P906">
        <f>HYPERLINK("https://knru.ru/catalog/pr-engelsa-27-lit-ts-558434/","ссылка")</f>
        <v/>
      </c>
      <c r="Q906" t="inlineStr"/>
      <c r="R906" t="inlineStr">
        <is>
          <t>Нет у нас</t>
        </is>
      </c>
      <c r="S906" t="n">
        <v>0</v>
      </c>
      <c r="T906" t="inlineStr">
        <is>
          <t>Совпадений по улице+дому не найдено</t>
        </is>
      </c>
      <c r="U906" t="n">
        <v>1195</v>
      </c>
      <c r="V906" t="n">
        <v>50</v>
      </c>
      <c r="W906" t="n">
        <v>19</v>
      </c>
      <c r="X906" t="n">
        <v>81228000</v>
      </c>
      <c r="Y906" t="inlineStr"/>
      <c r="Z906" t="inlineStr"/>
      <c r="AA906" t="inlineStr">
        <is>
          <t>https://knru.ru/catalog/pr-engelsa-27-lit-ts-558434/</t>
        </is>
      </c>
      <c r="AB906" t="inlineStr">
        <is>
          <t>C</t>
        </is>
      </c>
    </row>
    <row r="907">
      <c r="A907" t="n">
        <v>1196</v>
      </c>
      <c r="B907" t="n">
        <v>50</v>
      </c>
      <c r="C907" t="n">
        <v>20</v>
      </c>
      <c r="D907" t="n">
        <v>558431</v>
      </c>
      <c r="E907" t="inlineStr">
        <is>
          <t>Выборгский</t>
        </is>
      </c>
      <c r="F907" t="inlineStr">
        <is>
          <t>Энгельса пр-кт, 27 АБ</t>
        </is>
      </c>
      <c r="G907" t="n">
        <v>185</v>
      </c>
      <c r="H907" t="inlineStr">
        <is>
          <t>72 153 900</t>
        </is>
      </c>
      <c r="I907" t="inlineStr"/>
      <c r="J907" t="inlineStr"/>
      <c r="K907" t="inlineStr"/>
      <c r="L907" t="inlineStr"/>
      <c r="M907" t="inlineStr"/>
      <c r="N907" t="inlineStr">
        <is>
          <t>no</t>
        </is>
      </c>
      <c r="O907" t="inlineStr">
        <is>
          <t>none</t>
        </is>
      </c>
      <c r="P907">
        <f>HYPERLINK("https://knru.ru/catalog/pr-engelsa-27-lit-ts-558431/","ссылка")</f>
        <v/>
      </c>
      <c r="Q907" t="inlineStr"/>
      <c r="R907" t="inlineStr">
        <is>
          <t>Нет у нас</t>
        </is>
      </c>
      <c r="S907" t="n">
        <v>0</v>
      </c>
      <c r="T907" t="inlineStr">
        <is>
          <t>Совпадений по улице+дому не найдено</t>
        </is>
      </c>
      <c r="U907" t="n">
        <v>1196</v>
      </c>
      <c r="V907" t="n">
        <v>50</v>
      </c>
      <c r="W907" t="n">
        <v>20</v>
      </c>
      <c r="X907" t="n">
        <v>72153900</v>
      </c>
      <c r="Y907" t="inlineStr"/>
      <c r="Z907" t="inlineStr"/>
      <c r="AA907" t="inlineStr">
        <is>
          <t>https://knru.ru/catalog/pr-engelsa-27-lit-ts-558431/</t>
        </is>
      </c>
      <c r="AB907" t="inlineStr">
        <is>
          <t>C</t>
        </is>
      </c>
    </row>
    <row r="908">
      <c r="A908" t="n">
        <v>1197</v>
      </c>
      <c r="B908" t="n">
        <v>50</v>
      </c>
      <c r="C908" t="n">
        <v>21</v>
      </c>
      <c r="D908" t="n">
        <v>558430</v>
      </c>
      <c r="E908" t="inlineStr">
        <is>
          <t>Выборгский</t>
        </is>
      </c>
      <c r="F908" t="inlineStr">
        <is>
          <t>Энгельса пр-кт, 27 АБ</t>
        </is>
      </c>
      <c r="G908" t="n">
        <v>57.2</v>
      </c>
      <c r="H908" t="inlineStr">
        <is>
          <t>21 149 200</t>
        </is>
      </c>
      <c r="I908" t="inlineStr"/>
      <c r="J908" t="inlineStr"/>
      <c r="K908" t="inlineStr"/>
      <c r="L908" t="inlineStr"/>
      <c r="M908" t="inlineStr"/>
      <c r="N908" t="inlineStr">
        <is>
          <t>no</t>
        </is>
      </c>
      <c r="O908" t="inlineStr">
        <is>
          <t>none</t>
        </is>
      </c>
      <c r="P908">
        <f>HYPERLINK("https://knru.ru/catalog/pr-engelsa-27-lit-ts-558430/","ссылка")</f>
        <v/>
      </c>
      <c r="Q908" t="inlineStr"/>
      <c r="R908" t="inlineStr">
        <is>
          <t>Нет у нас</t>
        </is>
      </c>
      <c r="S908" t="n">
        <v>0</v>
      </c>
      <c r="T908" t="inlineStr">
        <is>
          <t>Совпадений по улице+дому не найдено</t>
        </is>
      </c>
      <c r="U908" t="n">
        <v>1197</v>
      </c>
      <c r="V908" t="n">
        <v>50</v>
      </c>
      <c r="W908" t="n">
        <v>21</v>
      </c>
      <c r="X908" t="n">
        <v>21149200</v>
      </c>
      <c r="Y908" t="inlineStr"/>
      <c r="Z908" t="inlineStr"/>
      <c r="AA908" t="inlineStr">
        <is>
          <t>https://knru.ru/catalog/pr-engelsa-27-lit-ts-558430/</t>
        </is>
      </c>
      <c r="AB908" t="inlineStr">
        <is>
          <t>C</t>
        </is>
      </c>
    </row>
    <row r="909">
      <c r="A909" t="n">
        <v>1198</v>
      </c>
      <c r="B909" t="n">
        <v>50</v>
      </c>
      <c r="C909" t="n">
        <v>22</v>
      </c>
      <c r="D909" t="n">
        <v>558429</v>
      </c>
      <c r="E909" t="inlineStr">
        <is>
          <t>Выборгский</t>
        </is>
      </c>
      <c r="F909" t="inlineStr">
        <is>
          <t>Энгельса пр-кт, 27 АБ</t>
        </is>
      </c>
      <c r="G909" t="n">
        <v>77.40000000000001</v>
      </c>
      <c r="H909" t="inlineStr">
        <is>
          <t>32 491 200</t>
        </is>
      </c>
      <c r="I909" t="inlineStr"/>
      <c r="J909" t="inlineStr"/>
      <c r="K909" t="inlineStr"/>
      <c r="L909" t="inlineStr"/>
      <c r="M909" t="inlineStr"/>
      <c r="N909" t="inlineStr">
        <is>
          <t>no</t>
        </is>
      </c>
      <c r="O909" t="inlineStr">
        <is>
          <t>none</t>
        </is>
      </c>
      <c r="P909">
        <f>HYPERLINK("https://knru.ru/catalog/pr-engelsa-27-lit-ts-558429/","ссылка")</f>
        <v/>
      </c>
      <c r="Q909" t="inlineStr"/>
      <c r="R909" t="inlineStr">
        <is>
          <t>Нет у нас</t>
        </is>
      </c>
      <c r="S909" t="n">
        <v>0</v>
      </c>
      <c r="T909" t="inlineStr">
        <is>
          <t>Совпадений по улице+дому не найдено</t>
        </is>
      </c>
      <c r="U909" t="n">
        <v>1198</v>
      </c>
      <c r="V909" t="n">
        <v>50</v>
      </c>
      <c r="W909" t="n">
        <v>22</v>
      </c>
      <c r="X909" t="n">
        <v>32491200</v>
      </c>
      <c r="Y909" t="inlineStr"/>
      <c r="Z909" t="inlineStr"/>
      <c r="AA909" t="inlineStr">
        <is>
          <t>https://knru.ru/catalog/pr-engelsa-27-lit-ts-558429/</t>
        </is>
      </c>
      <c r="AB909" t="inlineStr">
        <is>
          <t>C</t>
        </is>
      </c>
    </row>
    <row r="910">
      <c r="A910" t="n">
        <v>1199</v>
      </c>
      <c r="B910" t="n">
        <v>50</v>
      </c>
      <c r="C910" t="n">
        <v>23</v>
      </c>
      <c r="D910" t="n">
        <v>558427</v>
      </c>
      <c r="E910" t="inlineStr">
        <is>
          <t>Выборгский</t>
        </is>
      </c>
      <c r="F910" t="inlineStr">
        <is>
          <t>Энгельса пр-кт, 27 АБ</t>
        </is>
      </c>
      <c r="G910" t="n">
        <v>151.4</v>
      </c>
      <c r="H910" t="inlineStr">
        <is>
          <t>93 868 000</t>
        </is>
      </c>
      <c r="I910" t="inlineStr"/>
      <c r="J910" t="inlineStr"/>
      <c r="K910" t="inlineStr"/>
      <c r="L910" t="inlineStr"/>
      <c r="M910" t="inlineStr"/>
      <c r="N910" t="inlineStr">
        <is>
          <t>no</t>
        </is>
      </c>
      <c r="O910" t="inlineStr">
        <is>
          <t>none</t>
        </is>
      </c>
      <c r="P910">
        <f>HYPERLINK("https://knru.ru/catalog/pr-engelsa-27-lit-ts-558427/","ссылка")</f>
        <v/>
      </c>
      <c r="Q910" t="inlineStr"/>
      <c r="R910" t="inlineStr">
        <is>
          <t>Нет у нас</t>
        </is>
      </c>
      <c r="S910" t="n">
        <v>0</v>
      </c>
      <c r="T910" t="inlineStr">
        <is>
          <t>Совпадений по улице+дому не найдено</t>
        </is>
      </c>
      <c r="U910" t="n">
        <v>1199</v>
      </c>
      <c r="V910" t="n">
        <v>50</v>
      </c>
      <c r="W910" t="n">
        <v>23</v>
      </c>
      <c r="X910" t="n">
        <v>93868000</v>
      </c>
      <c r="Y910" t="inlineStr"/>
      <c r="Z910" t="inlineStr"/>
      <c r="AA910" t="inlineStr">
        <is>
          <t>https://knru.ru/catalog/pr-engelsa-27-lit-ts-558427/</t>
        </is>
      </c>
      <c r="AB910" t="inlineStr">
        <is>
          <t>C</t>
        </is>
      </c>
    </row>
    <row r="911">
      <c r="A911" t="n">
        <v>1200</v>
      </c>
      <c r="B911" t="n">
        <v>50</v>
      </c>
      <c r="C911" t="n">
        <v>24</v>
      </c>
      <c r="D911" t="n">
        <v>558426</v>
      </c>
      <c r="E911" t="inlineStr">
        <is>
          <t>Выборгский</t>
        </is>
      </c>
      <c r="F911" t="inlineStr">
        <is>
          <t>Энгельса пр-кт, 27 АБ</t>
        </is>
      </c>
      <c r="G911" t="n">
        <v>154.4</v>
      </c>
      <c r="H911" t="inlineStr">
        <is>
          <t>84 898 000</t>
        </is>
      </c>
      <c r="I911" t="inlineStr"/>
      <c r="J911" t="inlineStr"/>
      <c r="K911" t="inlineStr"/>
      <c r="L911" t="inlineStr"/>
      <c r="M911" t="inlineStr"/>
      <c r="N911" t="inlineStr">
        <is>
          <t>no</t>
        </is>
      </c>
      <c r="O911" t="inlineStr">
        <is>
          <t>none</t>
        </is>
      </c>
      <c r="P911">
        <f>HYPERLINK("https://knru.ru/catalog/pr-engelsa-27-lit-ts-558426/","ссылка")</f>
        <v/>
      </c>
      <c r="Q911" t="inlineStr"/>
      <c r="R911" t="inlineStr">
        <is>
          <t>Нет у нас</t>
        </is>
      </c>
      <c r="S911" t="n">
        <v>0</v>
      </c>
      <c r="T911" t="inlineStr">
        <is>
          <t>Совпадений по улице+дому не найдено</t>
        </is>
      </c>
      <c r="U911" t="n">
        <v>1200</v>
      </c>
      <c r="V911" t="n">
        <v>50</v>
      </c>
      <c r="W911" t="n">
        <v>24</v>
      </c>
      <c r="X911" t="n">
        <v>84898000</v>
      </c>
      <c r="Y911" t="inlineStr"/>
      <c r="Z911" t="inlineStr"/>
      <c r="AA911" t="inlineStr">
        <is>
          <t>https://knru.ru/catalog/pr-engelsa-27-lit-ts-558426/</t>
        </is>
      </c>
      <c r="AB911" t="inlineStr">
        <is>
          <t>C</t>
        </is>
      </c>
    </row>
    <row r="912">
      <c r="A912" t="n">
        <v>1201</v>
      </c>
      <c r="B912" t="n">
        <v>51</v>
      </c>
      <c r="C912" t="n">
        <v>1</v>
      </c>
      <c r="D912" t="n">
        <v>558425</v>
      </c>
      <c r="E912" t="inlineStr">
        <is>
          <t>Выборгский</t>
        </is>
      </c>
      <c r="F912" t="inlineStr">
        <is>
          <t>Энгельса пр-кт, 27 АБ</t>
        </is>
      </c>
      <c r="G912" t="n">
        <v>160.5</v>
      </c>
      <c r="H912" t="inlineStr">
        <is>
          <t>99 534 800</t>
        </is>
      </c>
      <c r="I912" t="inlineStr"/>
      <c r="J912" t="inlineStr"/>
      <c r="K912" t="inlineStr"/>
      <c r="L912" t="inlineStr"/>
      <c r="M912" t="inlineStr"/>
      <c r="N912" t="inlineStr">
        <is>
          <t>no</t>
        </is>
      </c>
      <c r="O912" t="inlineStr">
        <is>
          <t>none</t>
        </is>
      </c>
      <c r="P912">
        <f>HYPERLINK("https://knru.ru/catalog/pr-engelsa-27-lit-ts-558425/","ссылка")</f>
        <v/>
      </c>
      <c r="Q912" t="inlineStr"/>
      <c r="R912" t="inlineStr">
        <is>
          <t>Нет у нас</t>
        </is>
      </c>
      <c r="S912" t="n">
        <v>0</v>
      </c>
      <c r="T912" t="inlineStr">
        <is>
          <t>Совпадений по улице+дому не найдено</t>
        </is>
      </c>
      <c r="U912" t="n">
        <v>1201</v>
      </c>
      <c r="V912" t="n">
        <v>51</v>
      </c>
      <c r="W912" t="n">
        <v>1</v>
      </c>
      <c r="X912" t="n">
        <v>99534800</v>
      </c>
      <c r="Y912" t="inlineStr"/>
      <c r="Z912" t="inlineStr"/>
      <c r="AA912" t="inlineStr">
        <is>
          <t>https://knru.ru/catalog/pr-engelsa-27-lit-ts-558425/</t>
        </is>
      </c>
      <c r="AB912" t="inlineStr">
        <is>
          <t>C</t>
        </is>
      </c>
    </row>
    <row r="913">
      <c r="A913" t="n">
        <v>1203</v>
      </c>
      <c r="B913" t="n">
        <v>51</v>
      </c>
      <c r="C913" t="n">
        <v>3</v>
      </c>
      <c r="D913" t="n">
        <v>557876</v>
      </c>
      <c r="E913" t="inlineStr">
        <is>
          <t>Василеостровский</t>
        </is>
      </c>
      <c r="F913" t="inlineStr">
        <is>
          <t>Челюскина ул, 4 с1</t>
        </is>
      </c>
      <c r="G913" t="n">
        <v>72.90000000000001</v>
      </c>
      <c r="H913" t="inlineStr">
        <is>
          <t>27 399 999</t>
        </is>
      </c>
      <c r="I913" t="inlineStr"/>
      <c r="J913" t="inlineStr"/>
      <c r="K913" t="inlineStr"/>
      <c r="L913" t="inlineStr"/>
      <c r="M913" t="inlineStr"/>
      <c r="N913" t="inlineStr">
        <is>
          <t>no</t>
        </is>
      </c>
      <c r="O913" t="inlineStr">
        <is>
          <t>none</t>
        </is>
      </c>
      <c r="P913">
        <f>HYPERLINK("https://knru.ru/catalog/nevskaya-guba-uch-5-557876/","ссылка")</f>
        <v/>
      </c>
      <c r="Q913" t="inlineStr"/>
      <c r="R913" t="inlineStr">
        <is>
          <t>Нет у нас</t>
        </is>
      </c>
      <c r="S913" t="n">
        <v>0</v>
      </c>
      <c r="T913" t="inlineStr">
        <is>
          <t>Совпадений по улице+дому не найдено</t>
        </is>
      </c>
      <c r="U913" t="n">
        <v>1203</v>
      </c>
      <c r="V913" t="n">
        <v>51</v>
      </c>
      <c r="W913" t="n">
        <v>3</v>
      </c>
      <c r="X913" t="n">
        <v>27399999</v>
      </c>
      <c r="Y913" t="inlineStr"/>
      <c r="Z913" t="inlineStr"/>
      <c r="AA913" t="inlineStr">
        <is>
          <t>https://knru.ru/catalog/nevskaya-guba-uch-5-557876/</t>
        </is>
      </c>
      <c r="AB913" t="inlineStr">
        <is>
          <t>C</t>
        </is>
      </c>
    </row>
    <row r="914">
      <c r="A914" t="n">
        <v>1204</v>
      </c>
      <c r="B914" t="n">
        <v>51</v>
      </c>
      <c r="C914" t="n">
        <v>4</v>
      </c>
      <c r="D914" t="n">
        <v>5</v>
      </c>
      <c r="E914" t="inlineStr">
        <is>
          <t>Василеостровский</t>
        </is>
      </c>
      <c r="F914" t="inlineStr">
        <is>
          <t>Челюскина ул, 4 с1</t>
        </is>
      </c>
      <c r="G914" t="n">
        <v>37.9</v>
      </c>
      <c r="H914" t="inlineStr">
        <is>
          <t>19 569 999</t>
        </is>
      </c>
      <c r="I914" t="inlineStr"/>
      <c r="J914" t="inlineStr"/>
      <c r="K914" t="inlineStr"/>
      <c r="L914" t="inlineStr"/>
      <c r="M914" t="inlineStr"/>
      <c r="N914" t="inlineStr">
        <is>
          <t>yes</t>
        </is>
      </c>
      <c r="O914" t="inlineStr">
        <is>
          <t>pixel_heuristic</t>
        </is>
      </c>
      <c r="P914">
        <f>HYPERLINK("https://knru.ru/catalog/nevskaya-guba-uch-5/","ссылка")</f>
        <v/>
      </c>
      <c r="Q914" t="inlineStr"/>
      <c r="R914" t="inlineStr">
        <is>
          <t>Нет у нас</t>
        </is>
      </c>
      <c r="S914" t="n">
        <v>0</v>
      </c>
      <c r="T914" t="inlineStr">
        <is>
          <t>Совпадений по улице+дому не найдено</t>
        </is>
      </c>
      <c r="U914" t="n">
        <v>1204</v>
      </c>
      <c r="V914" t="n">
        <v>51</v>
      </c>
      <c r="W914" t="n">
        <v>4</v>
      </c>
      <c r="X914" t="n">
        <v>19569999</v>
      </c>
      <c r="Y914" t="inlineStr"/>
      <c r="Z914" t="inlineStr"/>
      <c r="AA914" t="inlineStr">
        <is>
          <t>https://knru.ru/catalog/nevskaya-guba-uch-5/</t>
        </is>
      </c>
      <c r="AB914" t="inlineStr">
        <is>
          <t>C</t>
        </is>
      </c>
    </row>
    <row r="915">
      <c r="A915" t="n">
        <v>1205</v>
      </c>
      <c r="B915" t="n">
        <v>51</v>
      </c>
      <c r="C915" t="n">
        <v>5</v>
      </c>
      <c r="D915" t="n">
        <v>557812</v>
      </c>
      <c r="E915" t="inlineStr">
        <is>
          <t>Красногвардейский</t>
        </is>
      </c>
      <c r="F915" t="inlineStr">
        <is>
          <t>Малоохтинский пр-кт, 8</t>
        </is>
      </c>
      <c r="G915" t="n">
        <v>57.9</v>
      </c>
      <c r="H915" t="inlineStr">
        <is>
          <t>17 513 642</t>
        </is>
      </c>
      <c r="I915" t="inlineStr"/>
      <c r="J915" t="inlineStr"/>
      <c r="K915" t="inlineStr"/>
      <c r="L915" t="inlineStr"/>
      <c r="M915" t="inlineStr"/>
      <c r="N915" t="inlineStr">
        <is>
          <t>no</t>
        </is>
      </c>
      <c r="O915" t="inlineStr">
        <is>
          <t>none</t>
        </is>
      </c>
      <c r="P915">
        <f>HYPERLINK("https://knru.ru/catalog/pr-malooxtinskij-ul-pomyalovskogo-557812/","ссылка")</f>
        <v/>
      </c>
      <c r="Q915" t="inlineStr"/>
      <c r="R915" t="inlineStr">
        <is>
          <t>Нет у нас</t>
        </is>
      </c>
      <c r="S915" t="n">
        <v>0</v>
      </c>
      <c r="T915" t="inlineStr">
        <is>
          <t>Совпадений по улице+дому не найдено</t>
        </is>
      </c>
      <c r="U915" t="n">
        <v>1205</v>
      </c>
      <c r="V915" t="n">
        <v>51</v>
      </c>
      <c r="W915" t="n">
        <v>5</v>
      </c>
      <c r="X915" t="n">
        <v>17513642</v>
      </c>
      <c r="Y915" t="inlineStr"/>
      <c r="Z915" t="inlineStr"/>
      <c r="AA915" t="inlineStr">
        <is>
          <t>https://knru.ru/catalog/pr-malooxtinskij-ul-pomyalovskogo-557812/</t>
        </is>
      </c>
      <c r="AB915" t="inlineStr">
        <is>
          <t>C</t>
        </is>
      </c>
    </row>
    <row r="916">
      <c r="A916" t="n">
        <v>1206</v>
      </c>
      <c r="B916" t="n">
        <v>51</v>
      </c>
      <c r="C916" t="n">
        <v>6</v>
      </c>
      <c r="D916" t="n">
        <v>557810</v>
      </c>
      <c r="E916" t="inlineStr">
        <is>
          <t>Красногвардейский</t>
        </is>
      </c>
      <c r="F916" t="inlineStr">
        <is>
          <t>Малоохтинский пр-кт, 8</t>
        </is>
      </c>
      <c r="G916" t="n">
        <v>58.9</v>
      </c>
      <c r="H916" t="inlineStr">
        <is>
          <t>18 889 966</t>
        </is>
      </c>
      <c r="I916" t="inlineStr"/>
      <c r="J916" t="inlineStr"/>
      <c r="K916" t="inlineStr"/>
      <c r="L916" t="inlineStr"/>
      <c r="M916" t="inlineStr"/>
      <c r="N916" t="inlineStr">
        <is>
          <t>no</t>
        </is>
      </c>
      <c r="O916" t="inlineStr">
        <is>
          <t>none</t>
        </is>
      </c>
      <c r="P916">
        <f>HYPERLINK("https://knru.ru/catalog/pr-malooxtinskij-ul-pomyalovskogo-557810/","ссылка")</f>
        <v/>
      </c>
      <c r="Q916" t="inlineStr"/>
      <c r="R916" t="inlineStr">
        <is>
          <t>Нет у нас</t>
        </is>
      </c>
      <c r="S916" t="n">
        <v>0</v>
      </c>
      <c r="T916" t="inlineStr">
        <is>
          <t>Совпадений по улице+дому не найдено</t>
        </is>
      </c>
      <c r="U916" t="n">
        <v>1206</v>
      </c>
      <c r="V916" t="n">
        <v>51</v>
      </c>
      <c r="W916" t="n">
        <v>6</v>
      </c>
      <c r="X916" t="n">
        <v>18889966</v>
      </c>
      <c r="Y916" t="inlineStr"/>
      <c r="Z916" t="inlineStr"/>
      <c r="AA916" t="inlineStr">
        <is>
          <t>https://knru.ru/catalog/pr-malooxtinskij-ul-pomyalovskogo-557810/</t>
        </is>
      </c>
      <c r="AB916" t="inlineStr">
        <is>
          <t>C</t>
        </is>
      </c>
    </row>
    <row r="917">
      <c r="A917" t="n">
        <v>1207</v>
      </c>
      <c r="B917" t="n">
        <v>51</v>
      </c>
      <c r="C917" t="n">
        <v>7</v>
      </c>
      <c r="D917" t="n">
        <v>557808</v>
      </c>
      <c r="E917" t="inlineStr">
        <is>
          <t>Красногвардейский</t>
        </is>
      </c>
      <c r="F917" t="inlineStr">
        <is>
          <t>Малоохтинский пр-кт, 8</t>
        </is>
      </c>
      <c r="G917" t="n">
        <v>90.09999999999999</v>
      </c>
      <c r="H917" t="inlineStr">
        <is>
          <t>31 237 084</t>
        </is>
      </c>
      <c r="I917" t="inlineStr"/>
      <c r="J917" t="inlineStr"/>
      <c r="K917" t="inlineStr"/>
      <c r="L917" t="inlineStr"/>
      <c r="M917" t="inlineStr"/>
      <c r="N917" t="inlineStr">
        <is>
          <t>no</t>
        </is>
      </c>
      <c r="O917" t="inlineStr">
        <is>
          <t>none</t>
        </is>
      </c>
      <c r="P917">
        <f>HYPERLINK("https://knru.ru/catalog/pr-malooxtinskij-ul-pomyalovskogo-557808/","ссылка")</f>
        <v/>
      </c>
      <c r="Q917" t="inlineStr"/>
      <c r="R917" t="inlineStr">
        <is>
          <t>Нет у нас</t>
        </is>
      </c>
      <c r="S917" t="n">
        <v>0</v>
      </c>
      <c r="T917" t="inlineStr">
        <is>
          <t>Совпадений по улице+дому не найдено</t>
        </is>
      </c>
      <c r="U917" t="n">
        <v>1207</v>
      </c>
      <c r="V917" t="n">
        <v>51</v>
      </c>
      <c r="W917" t="n">
        <v>7</v>
      </c>
      <c r="X917" t="n">
        <v>31237084</v>
      </c>
      <c r="Y917" t="inlineStr"/>
      <c r="Z917" t="inlineStr"/>
      <c r="AA917" t="inlineStr">
        <is>
          <t>https://knru.ru/catalog/pr-malooxtinskij-ul-pomyalovskogo-557808/</t>
        </is>
      </c>
      <c r="AB917" t="inlineStr">
        <is>
          <t>C</t>
        </is>
      </c>
    </row>
    <row r="918">
      <c r="A918" t="n">
        <v>1208</v>
      </c>
      <c r="B918" t="n">
        <v>51</v>
      </c>
      <c r="C918" t="n">
        <v>8</v>
      </c>
      <c r="D918" t="inlineStr"/>
      <c r="E918" t="inlineStr">
        <is>
          <t>Красногвардейский</t>
        </is>
      </c>
      <c r="F918" t="inlineStr">
        <is>
          <t>Малоохтинский пр-кт, 8</t>
        </is>
      </c>
      <c r="G918" t="n">
        <v>78.2</v>
      </c>
      <c r="H918" t="inlineStr">
        <is>
          <t>28 785 000</t>
        </is>
      </c>
      <c r="I918" t="inlineStr"/>
      <c r="J918" t="inlineStr"/>
      <c r="K918" t="inlineStr"/>
      <c r="L918" t="inlineStr"/>
      <c r="M918" t="inlineStr"/>
      <c r="N918" t="inlineStr">
        <is>
          <t>no</t>
        </is>
      </c>
      <c r="O918" t="inlineStr">
        <is>
          <t>none</t>
        </is>
      </c>
      <c r="P918">
        <f>HYPERLINK("https://knru.ru/catalog/pr-malooxtinskij-ul-pomyalovskogo/","ссылка")</f>
        <v/>
      </c>
      <c r="Q918" t="inlineStr"/>
      <c r="R918" t="inlineStr">
        <is>
          <t>Нет у нас</t>
        </is>
      </c>
      <c r="S918" t="n">
        <v>0</v>
      </c>
      <c r="T918" t="inlineStr">
        <is>
          <t>Совпадений по улице+дому не найдено</t>
        </is>
      </c>
      <c r="U918" t="n">
        <v>1208</v>
      </c>
      <c r="V918" t="n">
        <v>51</v>
      </c>
      <c r="W918" t="n">
        <v>8</v>
      </c>
      <c r="X918" t="n">
        <v>28785000</v>
      </c>
      <c r="Y918" t="inlineStr"/>
      <c r="Z918" t="inlineStr"/>
      <c r="AA918" t="inlineStr">
        <is>
          <t>https://knru.ru/catalog/pr-malooxtinskij-ul-pomyalovskogo/</t>
        </is>
      </c>
      <c r="AB918" t="inlineStr">
        <is>
          <t>C</t>
        </is>
      </c>
    </row>
    <row r="919">
      <c r="A919" t="n">
        <v>1209</v>
      </c>
      <c r="B919" t="n">
        <v>51</v>
      </c>
      <c r="C919" t="n">
        <v>9</v>
      </c>
      <c r="D919" t="n">
        <v>1</v>
      </c>
      <c r="E919" t="inlineStr">
        <is>
          <t>Московский</t>
        </is>
      </c>
      <c r="F919" t="inlineStr">
        <is>
          <t>Витебский пр-кт, 99к1стр1</t>
        </is>
      </c>
      <c r="G919" t="n">
        <v>214</v>
      </c>
      <c r="H919" t="inlineStr">
        <is>
          <t>64 200 000</t>
        </is>
      </c>
      <c r="I919" t="inlineStr"/>
      <c r="J919" t="inlineStr"/>
      <c r="K919" t="inlineStr"/>
      <c r="L919" t="inlineStr"/>
      <c r="M919" t="inlineStr"/>
      <c r="N919" t="inlineStr">
        <is>
          <t>no</t>
        </is>
      </c>
      <c r="O919" t="inlineStr">
        <is>
          <t>none</t>
        </is>
      </c>
      <c r="P919">
        <f>HYPERLINK("https://knru.ru/catalog/vitebskij-pr-kt-d-99-k-1/","ссылка")</f>
        <v/>
      </c>
      <c r="Q919" t="inlineStr"/>
      <c r="R919" t="inlineStr">
        <is>
          <t>Нет у нас</t>
        </is>
      </c>
      <c r="S919" t="n">
        <v>0</v>
      </c>
      <c r="T919" t="inlineStr">
        <is>
          <t>Совпадений по улице+дому не найдено</t>
        </is>
      </c>
      <c r="U919" t="n">
        <v>1209</v>
      </c>
      <c r="V919" t="n">
        <v>51</v>
      </c>
      <c r="W919" t="n">
        <v>9</v>
      </c>
      <c r="X919" t="n">
        <v>64200000</v>
      </c>
      <c r="Y919" t="inlineStr"/>
      <c r="Z919" t="inlineStr"/>
      <c r="AA919" t="inlineStr">
        <is>
          <t>https://knru.ru/catalog/vitebskij-pr-kt-d-99-k-1/</t>
        </is>
      </c>
      <c r="AB919" t="inlineStr">
        <is>
          <t>C</t>
        </is>
      </c>
    </row>
    <row r="920">
      <c r="A920" t="n">
        <v>1210</v>
      </c>
      <c r="B920" t="n">
        <v>51</v>
      </c>
      <c r="C920" t="n">
        <v>10</v>
      </c>
      <c r="D920" t="n">
        <v>43</v>
      </c>
      <c r="E920" t="inlineStr">
        <is>
          <t>Василеостровский</t>
        </is>
      </c>
      <c r="F920" t="inlineStr">
        <is>
          <t>12-я В.О. линия, 41-43</t>
        </is>
      </c>
      <c r="G920" t="n">
        <v>261.3</v>
      </c>
      <c r="H920" t="inlineStr">
        <is>
          <t>102 146 798</t>
        </is>
      </c>
      <c r="I920" t="inlineStr"/>
      <c r="J920" t="inlineStr"/>
      <c r="K920" t="inlineStr"/>
      <c r="L920" t="inlineStr"/>
      <c r="M920" t="inlineStr"/>
      <c r="N920" t="inlineStr">
        <is>
          <t>no</t>
        </is>
      </c>
      <c r="O920" t="inlineStr">
        <is>
          <t>none</t>
        </is>
      </c>
      <c r="P920">
        <f>HYPERLINK("https://knru.ru/catalog/12-ya-liniya-v-o-d-41-43/","ссылка")</f>
        <v/>
      </c>
      <c r="Q920" t="inlineStr"/>
      <c r="R920" t="inlineStr">
        <is>
          <t>Нет у нас</t>
        </is>
      </c>
      <c r="S920" t="n">
        <v>0</v>
      </c>
      <c r="T920" t="inlineStr">
        <is>
          <t>Совпадений по улице+дому не найдено</t>
        </is>
      </c>
      <c r="U920" t="n">
        <v>1210</v>
      </c>
      <c r="V920" t="n">
        <v>51</v>
      </c>
      <c r="W920" t="n">
        <v>10</v>
      </c>
      <c r="X920" t="n">
        <v>102146798</v>
      </c>
      <c r="Y920" t="inlineStr"/>
      <c r="Z920" t="inlineStr"/>
      <c r="AA920" t="inlineStr">
        <is>
          <t>https://knru.ru/catalog/12-ya-liniya-v-o-d-41-43/</t>
        </is>
      </c>
      <c r="AB920" t="inlineStr">
        <is>
          <t>C</t>
        </is>
      </c>
    </row>
    <row r="921">
      <c r="A921" t="n">
        <v>1212</v>
      </c>
      <c r="B921" t="n">
        <v>51</v>
      </c>
      <c r="C921" t="n">
        <v>12</v>
      </c>
      <c r="D921" t="n">
        <v>557194</v>
      </c>
      <c r="E921" t="inlineStr">
        <is>
          <t>Приморский</t>
        </is>
      </c>
      <c r="F921" t="inlineStr">
        <is>
          <t>Чёрной речки наб, 1 А</t>
        </is>
      </c>
      <c r="G921" t="n">
        <v>123</v>
      </c>
      <c r="H921" t="inlineStr">
        <is>
          <t>58 627 501</t>
        </is>
      </c>
      <c r="I921" t="inlineStr"/>
      <c r="J921" t="inlineStr"/>
      <c r="K921" t="inlineStr"/>
      <c r="L921" t="inlineStr"/>
      <c r="M921" t="inlineStr"/>
      <c r="N921" t="inlineStr">
        <is>
          <t>no</t>
        </is>
      </c>
      <c r="O921" t="inlineStr">
        <is>
          <t>none</t>
        </is>
      </c>
      <c r="P921">
        <f>HYPERLINK("https://knru.ru/catalog/nab-chyernoj-rechki-d-1-557194/","ссылка")</f>
        <v/>
      </c>
      <c r="Q921" t="inlineStr"/>
      <c r="R921" t="inlineStr">
        <is>
          <t>Нет у нас</t>
        </is>
      </c>
      <c r="S921" t="n">
        <v>0</v>
      </c>
      <c r="T921" t="inlineStr">
        <is>
          <t>Совпадений по улице+дому не найдено</t>
        </is>
      </c>
      <c r="U921" t="n">
        <v>1212</v>
      </c>
      <c r="V921" t="n">
        <v>51</v>
      </c>
      <c r="W921" t="n">
        <v>12</v>
      </c>
      <c r="X921" t="n">
        <v>58627501</v>
      </c>
      <c r="Y921" t="inlineStr"/>
      <c r="Z921" t="inlineStr"/>
      <c r="AA921" t="inlineStr">
        <is>
          <t>https://knru.ru/catalog/nab-chyernoj-rechki-d-1-557194/</t>
        </is>
      </c>
      <c r="AB921" t="inlineStr">
        <is>
          <t>C</t>
        </is>
      </c>
    </row>
    <row r="922">
      <c r="A922" t="n">
        <v>1213</v>
      </c>
      <c r="B922" t="n">
        <v>51</v>
      </c>
      <c r="C922" t="n">
        <v>13</v>
      </c>
      <c r="D922" t="n">
        <v>557193</v>
      </c>
      <c r="E922" t="inlineStr">
        <is>
          <t>Приморский</t>
        </is>
      </c>
      <c r="F922" t="inlineStr">
        <is>
          <t>Чёрной речки наб, 1 А</t>
        </is>
      </c>
      <c r="G922" t="n">
        <v>124.2</v>
      </c>
      <c r="H922" t="inlineStr">
        <is>
          <t>50 809 444</t>
        </is>
      </c>
      <c r="I922" t="inlineStr"/>
      <c r="J922" t="inlineStr"/>
      <c r="K922" t="inlineStr"/>
      <c r="L922" t="inlineStr"/>
      <c r="M922" t="inlineStr"/>
      <c r="N922" t="inlineStr">
        <is>
          <t>no</t>
        </is>
      </c>
      <c r="O922" t="inlineStr">
        <is>
          <t>none</t>
        </is>
      </c>
      <c r="P922">
        <f>HYPERLINK("https://knru.ru/catalog/nab-chyernoj-rechki-d-1-557193/","ссылка")</f>
        <v/>
      </c>
      <c r="Q922" t="inlineStr"/>
      <c r="R922" t="inlineStr">
        <is>
          <t>Нет у нас</t>
        </is>
      </c>
      <c r="S922" t="n">
        <v>0</v>
      </c>
      <c r="T922" t="inlineStr">
        <is>
          <t>Совпадений по улице+дому не найдено</t>
        </is>
      </c>
      <c r="U922" t="n">
        <v>1213</v>
      </c>
      <c r="V922" t="n">
        <v>51</v>
      </c>
      <c r="W922" t="n">
        <v>13</v>
      </c>
      <c r="X922" t="n">
        <v>50809444</v>
      </c>
      <c r="Y922" t="inlineStr"/>
      <c r="Z922" t="inlineStr"/>
      <c r="AA922" t="inlineStr">
        <is>
          <t>https://knru.ru/catalog/nab-chyernoj-rechki-d-1-557193/</t>
        </is>
      </c>
      <c r="AB922" t="inlineStr">
        <is>
          <t>C</t>
        </is>
      </c>
    </row>
    <row r="923">
      <c r="A923" t="n">
        <v>1214</v>
      </c>
      <c r="B923" t="n">
        <v>51</v>
      </c>
      <c r="C923" t="n">
        <v>14</v>
      </c>
      <c r="D923" t="n">
        <v>557192</v>
      </c>
      <c r="E923" t="inlineStr">
        <is>
          <t>Приморский</t>
        </is>
      </c>
      <c r="F923" t="inlineStr">
        <is>
          <t>Чёрной речки наб, 1 А</t>
        </is>
      </c>
      <c r="G923" t="n">
        <v>129</v>
      </c>
      <c r="H923" t="inlineStr">
        <is>
          <t>59 362 485</t>
        </is>
      </c>
      <c r="I923" t="inlineStr"/>
      <c r="J923" t="inlineStr"/>
      <c r="K923" t="inlineStr"/>
      <c r="L923" t="inlineStr"/>
      <c r="M923" t="inlineStr"/>
      <c r="N923" t="inlineStr">
        <is>
          <t>no</t>
        </is>
      </c>
      <c r="O923" t="inlineStr">
        <is>
          <t>none</t>
        </is>
      </c>
      <c r="P923">
        <f>HYPERLINK("https://knru.ru/catalog/nab-chyernoj-rechki-d-1-557192/","ссылка")</f>
        <v/>
      </c>
      <c r="Q923" t="inlineStr"/>
      <c r="R923" t="inlineStr">
        <is>
          <t>Нет у нас</t>
        </is>
      </c>
      <c r="S923" t="n">
        <v>0</v>
      </c>
      <c r="T923" t="inlineStr">
        <is>
          <t>Совпадений по улице+дому не найдено</t>
        </is>
      </c>
      <c r="U923" t="n">
        <v>1214</v>
      </c>
      <c r="V923" t="n">
        <v>51</v>
      </c>
      <c r="W923" t="n">
        <v>14</v>
      </c>
      <c r="X923" t="n">
        <v>59362485</v>
      </c>
      <c r="Y923" t="inlineStr"/>
      <c r="Z923" t="inlineStr"/>
      <c r="AA923" t="inlineStr">
        <is>
          <t>https://knru.ru/catalog/nab-chyernoj-rechki-d-1-557192/</t>
        </is>
      </c>
      <c r="AB923" t="inlineStr">
        <is>
          <t>C</t>
        </is>
      </c>
    </row>
    <row r="924">
      <c r="A924" t="n">
        <v>1215</v>
      </c>
      <c r="B924" t="n">
        <v>51</v>
      </c>
      <c r="C924" t="n">
        <v>15</v>
      </c>
      <c r="D924" t="n">
        <v>1</v>
      </c>
      <c r="E924" t="inlineStr">
        <is>
          <t>Приморский</t>
        </is>
      </c>
      <c r="F924" t="inlineStr">
        <is>
          <t>Чёрной речки наб, 1 А</t>
        </is>
      </c>
      <c r="G924" t="n">
        <v>105.4</v>
      </c>
      <c r="H924" t="inlineStr">
        <is>
          <t>46 631 542</t>
        </is>
      </c>
      <c r="I924" t="inlineStr"/>
      <c r="J924" t="inlineStr"/>
      <c r="K924" t="inlineStr"/>
      <c r="L924" t="inlineStr"/>
      <c r="M924" t="inlineStr"/>
      <c r="N924" t="inlineStr">
        <is>
          <t>no</t>
        </is>
      </c>
      <c r="O924" t="inlineStr">
        <is>
          <t>none</t>
        </is>
      </c>
      <c r="P924">
        <f>HYPERLINK("https://knru.ru/catalog/nab-chyernoj-rechki-d-1/","ссылка")</f>
        <v/>
      </c>
      <c r="Q924" t="inlineStr"/>
      <c r="R924" t="inlineStr">
        <is>
          <t>Нет у нас</t>
        </is>
      </c>
      <c r="S924" t="n">
        <v>0</v>
      </c>
      <c r="T924" t="inlineStr">
        <is>
          <t>Совпадений по улице+дому не найдено</t>
        </is>
      </c>
      <c r="U924" t="n">
        <v>1215</v>
      </c>
      <c r="V924" t="n">
        <v>51</v>
      </c>
      <c r="W924" t="n">
        <v>15</v>
      </c>
      <c r="X924" t="n">
        <v>46631542</v>
      </c>
      <c r="Y924" t="inlineStr"/>
      <c r="Z924" t="inlineStr"/>
      <c r="AA924" t="inlineStr">
        <is>
          <t>https://knru.ru/catalog/nab-chyernoj-rechki-d-1/</t>
        </is>
      </c>
      <c r="AB924" t="inlineStr">
        <is>
          <t>C</t>
        </is>
      </c>
    </row>
    <row r="925">
      <c r="A925" t="n">
        <v>1216</v>
      </c>
      <c r="B925" t="n">
        <v>51</v>
      </c>
      <c r="C925" t="n">
        <v>16</v>
      </c>
      <c r="D925" t="n">
        <v>557156</v>
      </c>
      <c r="E925" t="inlineStr">
        <is>
          <t>Выборгский</t>
        </is>
      </c>
      <c r="F925" t="inlineStr">
        <is>
          <t>Энгельса пр-кт, 27 АБ</t>
        </is>
      </c>
      <c r="G925" t="n">
        <v>100.3</v>
      </c>
      <c r="H925" t="inlineStr">
        <is>
          <t>36 108 000</t>
        </is>
      </c>
      <c r="I925" t="inlineStr"/>
      <c r="J925" t="inlineStr"/>
      <c r="K925" t="inlineStr"/>
      <c r="L925" t="inlineStr"/>
      <c r="M925" t="inlineStr"/>
      <c r="N925" t="inlineStr">
        <is>
          <t>no</t>
        </is>
      </c>
      <c r="O925" t="inlineStr">
        <is>
          <t>none</t>
        </is>
      </c>
      <c r="P925">
        <f>HYPERLINK("https://knru.ru/catalog/pr-engelsa-27-lit-ts-557156/","ссылка")</f>
        <v/>
      </c>
      <c r="Q925" t="inlineStr"/>
      <c r="R925" t="inlineStr">
        <is>
          <t>Нет у нас</t>
        </is>
      </c>
      <c r="S925" t="n">
        <v>0</v>
      </c>
      <c r="T925" t="inlineStr">
        <is>
          <t>Совпадений по улице+дому не найдено</t>
        </is>
      </c>
      <c r="U925" t="n">
        <v>1216</v>
      </c>
      <c r="V925" t="n">
        <v>51</v>
      </c>
      <c r="W925" t="n">
        <v>16</v>
      </c>
      <c r="X925" t="n">
        <v>36108000</v>
      </c>
      <c r="Y925" t="inlineStr"/>
      <c r="Z925" t="inlineStr"/>
      <c r="AA925" t="inlineStr">
        <is>
          <t>https://knru.ru/catalog/pr-engelsa-27-lit-ts-557156/</t>
        </is>
      </c>
      <c r="AB925" t="inlineStr">
        <is>
          <t>C</t>
        </is>
      </c>
    </row>
    <row r="926">
      <c r="A926" t="n">
        <v>1217</v>
      </c>
      <c r="B926" t="n">
        <v>51</v>
      </c>
      <c r="C926" t="n">
        <v>17</v>
      </c>
      <c r="D926" t="n">
        <v>557155</v>
      </c>
      <c r="E926" t="inlineStr">
        <is>
          <t>Выборгский</t>
        </is>
      </c>
      <c r="F926" t="inlineStr">
        <is>
          <t>Энгельса пр-кт, 27 АБ</t>
        </is>
      </c>
      <c r="G926" t="n">
        <v>53.9</v>
      </c>
      <c r="H926" t="inlineStr">
        <is>
          <t>19 333 943</t>
        </is>
      </c>
      <c r="I926" t="inlineStr"/>
      <c r="J926" t="inlineStr"/>
      <c r="K926" t="inlineStr"/>
      <c r="L926" t="inlineStr"/>
      <c r="M926" t="inlineStr"/>
      <c r="N926" t="inlineStr">
        <is>
          <t>no</t>
        </is>
      </c>
      <c r="O926" t="inlineStr">
        <is>
          <t>none</t>
        </is>
      </c>
      <c r="P926">
        <f>HYPERLINK("https://knru.ru/catalog/pr-engelsa-27-lit-ts-557155/","ссылка")</f>
        <v/>
      </c>
      <c r="Q926" t="inlineStr"/>
      <c r="R926" t="inlineStr">
        <is>
          <t>Нет у нас</t>
        </is>
      </c>
      <c r="S926" t="n">
        <v>0</v>
      </c>
      <c r="T926" t="inlineStr">
        <is>
          <t>Совпадений по улице+дому не найдено</t>
        </is>
      </c>
      <c r="U926" t="n">
        <v>1217</v>
      </c>
      <c r="V926" t="n">
        <v>51</v>
      </c>
      <c r="W926" t="n">
        <v>17</v>
      </c>
      <c r="X926" t="n">
        <v>19333943</v>
      </c>
      <c r="Y926" t="inlineStr"/>
      <c r="Z926" t="inlineStr"/>
      <c r="AA926" t="inlineStr">
        <is>
          <t>https://knru.ru/catalog/pr-engelsa-27-lit-ts-557155/</t>
        </is>
      </c>
      <c r="AB926" t="inlineStr">
        <is>
          <t>C</t>
        </is>
      </c>
    </row>
    <row r="927">
      <c r="A927" t="n">
        <v>1218</v>
      </c>
      <c r="B927" t="n">
        <v>51</v>
      </c>
      <c r="C927" t="n">
        <v>18</v>
      </c>
      <c r="D927" t="n">
        <v>557152</v>
      </c>
      <c r="E927" t="inlineStr">
        <is>
          <t>Выборгский</t>
        </is>
      </c>
      <c r="F927" t="inlineStr">
        <is>
          <t>Энгельса пр-кт, 27 АБ</t>
        </is>
      </c>
      <c r="G927" t="n">
        <v>39.2</v>
      </c>
      <c r="H927" t="inlineStr">
        <is>
          <t>14 903 600</t>
        </is>
      </c>
      <c r="I927" t="inlineStr"/>
      <c r="J927" t="inlineStr"/>
      <c r="K927" t="inlineStr"/>
      <c r="L927" t="inlineStr"/>
      <c r="M927" t="inlineStr"/>
      <c r="N927" t="inlineStr">
        <is>
          <t>no</t>
        </is>
      </c>
      <c r="O927" t="inlineStr">
        <is>
          <t>none</t>
        </is>
      </c>
      <c r="P927">
        <f>HYPERLINK("https://knru.ru/catalog/pr-engelsa-27-lit-ts-557152/","ссылка")</f>
        <v/>
      </c>
      <c r="Q927" t="inlineStr"/>
      <c r="R927" t="inlineStr">
        <is>
          <t>Нет у нас</t>
        </is>
      </c>
      <c r="S927" t="n">
        <v>0</v>
      </c>
      <c r="T927" t="inlineStr">
        <is>
          <t>Совпадений по улице+дому не найдено</t>
        </is>
      </c>
      <c r="U927" t="n">
        <v>1218</v>
      </c>
      <c r="V927" t="n">
        <v>51</v>
      </c>
      <c r="W927" t="n">
        <v>18</v>
      </c>
      <c r="X927" t="n">
        <v>14903600</v>
      </c>
      <c r="Y927" t="inlineStr"/>
      <c r="Z927" t="inlineStr"/>
      <c r="AA927" t="inlineStr">
        <is>
          <t>https://knru.ru/catalog/pr-engelsa-27-lit-ts-557152/</t>
        </is>
      </c>
      <c r="AB927" t="inlineStr">
        <is>
          <t>C</t>
        </is>
      </c>
    </row>
    <row r="928">
      <c r="A928" t="n">
        <v>1219</v>
      </c>
      <c r="B928" t="n">
        <v>51</v>
      </c>
      <c r="C928" t="n">
        <v>19</v>
      </c>
      <c r="D928" t="inlineStr"/>
      <c r="E928" t="inlineStr">
        <is>
          <t>Выборгский</t>
        </is>
      </c>
      <c r="F928" t="inlineStr">
        <is>
          <t>Энгельса пр-кт, 27 АБ</t>
        </is>
      </c>
      <c r="G928" t="n">
        <v>78.2</v>
      </c>
      <c r="H928" t="inlineStr">
        <is>
          <t>28 155 600</t>
        </is>
      </c>
      <c r="I928" t="inlineStr"/>
      <c r="J928" t="inlineStr"/>
      <c r="K928" t="inlineStr"/>
      <c r="L928" t="inlineStr"/>
      <c r="M928" t="inlineStr"/>
      <c r="N928" t="inlineStr">
        <is>
          <t>no</t>
        </is>
      </c>
      <c r="O928" t="inlineStr">
        <is>
          <t>none</t>
        </is>
      </c>
      <c r="P928">
        <f>HYPERLINK("https://knru.ru/catalog/pr-engelsa-27-lit-ts/","ссылка")</f>
        <v/>
      </c>
      <c r="Q928" t="inlineStr"/>
      <c r="R928" t="inlineStr">
        <is>
          <t>Нет у нас</t>
        </is>
      </c>
      <c r="S928" t="n">
        <v>0</v>
      </c>
      <c r="T928" t="inlineStr">
        <is>
          <t>Совпадений по улице+дому не найдено</t>
        </is>
      </c>
      <c r="U928" t="n">
        <v>1219</v>
      </c>
      <c r="V928" t="n">
        <v>51</v>
      </c>
      <c r="W928" t="n">
        <v>19</v>
      </c>
      <c r="X928" t="n">
        <v>28155600</v>
      </c>
      <c r="Y928" t="inlineStr"/>
      <c r="Z928" t="inlineStr"/>
      <c r="AA928" t="inlineStr">
        <is>
          <t>https://knru.ru/catalog/pr-engelsa-27-lit-ts/</t>
        </is>
      </c>
      <c r="AB928" t="inlineStr">
        <is>
          <t>C</t>
        </is>
      </c>
    </row>
    <row r="929">
      <c r="A929" t="n">
        <v>1220</v>
      </c>
      <c r="B929" t="n">
        <v>51</v>
      </c>
      <c r="C929" t="n">
        <v>20</v>
      </c>
      <c r="D929" t="n">
        <v>557125</v>
      </c>
      <c r="E929" t="inlineStr">
        <is>
          <t>Приморский</t>
        </is>
      </c>
      <c r="F929" t="inlineStr">
        <is>
          <t>Коломяжский пр-кт, 13 АС</t>
        </is>
      </c>
      <c r="G929" t="n">
        <v>132</v>
      </c>
      <c r="H929" t="inlineStr">
        <is>
          <t>56 174 000</t>
        </is>
      </c>
      <c r="I929" t="inlineStr"/>
      <c r="J929" t="inlineStr"/>
      <c r="K929" t="inlineStr"/>
      <c r="L929" t="inlineStr"/>
      <c r="M929" t="inlineStr"/>
      <c r="N929" t="inlineStr">
        <is>
          <t>no</t>
        </is>
      </c>
      <c r="O929" t="inlineStr">
        <is>
          <t>none</t>
        </is>
      </c>
      <c r="P929">
        <f>HYPERLINK("https://knru.ru/catalog/pr-kolomyazhskij-d-13-557125/","ссылка")</f>
        <v/>
      </c>
      <c r="Q929" t="inlineStr"/>
      <c r="R929" t="inlineStr">
        <is>
          <t>Нет у нас</t>
        </is>
      </c>
      <c r="S929" t="n">
        <v>0</v>
      </c>
      <c r="T929" t="inlineStr">
        <is>
          <t>Совпадений по улице+дому не найдено</t>
        </is>
      </c>
      <c r="U929" t="n">
        <v>1220</v>
      </c>
      <c r="V929" t="n">
        <v>51</v>
      </c>
      <c r="W929" t="n">
        <v>20</v>
      </c>
      <c r="X929" t="n">
        <v>56174000</v>
      </c>
      <c r="Y929" t="inlineStr"/>
      <c r="Z929" t="inlineStr"/>
      <c r="AA929" t="inlineStr">
        <is>
          <t>https://knru.ru/catalog/pr-kolomyazhskij-d-13-557125/</t>
        </is>
      </c>
      <c r="AB929" t="inlineStr">
        <is>
          <t>C</t>
        </is>
      </c>
    </row>
    <row r="930">
      <c r="A930" t="n">
        <v>1221</v>
      </c>
      <c r="B930" t="n">
        <v>51</v>
      </c>
      <c r="C930" t="n">
        <v>21</v>
      </c>
      <c r="D930" t="n">
        <v>557122</v>
      </c>
      <c r="E930" t="inlineStr">
        <is>
          <t>Приморский</t>
        </is>
      </c>
      <c r="F930" t="inlineStr">
        <is>
          <t>Коломяжский пр-кт, 13 АС</t>
        </is>
      </c>
      <c r="G930" t="n">
        <v>119.6</v>
      </c>
      <c r="H930" t="inlineStr">
        <is>
          <t>39 474 700</t>
        </is>
      </c>
      <c r="I930" t="inlineStr"/>
      <c r="J930" t="inlineStr"/>
      <c r="K930" t="inlineStr"/>
      <c r="L930" t="inlineStr"/>
      <c r="M930" t="inlineStr"/>
      <c r="N930" t="inlineStr">
        <is>
          <t>no</t>
        </is>
      </c>
      <c r="O930" t="inlineStr">
        <is>
          <t>none</t>
        </is>
      </c>
      <c r="P930">
        <f>HYPERLINK("https://knru.ru/catalog/pr-kolomyazhskij-d-13-557122/","ссылка")</f>
        <v/>
      </c>
      <c r="Q930" t="inlineStr"/>
      <c r="R930" t="inlineStr">
        <is>
          <t>Нет у нас</t>
        </is>
      </c>
      <c r="S930" t="n">
        <v>0</v>
      </c>
      <c r="T930" t="inlineStr">
        <is>
          <t>Совпадений по улице+дому не найдено</t>
        </is>
      </c>
      <c r="U930" t="n">
        <v>1221</v>
      </c>
      <c r="V930" t="n">
        <v>51</v>
      </c>
      <c r="W930" t="n">
        <v>21</v>
      </c>
      <c r="X930" t="n">
        <v>39474700</v>
      </c>
      <c r="Y930" t="inlineStr"/>
      <c r="Z930" t="inlineStr"/>
      <c r="AA930" t="inlineStr">
        <is>
          <t>https://knru.ru/catalog/pr-kolomyazhskij-d-13-557122/</t>
        </is>
      </c>
      <c r="AB930" t="inlineStr">
        <is>
          <t>C</t>
        </is>
      </c>
    </row>
    <row r="931">
      <c r="A931" t="n">
        <v>1222</v>
      </c>
      <c r="B931" t="n">
        <v>51</v>
      </c>
      <c r="C931" t="n">
        <v>22</v>
      </c>
      <c r="D931" t="n">
        <v>13</v>
      </c>
      <c r="E931" t="inlineStr">
        <is>
          <t>Приморский</t>
        </is>
      </c>
      <c r="F931" t="inlineStr">
        <is>
          <t>Коломяжский пр-кт, 13 АС</t>
        </is>
      </c>
      <c r="G931" t="n">
        <v>101.7</v>
      </c>
      <c r="H931" t="inlineStr">
        <is>
          <t>33 577 600</t>
        </is>
      </c>
      <c r="I931" t="inlineStr"/>
      <c r="J931" t="inlineStr"/>
      <c r="K931" t="inlineStr"/>
      <c r="L931" t="inlineStr"/>
      <c r="M931" t="inlineStr"/>
      <c r="N931" t="inlineStr">
        <is>
          <t>no</t>
        </is>
      </c>
      <c r="O931" t="inlineStr">
        <is>
          <t>none</t>
        </is>
      </c>
      <c r="P931">
        <f>HYPERLINK("https://knru.ru/catalog/pr-kolomyazhskij-d-13/","ссылка")</f>
        <v/>
      </c>
      <c r="Q931" t="inlineStr"/>
      <c r="R931" t="inlineStr">
        <is>
          <t>Нет у нас</t>
        </is>
      </c>
      <c r="S931" t="n">
        <v>0</v>
      </c>
      <c r="T931" t="inlineStr">
        <is>
          <t>Совпадений по улице+дому не найдено</t>
        </is>
      </c>
      <c r="U931" t="n">
        <v>1222</v>
      </c>
      <c r="V931" t="n">
        <v>51</v>
      </c>
      <c r="W931" t="n">
        <v>22</v>
      </c>
      <c r="X931" t="n">
        <v>33577600</v>
      </c>
      <c r="Y931" t="inlineStr"/>
      <c r="Z931" t="inlineStr"/>
      <c r="AA931" t="inlineStr">
        <is>
          <t>https://knru.ru/catalog/pr-kolomyazhskij-d-13/</t>
        </is>
      </c>
      <c r="AB931" t="inlineStr">
        <is>
          <t>C</t>
        </is>
      </c>
    </row>
    <row r="932">
      <c r="A932" t="n">
        <v>1223</v>
      </c>
      <c r="B932" t="n">
        <v>51</v>
      </c>
      <c r="C932" t="n">
        <v>23</v>
      </c>
      <c r="D932" t="n">
        <v>1</v>
      </c>
      <c r="E932" t="inlineStr">
        <is>
          <t>Центральный</t>
        </is>
      </c>
      <c r="F932" t="inlineStr">
        <is>
          <t>Миргородская ул, 1</t>
        </is>
      </c>
      <c r="G932" t="n">
        <v>100.9</v>
      </c>
      <c r="H932" t="inlineStr">
        <is>
          <t>38 000 000</t>
        </is>
      </c>
      <c r="I932" t="inlineStr"/>
      <c r="J932" t="inlineStr"/>
      <c r="K932" t="inlineStr"/>
      <c r="L932" t="inlineStr"/>
      <c r="M932" t="inlineStr"/>
      <c r="N932" t="inlineStr">
        <is>
          <t>no</t>
        </is>
      </c>
      <c r="O932" t="inlineStr">
        <is>
          <t>none</t>
        </is>
      </c>
      <c r="P932">
        <f>HYPERLINK("https://knru.ru/catalog/ul-mirgorodskaya-d-1/","ссылка")</f>
        <v/>
      </c>
      <c r="Q932" t="inlineStr"/>
      <c r="R932" t="inlineStr">
        <is>
          <t>Нет у нас</t>
        </is>
      </c>
      <c r="S932" t="n">
        <v>0</v>
      </c>
      <c r="T932" t="inlineStr">
        <is>
          <t>Совпадений по улице+дому не найдено</t>
        </is>
      </c>
      <c r="U932" t="n">
        <v>1223</v>
      </c>
      <c r="V932" t="n">
        <v>51</v>
      </c>
      <c r="W932" t="n">
        <v>23</v>
      </c>
      <c r="X932" t="n">
        <v>38000000</v>
      </c>
      <c r="Y932" t="inlineStr"/>
      <c r="Z932" t="inlineStr"/>
      <c r="AA932" t="inlineStr">
        <is>
          <t>https://knru.ru/catalog/ul-mirgorodskaya-d-1/</t>
        </is>
      </c>
      <c r="AB932" t="inlineStr">
        <is>
          <t>C</t>
        </is>
      </c>
    </row>
    <row r="933">
      <c r="A933" t="n">
        <v>1224</v>
      </c>
      <c r="B933" t="n">
        <v>51</v>
      </c>
      <c r="C933" t="n">
        <v>24</v>
      </c>
      <c r="D933" t="n">
        <v>5</v>
      </c>
      <c r="E933" t="inlineStr">
        <is>
          <t>Красногвардейский</t>
        </is>
      </c>
      <c r="F933" t="inlineStr">
        <is>
          <t>Заневский пр-кт, 42стр1</t>
        </is>
      </c>
      <c r="G933" t="n">
        <v>82.09999999999999</v>
      </c>
      <c r="H933" t="inlineStr">
        <is>
          <t>27 849 387</t>
        </is>
      </c>
      <c r="I933" t="inlineStr"/>
      <c r="J933" t="inlineStr"/>
      <c r="K933" t="inlineStr"/>
      <c r="L933" t="inlineStr"/>
      <c r="M933" t="inlineStr"/>
      <c r="N933" t="inlineStr">
        <is>
          <t>no</t>
        </is>
      </c>
      <c r="O933" t="inlineStr">
        <is>
          <t>none</t>
        </is>
      </c>
      <c r="P933">
        <f>HYPERLINK("https://knru.ru/catalog/zanevskij-prospekt-d-42-k-5/","ссылка")</f>
        <v/>
      </c>
      <c r="Q933" t="inlineStr"/>
      <c r="R933" t="inlineStr">
        <is>
          <t>Нет у нас</t>
        </is>
      </c>
      <c r="S933" t="n">
        <v>0</v>
      </c>
      <c r="T933" t="inlineStr">
        <is>
          <t>Совпадений по улице+дому не найдено</t>
        </is>
      </c>
      <c r="U933" t="n">
        <v>1224</v>
      </c>
      <c r="V933" t="n">
        <v>51</v>
      </c>
      <c r="W933" t="n">
        <v>24</v>
      </c>
      <c r="X933" t="n">
        <v>27849387</v>
      </c>
      <c r="Y933" t="inlineStr"/>
      <c r="Z933" t="inlineStr"/>
      <c r="AA933" t="inlineStr">
        <is>
          <t>https://knru.ru/catalog/zanevskij-prospekt-d-42-k-5/</t>
        </is>
      </c>
      <c r="AB933" t="inlineStr">
        <is>
          <t>C</t>
        </is>
      </c>
    </row>
    <row r="934">
      <c r="A934" t="n">
        <v>1226</v>
      </c>
      <c r="B934" t="n">
        <v>52</v>
      </c>
      <c r="C934" t="n">
        <v>2</v>
      </c>
      <c r="D934" t="inlineStr"/>
      <c r="E934" t="inlineStr">
        <is>
          <t>Калининский</t>
        </is>
      </c>
      <c r="F934" t="inlineStr">
        <is>
          <t>Академика Константинова ул</t>
        </is>
      </c>
      <c r="G934" t="n">
        <v>93.7</v>
      </c>
      <c r="H934" t="inlineStr">
        <is>
          <t>20 611 800</t>
        </is>
      </c>
      <c r="I934" t="inlineStr"/>
      <c r="J934" t="inlineStr"/>
      <c r="K934" t="inlineStr"/>
      <c r="L934" t="inlineStr"/>
      <c r="M934" t="inlineStr"/>
      <c r="N934" t="inlineStr">
        <is>
          <t>no</t>
        </is>
      </c>
      <c r="O934" t="inlineStr">
        <is>
          <t>none</t>
        </is>
      </c>
      <c r="P934">
        <f>HYPERLINK("https://knru.ru/catalog/ul-akademika-konstantinova/","ссылка")</f>
        <v/>
      </c>
      <c r="Q934" t="inlineStr"/>
      <c r="R934" t="inlineStr">
        <is>
          <t>Нет у нас</t>
        </is>
      </c>
      <c r="S934" t="n">
        <v>0</v>
      </c>
      <c r="T934" t="inlineStr">
        <is>
          <t>Совпадений по улице+дому не найдено</t>
        </is>
      </c>
      <c r="U934" t="n">
        <v>1226</v>
      </c>
      <c r="V934" t="n">
        <v>52</v>
      </c>
      <c r="W934" t="n">
        <v>2</v>
      </c>
      <c r="X934" t="n">
        <v>20611800</v>
      </c>
      <c r="Y934" t="inlineStr"/>
      <c r="Z934" t="inlineStr"/>
      <c r="AA934" t="inlineStr">
        <is>
          <t>https://knru.ru/catalog/ul-akademika-konstantinova/</t>
        </is>
      </c>
      <c r="AB934" t="inlineStr">
        <is>
          <t>C</t>
        </is>
      </c>
    </row>
    <row r="935">
      <c r="A935" t="n">
        <v>1227</v>
      </c>
      <c r="B935" t="n">
        <v>52</v>
      </c>
      <c r="C935" t="n">
        <v>3</v>
      </c>
      <c r="D935" t="n">
        <v>1</v>
      </c>
      <c r="E935" t="inlineStr">
        <is>
          <t>ЖК ID Кудрово</t>
        </is>
      </c>
      <c r="F935" t="inlineStr">
        <is>
          <t>Строителей пр-кт</t>
        </is>
      </c>
      <c r="G935" t="n">
        <v>96.5</v>
      </c>
      <c r="H935" t="inlineStr">
        <is>
          <t>28 480 000</t>
        </is>
      </c>
      <c r="I935" t="inlineStr"/>
      <c r="J935" t="inlineStr"/>
      <c r="K935" t="inlineStr"/>
      <c r="L935" t="inlineStr"/>
      <c r="M935" t="inlineStr"/>
      <c r="N935" t="inlineStr">
        <is>
          <t>no</t>
        </is>
      </c>
      <c r="O935" t="inlineStr">
        <is>
          <t>none</t>
        </is>
      </c>
      <c r="P935">
        <f>HYPERLINK("https://knru.ru/catalog/pr-t-stroitelej-k-4-1/","ссылка")</f>
        <v/>
      </c>
      <c r="Q935" t="inlineStr"/>
      <c r="R935" t="inlineStr">
        <is>
          <t>Нет у нас</t>
        </is>
      </c>
      <c r="S935" t="n">
        <v>0</v>
      </c>
      <c r="T935" t="inlineStr">
        <is>
          <t>Совпадений по улице+дому не найдено</t>
        </is>
      </c>
      <c r="U935" t="n">
        <v>1227</v>
      </c>
      <c r="V935" t="n">
        <v>52</v>
      </c>
      <c r="W935" t="n">
        <v>3</v>
      </c>
      <c r="X935" t="n">
        <v>28480000</v>
      </c>
      <c r="Y935" t="inlineStr"/>
      <c r="Z935" t="inlineStr"/>
      <c r="AA935" t="inlineStr">
        <is>
          <t>https://knru.ru/catalog/pr-t-stroitelej-k-4-1/</t>
        </is>
      </c>
      <c r="AB935" t="inlineStr">
        <is>
          <t>C</t>
        </is>
      </c>
    </row>
    <row r="936">
      <c r="A936" t="n">
        <v>1228</v>
      </c>
      <c r="B936" t="n">
        <v>52</v>
      </c>
      <c r="C936" t="n">
        <v>4</v>
      </c>
      <c r="D936" t="n">
        <v>556876</v>
      </c>
      <c r="E936" t="inlineStr"/>
      <c r="F936" t="inlineStr">
        <is>
          <t>ул Питерская</t>
        </is>
      </c>
      <c r="G936" t="n">
        <v>131.5</v>
      </c>
      <c r="H936" t="inlineStr">
        <is>
          <t>24 327 500</t>
        </is>
      </c>
      <c r="I936" t="inlineStr"/>
      <c r="J936" t="inlineStr"/>
      <c r="K936" t="inlineStr"/>
      <c r="L936" t="inlineStr"/>
      <c r="M936" t="inlineStr"/>
      <c r="N936" t="inlineStr">
        <is>
          <t>no</t>
        </is>
      </c>
      <c r="O936" t="inlineStr">
        <is>
          <t>none</t>
        </is>
      </c>
      <c r="P936">
        <f>HYPERLINK("https://knru.ru/catalog/novosele-piterskij-pr-556876/","ссылка")</f>
        <v/>
      </c>
      <c r="Q936" t="inlineStr"/>
      <c r="R936" t="inlineStr">
        <is>
          <t>Нет у нас</t>
        </is>
      </c>
      <c r="S936" t="n">
        <v>0</v>
      </c>
      <c r="T936" t="inlineStr">
        <is>
          <t>Совпадений по улице+дому не найдено</t>
        </is>
      </c>
      <c r="U936" t="n">
        <v>1228</v>
      </c>
      <c r="V936" t="n">
        <v>52</v>
      </c>
      <c r="W936" t="n">
        <v>4</v>
      </c>
      <c r="X936" t="n">
        <v>24327500</v>
      </c>
      <c r="Y936" t="inlineStr"/>
      <c r="Z936" t="inlineStr"/>
      <c r="AA936" t="inlineStr">
        <is>
          <t>https://knru.ru/catalog/novosele-piterskij-pr-556876/</t>
        </is>
      </c>
      <c r="AB936" t="inlineStr">
        <is>
          <t>C</t>
        </is>
      </c>
    </row>
    <row r="937">
      <c r="A937" t="n">
        <v>1229</v>
      </c>
      <c r="B937" t="n">
        <v>52</v>
      </c>
      <c r="C937" t="n">
        <v>5</v>
      </c>
      <c r="D937" t="n">
        <v>556875</v>
      </c>
      <c r="E937" t="inlineStr">
        <is>
          <t>Ломоносовский</t>
        </is>
      </c>
      <c r="F937" t="inlineStr">
        <is>
          <t>Адмиралтейская ул, 11</t>
        </is>
      </c>
      <c r="G937" t="n">
        <v>88.8</v>
      </c>
      <c r="H937" t="inlineStr">
        <is>
          <t>16 872 000</t>
        </is>
      </c>
      <c r="I937" t="inlineStr"/>
      <c r="J937" t="inlineStr"/>
      <c r="K937" t="inlineStr"/>
      <c r="L937" t="inlineStr"/>
      <c r="M937" t="inlineStr"/>
      <c r="N937" t="inlineStr">
        <is>
          <t>no</t>
        </is>
      </c>
      <c r="O937" t="inlineStr">
        <is>
          <t>none</t>
        </is>
      </c>
      <c r="P937">
        <f>HYPERLINK("https://knru.ru/catalog/novosele-piterskij-pr-556875/","ссылка")</f>
        <v/>
      </c>
      <c r="Q937" t="inlineStr"/>
      <c r="R937" t="inlineStr">
        <is>
          <t>Нет у нас</t>
        </is>
      </c>
      <c r="S937" t="n">
        <v>0</v>
      </c>
      <c r="T937" t="inlineStr">
        <is>
          <t>Совпадений по улице+дому не найдено</t>
        </is>
      </c>
      <c r="U937" t="n">
        <v>1229</v>
      </c>
      <c r="V937" t="n">
        <v>52</v>
      </c>
      <c r="W937" t="n">
        <v>5</v>
      </c>
      <c r="X937" t="n">
        <v>16872000</v>
      </c>
      <c r="Y937" t="inlineStr"/>
      <c r="Z937" t="inlineStr"/>
      <c r="AA937" t="inlineStr">
        <is>
          <t>https://knru.ru/catalog/novosele-piterskij-pr-556875/</t>
        </is>
      </c>
      <c r="AB937" t="inlineStr">
        <is>
          <t>C</t>
        </is>
      </c>
    </row>
    <row r="938">
      <c r="A938" t="n">
        <v>1230</v>
      </c>
      <c r="B938" t="n">
        <v>52</v>
      </c>
      <c r="C938" t="n">
        <v>6</v>
      </c>
      <c r="D938" t="n">
        <v>556874</v>
      </c>
      <c r="E938" t="inlineStr"/>
      <c r="F938" t="inlineStr">
        <is>
          <t>ул Питерская</t>
        </is>
      </c>
      <c r="G938" t="n">
        <v>87.7</v>
      </c>
      <c r="H938" t="inlineStr">
        <is>
          <t>16 663 000</t>
        </is>
      </c>
      <c r="I938" t="inlineStr"/>
      <c r="J938" t="inlineStr"/>
      <c r="K938" t="inlineStr"/>
      <c r="L938" t="inlineStr"/>
      <c r="M938" t="inlineStr"/>
      <c r="N938" t="inlineStr">
        <is>
          <t>no</t>
        </is>
      </c>
      <c r="O938" t="inlineStr">
        <is>
          <t>none</t>
        </is>
      </c>
      <c r="P938">
        <f>HYPERLINK("https://knru.ru/catalog/novosele-piterskij-pr-556874/","ссылка")</f>
        <v/>
      </c>
      <c r="Q938" t="inlineStr"/>
      <c r="R938" t="inlineStr">
        <is>
          <t>Нет у нас</t>
        </is>
      </c>
      <c r="S938" t="n">
        <v>0</v>
      </c>
      <c r="T938" t="inlineStr">
        <is>
          <t>Совпадений по улице+дому не найдено</t>
        </is>
      </c>
      <c r="U938" t="n">
        <v>1230</v>
      </c>
      <c r="V938" t="n">
        <v>52</v>
      </c>
      <c r="W938" t="n">
        <v>6</v>
      </c>
      <c r="X938" t="n">
        <v>16663000</v>
      </c>
      <c r="Y938" t="inlineStr"/>
      <c r="Z938" t="inlineStr"/>
      <c r="AA938" t="inlineStr">
        <is>
          <t>https://knru.ru/catalog/novosele-piterskij-pr-556874/</t>
        </is>
      </c>
      <c r="AB938" t="inlineStr">
        <is>
          <t>C</t>
        </is>
      </c>
    </row>
    <row r="939">
      <c r="A939" t="n">
        <v>1231</v>
      </c>
      <c r="B939" t="n">
        <v>52</v>
      </c>
      <c r="C939" t="n">
        <v>7</v>
      </c>
      <c r="D939" t="inlineStr"/>
      <c r="E939" t="inlineStr"/>
      <c r="F939" t="inlineStr">
        <is>
          <t>ул Питерская</t>
        </is>
      </c>
      <c r="G939" t="n">
        <v>89.5</v>
      </c>
      <c r="H939" t="inlineStr">
        <is>
          <t>17 005 000</t>
        </is>
      </c>
      <c r="I939" t="inlineStr"/>
      <c r="J939" t="inlineStr"/>
      <c r="K939" t="inlineStr"/>
      <c r="L939" t="inlineStr"/>
      <c r="M939" t="inlineStr"/>
      <c r="N939" t="inlineStr">
        <is>
          <t>no</t>
        </is>
      </c>
      <c r="O939" t="inlineStr">
        <is>
          <t>none</t>
        </is>
      </c>
      <c r="P939">
        <f>HYPERLINK("https://knru.ru/catalog/novosele-piterskij-pr/","ссылка")</f>
        <v/>
      </c>
      <c r="Q939" t="inlineStr"/>
      <c r="R939" t="inlineStr">
        <is>
          <t>Нет у нас</t>
        </is>
      </c>
      <c r="S939" t="n">
        <v>0</v>
      </c>
      <c r="T939" t="inlineStr">
        <is>
          <t>Совпадений по улице+дому не найдено</t>
        </is>
      </c>
      <c r="U939" t="n">
        <v>1231</v>
      </c>
      <c r="V939" t="n">
        <v>52</v>
      </c>
      <c r="W939" t="n">
        <v>7</v>
      </c>
      <c r="X939" t="n">
        <v>17005000</v>
      </c>
      <c r="Y939" t="inlineStr"/>
      <c r="Z939" t="inlineStr"/>
      <c r="AA939" t="inlineStr">
        <is>
          <t>https://knru.ru/catalog/novosele-piterskij-pr/</t>
        </is>
      </c>
      <c r="AB939" t="inlineStr">
        <is>
          <t>C</t>
        </is>
      </c>
    </row>
    <row r="940">
      <c r="A940" t="n">
        <v>1232</v>
      </c>
      <c r="B940" t="n">
        <v>52</v>
      </c>
      <c r="C940" t="n">
        <v>8</v>
      </c>
      <c r="D940" t="inlineStr"/>
      <c r="E940" t="inlineStr"/>
      <c r="F940" t="inlineStr">
        <is>
          <t>Невская ул, 11/1</t>
        </is>
      </c>
      <c r="G940" t="n">
        <v>113.7</v>
      </c>
      <c r="H940" t="inlineStr">
        <is>
          <t>18 190 400</t>
        </is>
      </c>
      <c r="I940" t="inlineStr"/>
      <c r="J940" t="inlineStr"/>
      <c r="K940" t="inlineStr"/>
      <c r="L940" t="inlineStr"/>
      <c r="M940" t="inlineStr"/>
      <c r="N940" t="inlineStr">
        <is>
          <t>no</t>
        </is>
      </c>
      <c r="O940" t="inlineStr">
        <is>
          <t>none</t>
        </is>
      </c>
      <c r="P940">
        <f>HYPERLINK("https://knru.ru/catalog/lo-novosele-zhk-quot-uyutnyj-novosele-quot/","ссылка")</f>
        <v/>
      </c>
      <c r="Q940" t="inlineStr"/>
      <c r="R940" t="inlineStr">
        <is>
          <t>Нет у нас</t>
        </is>
      </c>
      <c r="S940" t="n">
        <v>0</v>
      </c>
      <c r="T940" t="inlineStr">
        <is>
          <t>Совпадений по улице+дому не найдено</t>
        </is>
      </c>
      <c r="U940" t="n">
        <v>1232</v>
      </c>
      <c r="V940" t="n">
        <v>52</v>
      </c>
      <c r="W940" t="n">
        <v>8</v>
      </c>
      <c r="X940" t="n">
        <v>18190400</v>
      </c>
      <c r="Y940" t="inlineStr"/>
      <c r="Z940" t="inlineStr"/>
      <c r="AA940" t="inlineStr">
        <is>
          <t>https://knru.ru/catalog/lo-novosele-zhk-quot-uyutnyj-novosele-quot/</t>
        </is>
      </c>
      <c r="AB940" t="inlineStr">
        <is>
          <t>C</t>
        </is>
      </c>
    </row>
    <row r="941">
      <c r="A941" t="n">
        <v>1233</v>
      </c>
      <c r="B941" t="n">
        <v>52</v>
      </c>
      <c r="C941" t="n">
        <v>9</v>
      </c>
      <c r="D941" t="n">
        <v>556621</v>
      </c>
      <c r="E941" t="inlineStr">
        <is>
          <t>Московский</t>
        </is>
      </c>
      <c r="F941" t="inlineStr">
        <is>
          <t>Благодатная ул, 50</t>
        </is>
      </c>
      <c r="G941" t="n">
        <v>208.9</v>
      </c>
      <c r="H941" t="inlineStr">
        <is>
          <t>91 180 485</t>
        </is>
      </c>
      <c r="I941" t="inlineStr"/>
      <c r="J941" t="inlineStr"/>
      <c r="K941" t="inlineStr"/>
      <c r="L941" t="inlineStr"/>
      <c r="M941" t="inlineStr"/>
      <c r="N941" t="inlineStr">
        <is>
          <t>no</t>
        </is>
      </c>
      <c r="O941" t="inlineStr">
        <is>
          <t>none</t>
        </is>
      </c>
      <c r="P941">
        <f>HYPERLINK("https://knru.ru/catalog/ul-blagodatnaya-d-50-556621/","ссылка")</f>
        <v/>
      </c>
      <c r="Q941" t="inlineStr"/>
      <c r="R941" t="inlineStr">
        <is>
          <t>Нет у нас</t>
        </is>
      </c>
      <c r="S941" t="n">
        <v>0</v>
      </c>
      <c r="T941" t="inlineStr">
        <is>
          <t>Совпадений по улице+дому не найдено</t>
        </is>
      </c>
      <c r="U941" t="n">
        <v>1233</v>
      </c>
      <c r="V941" t="n">
        <v>52</v>
      </c>
      <c r="W941" t="n">
        <v>9</v>
      </c>
      <c r="X941" t="n">
        <v>91180485</v>
      </c>
      <c r="Y941" t="inlineStr"/>
      <c r="Z941" t="inlineStr"/>
      <c r="AA941" t="inlineStr">
        <is>
          <t>https://knru.ru/catalog/ul-blagodatnaya-d-50-556621/</t>
        </is>
      </c>
      <c r="AB941" t="inlineStr">
        <is>
          <t>C</t>
        </is>
      </c>
    </row>
    <row r="942">
      <c r="A942" t="n">
        <v>1234</v>
      </c>
      <c r="B942" t="n">
        <v>52</v>
      </c>
      <c r="C942" t="n">
        <v>10</v>
      </c>
      <c r="D942" t="n">
        <v>556620</v>
      </c>
      <c r="E942" t="inlineStr">
        <is>
          <t>Московский</t>
        </is>
      </c>
      <c r="F942" t="inlineStr">
        <is>
          <t>Благодатная ул, 50</t>
        </is>
      </c>
      <c r="G942" t="n">
        <v>180</v>
      </c>
      <c r="H942" t="inlineStr">
        <is>
          <t>76 300 554</t>
        </is>
      </c>
      <c r="I942" t="inlineStr"/>
      <c r="J942" t="inlineStr"/>
      <c r="K942" t="inlineStr"/>
      <c r="L942" t="inlineStr"/>
      <c r="M942" t="inlineStr"/>
      <c r="N942" t="inlineStr">
        <is>
          <t>no</t>
        </is>
      </c>
      <c r="O942" t="inlineStr">
        <is>
          <t>none</t>
        </is>
      </c>
      <c r="P942">
        <f>HYPERLINK("https://knru.ru/catalog/ul-blagodatnaya-d-50-556620/","ссылка")</f>
        <v/>
      </c>
      <c r="Q942" t="inlineStr"/>
      <c r="R942" t="inlineStr">
        <is>
          <t>Нет у нас</t>
        </is>
      </c>
      <c r="S942" t="n">
        <v>0</v>
      </c>
      <c r="T942" t="inlineStr">
        <is>
          <t>Совпадений по улице+дому не найдено</t>
        </is>
      </c>
      <c r="U942" t="n">
        <v>1234</v>
      </c>
      <c r="V942" t="n">
        <v>52</v>
      </c>
      <c r="W942" t="n">
        <v>10</v>
      </c>
      <c r="X942" t="n">
        <v>76300554</v>
      </c>
      <c r="Y942" t="inlineStr"/>
      <c r="Z942" t="inlineStr"/>
      <c r="AA942" t="inlineStr">
        <is>
          <t>https://knru.ru/catalog/ul-blagodatnaya-d-50-556620/</t>
        </is>
      </c>
      <c r="AB942" t="inlineStr">
        <is>
          <t>C</t>
        </is>
      </c>
    </row>
    <row r="943">
      <c r="A943" t="n">
        <v>1235</v>
      </c>
      <c r="B943" t="n">
        <v>52</v>
      </c>
      <c r="C943" t="n">
        <v>11</v>
      </c>
      <c r="D943" t="n">
        <v>556618</v>
      </c>
      <c r="E943" t="inlineStr">
        <is>
          <t>Московский</t>
        </is>
      </c>
      <c r="F943" t="inlineStr">
        <is>
          <t>Благодатная ул, 50</t>
        </is>
      </c>
      <c r="G943" t="n">
        <v>103.4</v>
      </c>
      <c r="H943" t="inlineStr">
        <is>
          <t>46 530 000</t>
        </is>
      </c>
      <c r="I943" t="inlineStr"/>
      <c r="J943" t="inlineStr"/>
      <c r="K943" t="inlineStr"/>
      <c r="L943" t="inlineStr"/>
      <c r="M943" t="inlineStr"/>
      <c r="N943" t="inlineStr">
        <is>
          <t>no</t>
        </is>
      </c>
      <c r="O943" t="inlineStr">
        <is>
          <t>none</t>
        </is>
      </c>
      <c r="P943">
        <f>HYPERLINK("https://knru.ru/catalog/ul-blagodatnaya-d-50-556618/","ссылка")</f>
        <v/>
      </c>
      <c r="Q943" t="inlineStr"/>
      <c r="R943" t="inlineStr">
        <is>
          <t>Нет у нас</t>
        </is>
      </c>
      <c r="S943" t="n">
        <v>0</v>
      </c>
      <c r="T943" t="inlineStr">
        <is>
          <t>Совпадений по улице+дому не найдено</t>
        </is>
      </c>
      <c r="U943" t="n">
        <v>1235</v>
      </c>
      <c r="V943" t="n">
        <v>52</v>
      </c>
      <c r="W943" t="n">
        <v>11</v>
      </c>
      <c r="X943" t="n">
        <v>46530000</v>
      </c>
      <c r="Y943" t="inlineStr"/>
      <c r="Z943" t="inlineStr"/>
      <c r="AA943" t="inlineStr">
        <is>
          <t>https://knru.ru/catalog/ul-blagodatnaya-d-50-556618/</t>
        </is>
      </c>
      <c r="AB943" t="inlineStr">
        <is>
          <t>C</t>
        </is>
      </c>
    </row>
    <row r="944">
      <c r="A944" t="n">
        <v>1236</v>
      </c>
      <c r="B944" t="n">
        <v>52</v>
      </c>
      <c r="C944" t="n">
        <v>12</v>
      </c>
      <c r="D944" t="n">
        <v>556617</v>
      </c>
      <c r="E944" t="inlineStr">
        <is>
          <t>Московский</t>
        </is>
      </c>
      <c r="F944" t="inlineStr">
        <is>
          <t>Благодатная ул, 50</t>
        </is>
      </c>
      <c r="G944" t="n">
        <v>99.8</v>
      </c>
      <c r="H944" t="inlineStr">
        <is>
          <t>44 120 000</t>
        </is>
      </c>
      <c r="I944" t="inlineStr"/>
      <c r="J944" t="inlineStr"/>
      <c r="K944" t="inlineStr"/>
      <c r="L944" t="inlineStr"/>
      <c r="M944" t="inlineStr"/>
      <c r="N944" t="inlineStr">
        <is>
          <t>no</t>
        </is>
      </c>
      <c r="O944" t="inlineStr">
        <is>
          <t>none</t>
        </is>
      </c>
      <c r="P944">
        <f>HYPERLINK("https://knru.ru/catalog/ul-blagodatnaya-d-50-556617/","ссылка")</f>
        <v/>
      </c>
      <c r="Q944" t="inlineStr"/>
      <c r="R944" t="inlineStr">
        <is>
          <t>Нет у нас</t>
        </is>
      </c>
      <c r="S944" t="n">
        <v>0</v>
      </c>
      <c r="T944" t="inlineStr">
        <is>
          <t>Совпадений по улице+дому не найдено</t>
        </is>
      </c>
      <c r="U944" t="n">
        <v>1236</v>
      </c>
      <c r="V944" t="n">
        <v>52</v>
      </c>
      <c r="W944" t="n">
        <v>12</v>
      </c>
      <c r="X944" t="n">
        <v>44120000</v>
      </c>
      <c r="Y944" t="inlineStr"/>
      <c r="Z944" t="inlineStr"/>
      <c r="AA944" t="inlineStr">
        <is>
          <t>https://knru.ru/catalog/ul-blagodatnaya-d-50-556617/</t>
        </is>
      </c>
      <c r="AB944" t="inlineStr">
        <is>
          <t>C</t>
        </is>
      </c>
    </row>
    <row r="945">
      <c r="A945" t="n">
        <v>1237</v>
      </c>
      <c r="B945" t="n">
        <v>52</v>
      </c>
      <c r="C945" t="n">
        <v>13</v>
      </c>
      <c r="D945" t="n">
        <v>556616</v>
      </c>
      <c r="E945" t="inlineStr">
        <is>
          <t>Московский</t>
        </is>
      </c>
      <c r="F945" t="inlineStr">
        <is>
          <t>Благодатная ул, 50</t>
        </is>
      </c>
      <c r="G945" t="n">
        <v>92.09999999999999</v>
      </c>
      <c r="H945" t="inlineStr">
        <is>
          <t>36 840 000</t>
        </is>
      </c>
      <c r="I945" t="inlineStr"/>
      <c r="J945" t="inlineStr"/>
      <c r="K945" t="inlineStr"/>
      <c r="L945" t="inlineStr"/>
      <c r="M945" t="inlineStr"/>
      <c r="N945" t="inlineStr">
        <is>
          <t>no</t>
        </is>
      </c>
      <c r="O945" t="inlineStr">
        <is>
          <t>none</t>
        </is>
      </c>
      <c r="P945">
        <f>HYPERLINK("https://knru.ru/catalog/ul-blagodatnaya-d-50-556616/","ссылка")</f>
        <v/>
      </c>
      <c r="Q945" t="inlineStr"/>
      <c r="R945" t="inlineStr">
        <is>
          <t>Нет у нас</t>
        </is>
      </c>
      <c r="S945" t="n">
        <v>0</v>
      </c>
      <c r="T945" t="inlineStr">
        <is>
          <t>Совпадений по улице+дому не найдено</t>
        </is>
      </c>
      <c r="U945" t="n">
        <v>1237</v>
      </c>
      <c r="V945" t="n">
        <v>52</v>
      </c>
      <c r="W945" t="n">
        <v>13</v>
      </c>
      <c r="X945" t="n">
        <v>36840000</v>
      </c>
      <c r="Y945" t="inlineStr"/>
      <c r="Z945" t="inlineStr"/>
      <c r="AA945" t="inlineStr">
        <is>
          <t>https://knru.ru/catalog/ul-blagodatnaya-d-50-556616/</t>
        </is>
      </c>
      <c r="AB945" t="inlineStr">
        <is>
          <t>C</t>
        </is>
      </c>
    </row>
    <row r="946">
      <c r="A946" t="n">
        <v>1238</v>
      </c>
      <c r="B946" t="n">
        <v>52</v>
      </c>
      <c r="C946" t="n">
        <v>14</v>
      </c>
      <c r="D946" t="n">
        <v>556615</v>
      </c>
      <c r="E946" t="inlineStr">
        <is>
          <t>Московский</t>
        </is>
      </c>
      <c r="F946" t="inlineStr">
        <is>
          <t>Благодатная ул, 50</t>
        </is>
      </c>
      <c r="G946" t="n">
        <v>91.8</v>
      </c>
      <c r="H946" t="inlineStr">
        <is>
          <t>41 310 000</t>
        </is>
      </c>
      <c r="I946" t="inlineStr"/>
      <c r="J946" t="inlineStr"/>
      <c r="K946" t="inlineStr"/>
      <c r="L946" t="inlineStr"/>
      <c r="M946" t="inlineStr"/>
      <c r="N946" t="inlineStr">
        <is>
          <t>no</t>
        </is>
      </c>
      <c r="O946" t="inlineStr">
        <is>
          <t>none</t>
        </is>
      </c>
      <c r="P946">
        <f>HYPERLINK("https://knru.ru/catalog/ul-blagodatnaya-d-50-556615/","ссылка")</f>
        <v/>
      </c>
      <c r="Q946" t="inlineStr"/>
      <c r="R946" t="inlineStr">
        <is>
          <t>Нет у нас</t>
        </is>
      </c>
      <c r="S946" t="n">
        <v>0</v>
      </c>
      <c r="T946" t="inlineStr">
        <is>
          <t>Совпадений по улице+дому не найдено</t>
        </is>
      </c>
      <c r="U946" t="n">
        <v>1238</v>
      </c>
      <c r="V946" t="n">
        <v>52</v>
      </c>
      <c r="W946" t="n">
        <v>14</v>
      </c>
      <c r="X946" t="n">
        <v>41310000</v>
      </c>
      <c r="Y946" t="inlineStr"/>
      <c r="Z946" t="inlineStr"/>
      <c r="AA946" t="inlineStr">
        <is>
          <t>https://knru.ru/catalog/ul-blagodatnaya-d-50-556615/</t>
        </is>
      </c>
      <c r="AB946" t="inlineStr">
        <is>
          <t>C</t>
        </is>
      </c>
    </row>
    <row r="947">
      <c r="A947" t="n">
        <v>1239</v>
      </c>
      <c r="B947" t="n">
        <v>52</v>
      </c>
      <c r="C947" t="n">
        <v>15</v>
      </c>
      <c r="D947" t="n">
        <v>556614</v>
      </c>
      <c r="E947" t="inlineStr">
        <is>
          <t>Московский</t>
        </is>
      </c>
      <c r="F947" t="inlineStr">
        <is>
          <t>Благодатная ул, 50</t>
        </is>
      </c>
      <c r="G947" t="n">
        <v>84.59999999999999</v>
      </c>
      <c r="H947" t="inlineStr">
        <is>
          <t>29 024 660</t>
        </is>
      </c>
      <c r="I947" t="inlineStr"/>
      <c r="J947" t="inlineStr"/>
      <c r="K947" t="inlineStr"/>
      <c r="L947" t="inlineStr"/>
      <c r="M947" t="inlineStr"/>
      <c r="N947" t="inlineStr">
        <is>
          <t>no</t>
        </is>
      </c>
      <c r="O947" t="inlineStr">
        <is>
          <t>none</t>
        </is>
      </c>
      <c r="P947">
        <f>HYPERLINK("https://knru.ru/catalog/ul-blagodatnaya-d-50-556614/","ссылка")</f>
        <v/>
      </c>
      <c r="Q947" t="inlineStr"/>
      <c r="R947" t="inlineStr">
        <is>
          <t>Нет у нас</t>
        </is>
      </c>
      <c r="S947" t="n">
        <v>0</v>
      </c>
      <c r="T947" t="inlineStr">
        <is>
          <t>Совпадений по улице+дому не найдено</t>
        </is>
      </c>
      <c r="U947" t="n">
        <v>1239</v>
      </c>
      <c r="V947" t="n">
        <v>52</v>
      </c>
      <c r="W947" t="n">
        <v>15</v>
      </c>
      <c r="X947" t="n">
        <v>29024660</v>
      </c>
      <c r="Y947" t="inlineStr"/>
      <c r="Z947" t="inlineStr"/>
      <c r="AA947" t="inlineStr">
        <is>
          <t>https://knru.ru/catalog/ul-blagodatnaya-d-50-556614/</t>
        </is>
      </c>
      <c r="AB947" t="inlineStr">
        <is>
          <t>C</t>
        </is>
      </c>
    </row>
    <row r="948">
      <c r="A948" t="n">
        <v>1240</v>
      </c>
      <c r="B948" t="n">
        <v>52</v>
      </c>
      <c r="C948" t="n">
        <v>16</v>
      </c>
      <c r="D948" t="n">
        <v>556613</v>
      </c>
      <c r="E948" t="inlineStr">
        <is>
          <t>Московский</t>
        </is>
      </c>
      <c r="F948" t="inlineStr">
        <is>
          <t>Благодатная ул, 50</t>
        </is>
      </c>
      <c r="G948" t="n">
        <v>75.40000000000001</v>
      </c>
      <c r="H948" t="inlineStr">
        <is>
          <t>33 930 000</t>
        </is>
      </c>
      <c r="I948" t="inlineStr"/>
      <c r="J948" t="inlineStr"/>
      <c r="K948" t="inlineStr"/>
      <c r="L948" t="inlineStr"/>
      <c r="M948" t="inlineStr"/>
      <c r="N948" t="inlineStr">
        <is>
          <t>no</t>
        </is>
      </c>
      <c r="O948" t="inlineStr">
        <is>
          <t>none</t>
        </is>
      </c>
      <c r="P948">
        <f>HYPERLINK("https://knru.ru/catalog/ul-blagodatnaya-d-50-556613/","ссылка")</f>
        <v/>
      </c>
      <c r="Q948" t="inlineStr"/>
      <c r="R948" t="inlineStr">
        <is>
          <t>Нет у нас</t>
        </is>
      </c>
      <c r="S948" t="n">
        <v>0</v>
      </c>
      <c r="T948" t="inlineStr">
        <is>
          <t>Совпадений по улице+дому не найдено</t>
        </is>
      </c>
      <c r="U948" t="n">
        <v>1240</v>
      </c>
      <c r="V948" t="n">
        <v>52</v>
      </c>
      <c r="W948" t="n">
        <v>16</v>
      </c>
      <c r="X948" t="n">
        <v>33930000</v>
      </c>
      <c r="Y948" t="inlineStr"/>
      <c r="Z948" t="inlineStr"/>
      <c r="AA948" t="inlineStr">
        <is>
          <t>https://knru.ru/catalog/ul-blagodatnaya-d-50-556613/</t>
        </is>
      </c>
      <c r="AB948" t="inlineStr">
        <is>
          <t>C</t>
        </is>
      </c>
    </row>
    <row r="949">
      <c r="A949" t="n">
        <v>1241</v>
      </c>
      <c r="B949" t="n">
        <v>52</v>
      </c>
      <c r="C949" t="n">
        <v>17</v>
      </c>
      <c r="D949" t="n">
        <v>556612</v>
      </c>
      <c r="E949" t="inlineStr">
        <is>
          <t>Московский</t>
        </is>
      </c>
      <c r="F949" t="inlineStr">
        <is>
          <t>Благодатная ул, 50</t>
        </is>
      </c>
      <c r="G949" t="n">
        <v>57.6</v>
      </c>
      <c r="H949" t="inlineStr">
        <is>
          <t>20 160 000</t>
        </is>
      </c>
      <c r="I949" t="inlineStr"/>
      <c r="J949" t="inlineStr"/>
      <c r="K949" t="inlineStr"/>
      <c r="L949" t="inlineStr"/>
      <c r="M949" t="inlineStr"/>
      <c r="N949" t="inlineStr">
        <is>
          <t>no</t>
        </is>
      </c>
      <c r="O949" t="inlineStr">
        <is>
          <t>none</t>
        </is>
      </c>
      <c r="P949">
        <f>HYPERLINK("https://knru.ru/catalog/ul-blagodatnaya-d-50-556612/","ссылка")</f>
        <v/>
      </c>
      <c r="Q949" t="inlineStr"/>
      <c r="R949" t="inlineStr">
        <is>
          <t>Нет у нас</t>
        </is>
      </c>
      <c r="S949" t="n">
        <v>0</v>
      </c>
      <c r="T949" t="inlineStr">
        <is>
          <t>Совпадений по улице+дому не найдено</t>
        </is>
      </c>
      <c r="U949" t="n">
        <v>1241</v>
      </c>
      <c r="V949" t="n">
        <v>52</v>
      </c>
      <c r="W949" t="n">
        <v>17</v>
      </c>
      <c r="X949" t="n">
        <v>20160000</v>
      </c>
      <c r="Y949" t="inlineStr"/>
      <c r="Z949" t="inlineStr"/>
      <c r="AA949" t="inlineStr">
        <is>
          <t>https://knru.ru/catalog/ul-blagodatnaya-d-50-556612/</t>
        </is>
      </c>
      <c r="AB949" t="inlineStr">
        <is>
          <t>C</t>
        </is>
      </c>
    </row>
    <row r="950">
      <c r="A950" t="n">
        <v>1242</v>
      </c>
      <c r="B950" t="n">
        <v>52</v>
      </c>
      <c r="C950" t="n">
        <v>18</v>
      </c>
      <c r="D950" t="n">
        <v>556610</v>
      </c>
      <c r="E950" t="inlineStr">
        <is>
          <t>Московский</t>
        </is>
      </c>
      <c r="F950" t="inlineStr">
        <is>
          <t>Благодатная ул, 50</t>
        </is>
      </c>
      <c r="G950" t="n">
        <v>51.3</v>
      </c>
      <c r="H950" t="inlineStr">
        <is>
          <t>20 520 000</t>
        </is>
      </c>
      <c r="I950" t="inlineStr"/>
      <c r="J950" t="inlineStr"/>
      <c r="K950" t="inlineStr"/>
      <c r="L950" t="inlineStr"/>
      <c r="M950" t="inlineStr"/>
      <c r="N950" t="inlineStr">
        <is>
          <t>no</t>
        </is>
      </c>
      <c r="O950" t="inlineStr">
        <is>
          <t>none</t>
        </is>
      </c>
      <c r="P950">
        <f>HYPERLINK("https://knru.ru/catalog/ul-blagodatnaya-d-50-556610/","ссылка")</f>
        <v/>
      </c>
      <c r="Q950" t="inlineStr"/>
      <c r="R950" t="inlineStr">
        <is>
          <t>Нет у нас</t>
        </is>
      </c>
      <c r="S950" t="n">
        <v>0</v>
      </c>
      <c r="T950" t="inlineStr">
        <is>
          <t>Совпадений по улице+дому не найдено</t>
        </is>
      </c>
      <c r="U950" t="n">
        <v>1242</v>
      </c>
      <c r="V950" t="n">
        <v>52</v>
      </c>
      <c r="W950" t="n">
        <v>18</v>
      </c>
      <c r="X950" t="n">
        <v>20520000</v>
      </c>
      <c r="Y950" t="inlineStr"/>
      <c r="Z950" t="inlineStr"/>
      <c r="AA950" t="inlineStr">
        <is>
          <t>https://knru.ru/catalog/ul-blagodatnaya-d-50-556610/</t>
        </is>
      </c>
      <c r="AB950" t="inlineStr">
        <is>
          <t>C</t>
        </is>
      </c>
    </row>
    <row r="951">
      <c r="A951" t="n">
        <v>1243</v>
      </c>
      <c r="B951" t="n">
        <v>52</v>
      </c>
      <c r="C951" t="n">
        <v>19</v>
      </c>
      <c r="D951" t="n">
        <v>50</v>
      </c>
      <c r="E951" t="inlineStr">
        <is>
          <t>Московский</t>
        </is>
      </c>
      <c r="F951" t="inlineStr">
        <is>
          <t>Благодатная ул, 50</t>
        </is>
      </c>
      <c r="G951" t="n">
        <v>35.5</v>
      </c>
      <c r="H951" t="inlineStr">
        <is>
          <t>17 750 000</t>
        </is>
      </c>
      <c r="I951" t="inlineStr"/>
      <c r="J951" t="inlineStr"/>
      <c r="K951" t="inlineStr"/>
      <c r="L951" t="inlineStr"/>
      <c r="M951" t="inlineStr"/>
      <c r="N951" t="inlineStr">
        <is>
          <t>no</t>
        </is>
      </c>
      <c r="O951" t="inlineStr">
        <is>
          <t>none</t>
        </is>
      </c>
      <c r="P951">
        <f>HYPERLINK("https://knru.ru/catalog/ul-blagodatnaya-d-50/","ссылка")</f>
        <v/>
      </c>
      <c r="Q951" t="inlineStr"/>
      <c r="R951" t="inlineStr">
        <is>
          <t>Нет у нас</t>
        </is>
      </c>
      <c r="S951" t="n">
        <v>0</v>
      </c>
      <c r="T951" t="inlineStr">
        <is>
          <t>Совпадений по улице+дому не найдено</t>
        </is>
      </c>
      <c r="U951" t="n">
        <v>1243</v>
      </c>
      <c r="V951" t="n">
        <v>52</v>
      </c>
      <c r="W951" t="n">
        <v>19</v>
      </c>
      <c r="X951" t="n">
        <v>17750000</v>
      </c>
      <c r="Y951" t="inlineStr"/>
      <c r="Z951" t="inlineStr"/>
      <c r="AA951" t="inlineStr">
        <is>
          <t>https://knru.ru/catalog/ul-blagodatnaya-d-50/</t>
        </is>
      </c>
      <c r="AB951" t="inlineStr">
        <is>
          <t>C</t>
        </is>
      </c>
    </row>
    <row r="952">
      <c r="A952" t="n">
        <v>1244</v>
      </c>
      <c r="B952" t="n">
        <v>52</v>
      </c>
      <c r="C952" t="n">
        <v>20</v>
      </c>
      <c r="D952" t="n">
        <v>556539</v>
      </c>
      <c r="E952" t="inlineStr">
        <is>
          <t>Выборгский</t>
        </is>
      </c>
      <c r="F952" t="inlineStr">
        <is>
          <t>Курчатова ул, 14 А</t>
        </is>
      </c>
      <c r="G952" t="n">
        <v>52</v>
      </c>
      <c r="H952" t="inlineStr">
        <is>
          <t>21 725 900</t>
        </is>
      </c>
      <c r="I952" t="inlineStr"/>
      <c r="J952" t="inlineStr"/>
      <c r="K952" t="inlineStr"/>
      <c r="L952" t="inlineStr"/>
      <c r="M952" t="inlineStr"/>
      <c r="N952" t="inlineStr">
        <is>
          <t>no</t>
        </is>
      </c>
      <c r="O952" t="inlineStr">
        <is>
          <t>none</t>
        </is>
      </c>
      <c r="P952">
        <f>HYPERLINK("https://knru.ru/catalog/ul-kurchatova-d-14a-556539/","ссылка")</f>
        <v/>
      </c>
      <c r="Q952" t="inlineStr"/>
      <c r="R952" t="inlineStr">
        <is>
          <t>Нет у нас</t>
        </is>
      </c>
      <c r="S952" t="n">
        <v>0</v>
      </c>
      <c r="T952" t="inlineStr">
        <is>
          <t>Совпадений по улице+дому не найдено</t>
        </is>
      </c>
      <c r="U952" t="n">
        <v>1244</v>
      </c>
      <c r="V952" t="n">
        <v>52</v>
      </c>
      <c r="W952" t="n">
        <v>20</v>
      </c>
      <c r="X952" t="n">
        <v>21725900</v>
      </c>
      <c r="Y952" t="inlineStr"/>
      <c r="Z952" t="inlineStr"/>
      <c r="AA952" t="inlineStr">
        <is>
          <t>https://knru.ru/catalog/ul-kurchatova-d-14a-556539/</t>
        </is>
      </c>
      <c r="AB952" t="inlineStr">
        <is>
          <t>C</t>
        </is>
      </c>
    </row>
    <row r="953">
      <c r="A953" t="n">
        <v>1245</v>
      </c>
      <c r="B953" t="n">
        <v>52</v>
      </c>
      <c r="C953" t="n">
        <v>21</v>
      </c>
      <c r="D953" t="n">
        <v>556538</v>
      </c>
      <c r="E953" t="inlineStr">
        <is>
          <t>Выборгский</t>
        </is>
      </c>
      <c r="F953" t="inlineStr">
        <is>
          <t>Курчатова ул, 14 А</t>
        </is>
      </c>
      <c r="G953" t="n">
        <v>48</v>
      </c>
      <c r="H953" t="inlineStr">
        <is>
          <t>19 573 400</t>
        </is>
      </c>
      <c r="I953" t="inlineStr"/>
      <c r="J953" t="inlineStr"/>
      <c r="K953" t="inlineStr"/>
      <c r="L953" t="inlineStr"/>
      <c r="M953" t="inlineStr"/>
      <c r="N953" t="inlineStr">
        <is>
          <t>no</t>
        </is>
      </c>
      <c r="O953" t="inlineStr">
        <is>
          <t>none</t>
        </is>
      </c>
      <c r="P953">
        <f>HYPERLINK("https://knru.ru/catalog/ul-kurchatova-d-14a-556538/","ссылка")</f>
        <v/>
      </c>
      <c r="Q953" t="inlineStr"/>
      <c r="R953" t="inlineStr">
        <is>
          <t>Нет у нас</t>
        </is>
      </c>
      <c r="S953" t="n">
        <v>0</v>
      </c>
      <c r="T953" t="inlineStr">
        <is>
          <t>Совпадений по улице+дому не найдено</t>
        </is>
      </c>
      <c r="U953" t="n">
        <v>1245</v>
      </c>
      <c r="V953" t="n">
        <v>52</v>
      </c>
      <c r="W953" t="n">
        <v>21</v>
      </c>
      <c r="X953" t="n">
        <v>19573400</v>
      </c>
      <c r="Y953" t="inlineStr"/>
      <c r="Z953" t="inlineStr"/>
      <c r="AA953" t="inlineStr">
        <is>
          <t>https://knru.ru/catalog/ul-kurchatova-d-14a-556538/</t>
        </is>
      </c>
      <c r="AB953" t="inlineStr">
        <is>
          <t>C</t>
        </is>
      </c>
    </row>
    <row r="954">
      <c r="A954" t="n">
        <v>1246</v>
      </c>
      <c r="B954" t="n">
        <v>52</v>
      </c>
      <c r="C954" t="n">
        <v>22</v>
      </c>
      <c r="D954" t="inlineStr"/>
      <c r="E954" t="inlineStr">
        <is>
          <t>Выборгский</t>
        </is>
      </c>
      <c r="F954" t="inlineStr">
        <is>
          <t>Курчатова ул, 14 А</t>
        </is>
      </c>
      <c r="G954" t="n">
        <v>53</v>
      </c>
      <c r="H954" t="inlineStr">
        <is>
          <t>21 725 900</t>
        </is>
      </c>
      <c r="I954" t="inlineStr"/>
      <c r="J954" t="inlineStr"/>
      <c r="K954" t="inlineStr"/>
      <c r="L954" t="inlineStr"/>
      <c r="M954" t="inlineStr"/>
      <c r="N954" t="inlineStr">
        <is>
          <t>no</t>
        </is>
      </c>
      <c r="O954" t="inlineStr">
        <is>
          <t>none</t>
        </is>
      </c>
      <c r="P954">
        <f>HYPERLINK("https://knru.ru/catalog/ul-kurchatova-d-14a/","ссылка")</f>
        <v/>
      </c>
      <c r="Q954" t="inlineStr"/>
      <c r="R954" t="inlineStr">
        <is>
          <t>Нет у нас</t>
        </is>
      </c>
      <c r="S954" t="n">
        <v>0</v>
      </c>
      <c r="T954" t="inlineStr">
        <is>
          <t>Совпадений по улице+дому не найдено</t>
        </is>
      </c>
      <c r="U954" t="n">
        <v>1246</v>
      </c>
      <c r="V954" t="n">
        <v>52</v>
      </c>
      <c r="W954" t="n">
        <v>22</v>
      </c>
      <c r="X954" t="n">
        <v>21725900</v>
      </c>
      <c r="Y954" t="inlineStr"/>
      <c r="Z954" t="inlineStr"/>
      <c r="AA954" t="inlineStr">
        <is>
          <t>https://knru.ru/catalog/ul-kurchatova-d-14a/</t>
        </is>
      </c>
      <c r="AB954" t="inlineStr">
        <is>
          <t>C</t>
        </is>
      </c>
    </row>
    <row r="955">
      <c r="A955" t="n">
        <v>1249</v>
      </c>
      <c r="B955" t="n">
        <v>53</v>
      </c>
      <c r="C955" t="n">
        <v>1</v>
      </c>
      <c r="D955" t="inlineStr"/>
      <c r="E955" t="inlineStr">
        <is>
          <t>Приморский</t>
        </is>
      </c>
      <c r="F955" t="inlineStr">
        <is>
          <t>Долгоозёрная ул, 12к3 А</t>
        </is>
      </c>
      <c r="G955" t="n">
        <v>328</v>
      </c>
      <c r="H955" t="inlineStr">
        <is>
          <t>61 800 000</t>
        </is>
      </c>
      <c r="I955" t="inlineStr"/>
      <c r="J955" t="inlineStr"/>
      <c r="K955" t="inlineStr"/>
      <c r="L955" t="inlineStr"/>
      <c r="M955" t="inlineStr"/>
      <c r="N955" t="inlineStr">
        <is>
          <t>no</t>
        </is>
      </c>
      <c r="O955" t="inlineStr">
        <is>
          <t>none</t>
        </is>
      </c>
      <c r="P955">
        <f>HYPERLINK("https://knru.ru/catalog/ul-dolgoozyernaya-d-12-k-3-lit-a/","ссылка")</f>
        <v/>
      </c>
      <c r="Q955" t="inlineStr"/>
      <c r="R955" t="inlineStr">
        <is>
          <t>Нет у нас</t>
        </is>
      </c>
      <c r="S955" t="n">
        <v>0</v>
      </c>
      <c r="T955" t="inlineStr">
        <is>
          <t>Совпадений по улице+дому не найдено</t>
        </is>
      </c>
      <c r="U955" t="n">
        <v>1249</v>
      </c>
      <c r="V955" t="n">
        <v>53</v>
      </c>
      <c r="W955" t="n">
        <v>1</v>
      </c>
      <c r="X955" t="n">
        <v>61800000</v>
      </c>
      <c r="Y955" t="inlineStr"/>
      <c r="Z955" t="inlineStr"/>
      <c r="AA955" t="inlineStr">
        <is>
          <t>https://knru.ru/catalog/ul-dolgoozyernaya-d-12-k-3-lit-a/</t>
        </is>
      </c>
      <c r="AB955" t="inlineStr">
        <is>
          <t>C</t>
        </is>
      </c>
    </row>
    <row r="956">
      <c r="A956" t="n">
        <v>1250</v>
      </c>
      <c r="B956" t="n">
        <v>53</v>
      </c>
      <c r="C956" t="n">
        <v>2</v>
      </c>
      <c r="D956" t="n">
        <v>1</v>
      </c>
      <c r="E956" t="inlineStr"/>
      <c r="F956" t="inlineStr">
        <is>
          <t>Первомайская ул, 1</t>
        </is>
      </c>
      <c r="G956" t="n">
        <v>500</v>
      </c>
      <c r="H956" t="inlineStr">
        <is>
          <t>43 000 000</t>
        </is>
      </c>
      <c r="I956" t="inlineStr"/>
      <c r="J956" t="inlineStr"/>
      <c r="K956" t="inlineStr"/>
      <c r="L956" t="inlineStr"/>
      <c r="M956" t="inlineStr"/>
      <c r="N956" t="inlineStr">
        <is>
          <t>no</t>
        </is>
      </c>
      <c r="O956" t="inlineStr">
        <is>
          <t>none</t>
        </is>
      </c>
      <c r="P956">
        <f>HYPERLINK("https://knru.ru/catalog/rp-pushkinskie-gory-pervomajskaya-ul-d-1/","ссылка")</f>
        <v/>
      </c>
      <c r="Q956" t="inlineStr"/>
      <c r="R956" t="inlineStr">
        <is>
          <t>Нет у нас</t>
        </is>
      </c>
      <c r="S956" t="n">
        <v>0</v>
      </c>
      <c r="T956" t="inlineStr">
        <is>
          <t>Совпадений по улице+дому не найдено</t>
        </is>
      </c>
      <c r="U956" t="n">
        <v>1250</v>
      </c>
      <c r="V956" t="n">
        <v>53</v>
      </c>
      <c r="W956" t="n">
        <v>2</v>
      </c>
      <c r="X956" t="n">
        <v>43000000</v>
      </c>
      <c r="Y956" t="inlineStr"/>
      <c r="Z956" t="inlineStr"/>
      <c r="AA956" t="inlineStr">
        <is>
          <t>https://knru.ru/catalog/rp-pushkinskie-gory-pervomajskaya-ul-d-1/</t>
        </is>
      </c>
      <c r="AB956" t="inlineStr">
        <is>
          <t>C</t>
        </is>
      </c>
    </row>
    <row r="957">
      <c r="A957" t="n">
        <v>1251</v>
      </c>
      <c r="B957" t="n">
        <v>53</v>
      </c>
      <c r="C957" t="n">
        <v>3</v>
      </c>
      <c r="D957" t="inlineStr"/>
      <c r="E957" t="inlineStr">
        <is>
          <t>Центральный</t>
        </is>
      </c>
      <c r="F957" t="inlineStr">
        <is>
          <t>25 Октября пр-кт, 40г</t>
        </is>
      </c>
      <c r="G957" t="n">
        <v>450</v>
      </c>
      <c r="H957" t="inlineStr">
        <is>
          <t>100 000 000</t>
        </is>
      </c>
      <c r="I957" t="inlineStr"/>
      <c r="J957" t="inlineStr"/>
      <c r="K957" t="inlineStr"/>
      <c r="L957" t="inlineStr"/>
      <c r="M957" t="inlineStr"/>
      <c r="N957" t="inlineStr">
        <is>
          <t>no</t>
        </is>
      </c>
      <c r="O957" t="inlineStr">
        <is>
          <t>none</t>
        </is>
      </c>
      <c r="P957">
        <f>HYPERLINK("https://knru.ru/catalog/gatchina-25-oktyabrya-40g/","ссылка")</f>
        <v/>
      </c>
      <c r="Q957" t="inlineStr"/>
      <c r="R957" t="inlineStr">
        <is>
          <t>Нет у нас</t>
        </is>
      </c>
      <c r="S957" t="n">
        <v>0</v>
      </c>
      <c r="T957" t="inlineStr">
        <is>
          <t>Совпадений по улице+дому не найдено</t>
        </is>
      </c>
      <c r="U957" t="n">
        <v>1251</v>
      </c>
      <c r="V957" t="n">
        <v>53</v>
      </c>
      <c r="W957" t="n">
        <v>3</v>
      </c>
      <c r="X957" t="n">
        <v>100000000</v>
      </c>
      <c r="Y957" t="inlineStr"/>
      <c r="Z957" t="inlineStr"/>
      <c r="AA957" t="inlineStr">
        <is>
          <t>https://knru.ru/catalog/gatchina-25-oktyabrya-40g/</t>
        </is>
      </c>
      <c r="AB957" t="inlineStr">
        <is>
          <t>C</t>
        </is>
      </c>
    </row>
    <row r="958">
      <c r="A958" t="n">
        <v>1253</v>
      </c>
      <c r="B958" t="n">
        <v>53</v>
      </c>
      <c r="C958" t="n">
        <v>5</v>
      </c>
      <c r="D958" t="n">
        <v>5</v>
      </c>
      <c r="E958" t="inlineStr">
        <is>
          <t>Невский</t>
        </is>
      </c>
      <c r="F958" t="inlineStr">
        <is>
          <t>Крыленко ул, 6к5стр1</t>
        </is>
      </c>
      <c r="G958" t="n">
        <v>148.7</v>
      </c>
      <c r="H958" t="inlineStr">
        <is>
          <t>21 913 684</t>
        </is>
      </c>
      <c r="I958" t="inlineStr"/>
      <c r="J958" t="inlineStr"/>
      <c r="K958" t="inlineStr"/>
      <c r="L958" t="inlineStr"/>
      <c r="M958" t="inlineStr"/>
      <c r="N958" t="inlineStr">
        <is>
          <t>no</t>
        </is>
      </c>
      <c r="O958" t="inlineStr">
        <is>
          <t>none</t>
        </is>
      </c>
      <c r="P958">
        <f>HYPERLINK("https://knru.ru/catalog/ul-krylenko-d-6-k-5/","ссылка")</f>
        <v/>
      </c>
      <c r="Q958" t="inlineStr"/>
      <c r="R958" t="inlineStr">
        <is>
          <t>Нет у нас</t>
        </is>
      </c>
      <c r="S958" t="n">
        <v>0</v>
      </c>
      <c r="T958" t="inlineStr">
        <is>
          <t>Совпадений по улице+дому не найдено</t>
        </is>
      </c>
      <c r="U958" t="n">
        <v>1253</v>
      </c>
      <c r="V958" t="n">
        <v>53</v>
      </c>
      <c r="W958" t="n">
        <v>5</v>
      </c>
      <c r="X958" t="n">
        <v>21913684</v>
      </c>
      <c r="Y958" t="inlineStr"/>
      <c r="Z958" t="inlineStr"/>
      <c r="AA958" t="inlineStr">
        <is>
          <t>https://knru.ru/catalog/ul-krylenko-d-6-k-5/</t>
        </is>
      </c>
      <c r="AB958" t="inlineStr">
        <is>
          <t>C</t>
        </is>
      </c>
    </row>
    <row r="959">
      <c r="A959" t="n">
        <v>1254</v>
      </c>
      <c r="B959" t="n">
        <v>53</v>
      </c>
      <c r="C959" t="n">
        <v>6</v>
      </c>
      <c r="D959" t="n">
        <v>560484</v>
      </c>
      <c r="E959" t="inlineStr">
        <is>
          <t>Пушкинский</t>
        </is>
      </c>
      <c r="F959" t="inlineStr">
        <is>
          <t>Московское ш, 161к9стр1</t>
        </is>
      </c>
      <c r="G959" t="n">
        <v>1440</v>
      </c>
      <c r="H959" t="inlineStr">
        <is>
          <t>1 152 000</t>
        </is>
      </c>
      <c r="I959" t="inlineStr"/>
      <c r="J959" t="inlineStr"/>
      <c r="K959" t="inlineStr"/>
      <c r="L959" t="inlineStr"/>
      <c r="M959" t="inlineStr"/>
      <c r="N959" t="inlineStr">
        <is>
          <t>no</t>
        </is>
      </c>
      <c r="O959" t="inlineStr">
        <is>
          <t>none</t>
        </is>
      </c>
      <c r="P959">
        <f>HYPERLINK("https://knru.ru/catalog/p-shushary-moskovskoe-sh-161-k-10-560484/","ссылка")</f>
        <v/>
      </c>
      <c r="Q959" t="inlineStr"/>
      <c r="R959" t="inlineStr">
        <is>
          <t>Нет у нас</t>
        </is>
      </c>
      <c r="S959" t="n">
        <v>0</v>
      </c>
      <c r="T959" t="inlineStr">
        <is>
          <t>Совпадений по улице+дому не найдено</t>
        </is>
      </c>
      <c r="U959" t="n">
        <v>1254</v>
      </c>
      <c r="V959" t="n">
        <v>53</v>
      </c>
      <c r="W959" t="n">
        <v>6</v>
      </c>
      <c r="X959" t="n">
        <v>1152000</v>
      </c>
      <c r="Y959" t="inlineStr"/>
      <c r="Z959" t="inlineStr"/>
      <c r="AA959" t="inlineStr">
        <is>
          <t>https://knru.ru/catalog/p-shushary-moskovskoe-sh-161-k-10-560484/</t>
        </is>
      </c>
      <c r="AB959" t="inlineStr">
        <is>
          <t>C</t>
        </is>
      </c>
    </row>
    <row r="960">
      <c r="A960" t="n">
        <v>1255</v>
      </c>
      <c r="B960" t="n">
        <v>53</v>
      </c>
      <c r="C960" t="n">
        <v>7</v>
      </c>
      <c r="D960" t="inlineStr"/>
      <c r="E960" t="inlineStr">
        <is>
          <t>Петроградский</t>
        </is>
      </c>
      <c r="F960" t="inlineStr">
        <is>
          <t>Льва Толстого ул, 9 А</t>
        </is>
      </c>
      <c r="G960" t="n">
        <v>10080</v>
      </c>
      <c r="H960" t="inlineStr">
        <is>
          <t>2 016 000 000</t>
        </is>
      </c>
      <c r="I960" t="inlineStr"/>
      <c r="J960" t="inlineStr"/>
      <c r="K960" t="inlineStr"/>
      <c r="L960" t="inlineStr"/>
      <c r="M960" t="inlineStr"/>
      <c r="N960" t="inlineStr">
        <is>
          <t>no</t>
        </is>
      </c>
      <c r="O960" t="inlineStr">
        <is>
          <t>none</t>
        </is>
      </c>
      <c r="P960">
        <f>HYPERLINK("https://knru.ru/catalog/ul-lva-tolstogo-d-9-bts-tolstoj-skver/","ссылка")</f>
        <v/>
      </c>
      <c r="Q960" t="inlineStr"/>
      <c r="R960" t="inlineStr">
        <is>
          <t>Нет у нас</t>
        </is>
      </c>
      <c r="S960" t="n">
        <v>0</v>
      </c>
      <c r="T960" t="inlineStr">
        <is>
          <t>Совпадений по улице+дому не найдено</t>
        </is>
      </c>
      <c r="U960" t="n">
        <v>1255</v>
      </c>
      <c r="V960" t="n">
        <v>53</v>
      </c>
      <c r="W960" t="n">
        <v>7</v>
      </c>
      <c r="X960" t="n">
        <v>2016000000</v>
      </c>
      <c r="Y960" t="inlineStr"/>
      <c r="Z960" t="inlineStr"/>
      <c r="AA960" t="inlineStr">
        <is>
          <t>https://knru.ru/catalog/ul-lva-tolstogo-d-9-bts-tolstoj-skver/</t>
        </is>
      </c>
      <c r="AB960" t="inlineStr">
        <is>
          <t>C</t>
        </is>
      </c>
    </row>
    <row r="961">
      <c r="A961" t="n">
        <v>1257</v>
      </c>
      <c r="B961" t="n">
        <v>53</v>
      </c>
      <c r="C961" t="n">
        <v>9</v>
      </c>
      <c r="D961" t="n">
        <v>1</v>
      </c>
      <c r="E961" t="inlineStr">
        <is>
          <t>Адмиралтейский</t>
        </is>
      </c>
      <c r="F961" t="inlineStr">
        <is>
          <t>Парфёновская ул, 6к1стр1</t>
        </is>
      </c>
      <c r="G961" t="n">
        <v>32</v>
      </c>
      <c r="H961" t="inlineStr">
        <is>
          <t>9 250 000</t>
        </is>
      </c>
      <c r="I961" t="inlineStr"/>
      <c r="J961" t="inlineStr"/>
      <c r="K961" t="inlineStr"/>
      <c r="L961" t="inlineStr"/>
      <c r="M961" t="inlineStr"/>
      <c r="N961" t="inlineStr">
        <is>
          <t>no</t>
        </is>
      </c>
      <c r="O961" t="inlineStr">
        <is>
          <t>none</t>
        </is>
      </c>
      <c r="P961">
        <f>HYPERLINK("https://knru.ru/catalog/ul-parfyenovskaya-d-6-k-1/","ссылка")</f>
        <v/>
      </c>
      <c r="Q961" t="inlineStr"/>
      <c r="R961" t="inlineStr">
        <is>
          <t>Нет у нас</t>
        </is>
      </c>
      <c r="S961" t="n">
        <v>0</v>
      </c>
      <c r="T961" t="inlineStr">
        <is>
          <t>Совпадений по улице+дому не найдено</t>
        </is>
      </c>
      <c r="U961" t="n">
        <v>1257</v>
      </c>
      <c r="V961" t="n">
        <v>53</v>
      </c>
      <c r="W961" t="n">
        <v>9</v>
      </c>
      <c r="X961" t="n">
        <v>9250000</v>
      </c>
      <c r="Y961" t="inlineStr"/>
      <c r="Z961" t="inlineStr"/>
      <c r="AA961" t="inlineStr">
        <is>
          <t>https://knru.ru/catalog/ul-parfyenovskaya-d-6-k-1/</t>
        </is>
      </c>
      <c r="AB961" t="inlineStr">
        <is>
          <t>C</t>
        </is>
      </c>
    </row>
    <row r="962">
      <c r="A962" t="n">
        <v>1258</v>
      </c>
      <c r="B962" t="n">
        <v>53</v>
      </c>
      <c r="C962" t="n">
        <v>10</v>
      </c>
      <c r="D962" t="n">
        <v>10</v>
      </c>
      <c r="E962" t="inlineStr">
        <is>
          <t>Пушкинский</t>
        </is>
      </c>
      <c r="F962" t="inlineStr">
        <is>
          <t>Московское ш, 161к9стр1</t>
        </is>
      </c>
      <c r="G962" t="n">
        <v>1440</v>
      </c>
      <c r="H962" t="inlineStr">
        <is>
          <t>1 152 000</t>
        </is>
      </c>
      <c r="I962" t="inlineStr"/>
      <c r="J962" t="inlineStr"/>
      <c r="K962" t="inlineStr"/>
      <c r="L962" t="inlineStr"/>
      <c r="M962" t="inlineStr"/>
      <c r="N962" t="inlineStr">
        <is>
          <t>no</t>
        </is>
      </c>
      <c r="O962" t="inlineStr">
        <is>
          <t>none</t>
        </is>
      </c>
      <c r="P962">
        <f>HYPERLINK("https://knru.ru/catalog/p-shushary-moskovskoe-sh-161-k-10/","ссылка")</f>
        <v/>
      </c>
      <c r="Q962" t="inlineStr"/>
      <c r="R962" t="inlineStr">
        <is>
          <t>Нет у нас</t>
        </is>
      </c>
      <c r="S962" t="n">
        <v>0</v>
      </c>
      <c r="T962" t="inlineStr">
        <is>
          <t>Совпадений по улице+дому не найдено</t>
        </is>
      </c>
      <c r="U962" t="n">
        <v>1258</v>
      </c>
      <c r="V962" t="n">
        <v>53</v>
      </c>
      <c r="W962" t="n">
        <v>10</v>
      </c>
      <c r="X962" t="n">
        <v>1152000</v>
      </c>
      <c r="Y962" t="inlineStr"/>
      <c r="Z962" t="inlineStr"/>
      <c r="AA962" t="inlineStr">
        <is>
          <t>https://knru.ru/catalog/p-shushary-moskovskoe-sh-161-k-10/</t>
        </is>
      </c>
      <c r="AB962" t="inlineStr">
        <is>
          <t>C</t>
        </is>
      </c>
    </row>
    <row r="963">
      <c r="A963" t="n">
        <v>1259</v>
      </c>
      <c r="B963" t="n">
        <v>53</v>
      </c>
      <c r="C963" t="n">
        <v>11</v>
      </c>
      <c r="D963" t="n">
        <v>34</v>
      </c>
      <c r="E963" t="inlineStr">
        <is>
          <t>Красносельский</t>
        </is>
      </c>
      <c r="F963" t="inlineStr">
        <is>
          <t>Пограничника Гарькавого ул, 34</t>
        </is>
      </c>
      <c r="G963" t="n">
        <v>216</v>
      </c>
      <c r="H963" t="inlineStr">
        <is>
          <t>26 900 000</t>
        </is>
      </c>
      <c r="I963" t="inlineStr"/>
      <c r="J963" t="inlineStr"/>
      <c r="K963" t="inlineStr"/>
      <c r="L963" t="inlineStr"/>
      <c r="M963" t="inlineStr"/>
      <c r="N963" t="inlineStr">
        <is>
          <t>no</t>
        </is>
      </c>
      <c r="O963" t="inlineStr">
        <is>
          <t>none</t>
        </is>
      </c>
      <c r="P963">
        <f>HYPERLINK("https://knru.ru/catalog/ul-pogranichnika-garkavogo-d-34/","ссылка")</f>
        <v/>
      </c>
      <c r="Q963" t="inlineStr"/>
      <c r="R963" t="inlineStr">
        <is>
          <t>Нет у нас</t>
        </is>
      </c>
      <c r="S963" t="n">
        <v>0</v>
      </c>
      <c r="T963" t="inlineStr">
        <is>
          <t>Совпадений по улице+дому не найдено</t>
        </is>
      </c>
      <c r="U963" t="n">
        <v>1259</v>
      </c>
      <c r="V963" t="n">
        <v>53</v>
      </c>
      <c r="W963" t="n">
        <v>11</v>
      </c>
      <c r="X963" t="n">
        <v>26900000</v>
      </c>
      <c r="Y963" t="inlineStr"/>
      <c r="Z963" t="inlineStr"/>
      <c r="AA963" t="inlineStr">
        <is>
          <t>https://knru.ru/catalog/ul-pogranichnika-garkavogo-d-34/</t>
        </is>
      </c>
      <c r="AB963" t="inlineStr">
        <is>
          <t>C</t>
        </is>
      </c>
    </row>
    <row r="964">
      <c r="A964" t="n">
        <v>1260</v>
      </c>
      <c r="B964" t="n">
        <v>53</v>
      </c>
      <c r="C964" t="n">
        <v>12</v>
      </c>
      <c r="D964" t="n">
        <v>10</v>
      </c>
      <c r="E964" t="inlineStr">
        <is>
          <t>Выборгский</t>
        </is>
      </c>
      <c r="F964" t="inlineStr">
        <is>
          <t>Заречная ул, 10</t>
        </is>
      </c>
      <c r="G964" t="n">
        <v>170</v>
      </c>
      <c r="H964" t="inlineStr">
        <is>
          <t>52 000 000</t>
        </is>
      </c>
      <c r="I964" t="inlineStr"/>
      <c r="J964" t="inlineStr"/>
      <c r="K964" t="inlineStr"/>
      <c r="L964" t="inlineStr"/>
      <c r="M964" t="inlineStr"/>
      <c r="N964" t="inlineStr">
        <is>
          <t>no</t>
        </is>
      </c>
      <c r="O964" t="inlineStr">
        <is>
          <t>none</t>
        </is>
      </c>
      <c r="P964">
        <f>HYPERLINK("https://knru.ru/catalog/parnas-ul-zarechnaya-d-10/","ссылка")</f>
        <v/>
      </c>
      <c r="Q964" t="inlineStr"/>
      <c r="R964" t="inlineStr">
        <is>
          <t>Нет у нас</t>
        </is>
      </c>
      <c r="S964" t="n">
        <v>0</v>
      </c>
      <c r="T964" t="inlineStr">
        <is>
          <t>Совпадений по улице+дому не найдено</t>
        </is>
      </c>
      <c r="U964" t="n">
        <v>1260</v>
      </c>
      <c r="V964" t="n">
        <v>53</v>
      </c>
      <c r="W964" t="n">
        <v>12</v>
      </c>
      <c r="X964" t="n">
        <v>52000000</v>
      </c>
      <c r="Y964" t="inlineStr"/>
      <c r="Z964" t="inlineStr"/>
      <c r="AA964" t="inlineStr">
        <is>
          <t>https://knru.ru/catalog/parnas-ul-zarechnaya-d-10/</t>
        </is>
      </c>
      <c r="AB964" t="inlineStr">
        <is>
          <t>C</t>
        </is>
      </c>
    </row>
    <row r="965">
      <c r="A965" t="n">
        <v>1263</v>
      </c>
      <c r="B965" t="n">
        <v>53</v>
      </c>
      <c r="C965" t="n">
        <v>15</v>
      </c>
      <c r="D965" t="inlineStr"/>
      <c r="E965" t="inlineStr">
        <is>
          <t>Всеволожский</t>
        </is>
      </c>
      <c r="F965" t="inlineStr">
        <is>
          <t>Графская ул, 6</t>
        </is>
      </c>
      <c r="G965" t="n">
        <v>7192</v>
      </c>
      <c r="H965" t="inlineStr">
        <is>
          <t>29 500 000</t>
        </is>
      </c>
      <c r="I965" t="inlineStr"/>
      <c r="J965" t="inlineStr"/>
      <c r="K965" t="inlineStr"/>
      <c r="L965" t="inlineStr"/>
      <c r="M965" t="inlineStr"/>
      <c r="N965" t="inlineStr">
        <is>
          <t>no</t>
        </is>
      </c>
      <c r="O965" t="inlineStr">
        <is>
          <t>none</t>
        </is>
      </c>
      <c r="P965">
        <f>HYPERLINK("https://knru.ru/catalog/murino-grafskaya-ul/","ссылка")</f>
        <v/>
      </c>
      <c r="Q965" t="inlineStr"/>
      <c r="R965" t="inlineStr">
        <is>
          <t>Нет у нас</t>
        </is>
      </c>
      <c r="S965" t="n">
        <v>0</v>
      </c>
      <c r="T965" t="inlineStr">
        <is>
          <t>Совпадений по улице+дому не найдено</t>
        </is>
      </c>
      <c r="U965" t="n">
        <v>1263</v>
      </c>
      <c r="V965" t="n">
        <v>53</v>
      </c>
      <c r="W965" t="n">
        <v>15</v>
      </c>
      <c r="X965" t="n">
        <v>29500000</v>
      </c>
      <c r="Y965" t="inlineStr"/>
      <c r="Z965" t="inlineStr"/>
      <c r="AA965" t="inlineStr">
        <is>
          <t>https://knru.ru/catalog/murino-grafskaya-ul/</t>
        </is>
      </c>
      <c r="AB965" t="inlineStr">
        <is>
          <t>C</t>
        </is>
      </c>
    </row>
    <row r="966">
      <c r="A966" t="n">
        <v>1269</v>
      </c>
      <c r="B966" t="n">
        <v>53</v>
      </c>
      <c r="C966" t="n">
        <v>21</v>
      </c>
      <c r="D966" t="n">
        <v>10</v>
      </c>
      <c r="E966" t="inlineStr">
        <is>
          <t>Василеостровский</t>
        </is>
      </c>
      <c r="F966" t="inlineStr">
        <is>
          <t>Большой В.О. пр-кт, 53/10 А</t>
        </is>
      </c>
      <c r="G966" t="n">
        <v>244</v>
      </c>
      <c r="H966" t="inlineStr">
        <is>
          <t>87 000 000</t>
        </is>
      </c>
      <c r="I966" t="inlineStr"/>
      <c r="J966" t="inlineStr"/>
      <c r="K966" t="inlineStr"/>
      <c r="L966" t="inlineStr"/>
      <c r="M966" t="inlineStr"/>
      <c r="N966" t="inlineStr">
        <is>
          <t>no</t>
        </is>
      </c>
      <c r="O966" t="inlineStr">
        <is>
          <t>none</t>
        </is>
      </c>
      <c r="P966">
        <f>HYPERLINK("https://knru.ru/catalog/bolshoj-pr-t-vasilevskogo-ostrova-53-10/","ссылка")</f>
        <v/>
      </c>
      <c r="Q966" t="inlineStr"/>
      <c r="R966" t="inlineStr">
        <is>
          <t>Нет у нас</t>
        </is>
      </c>
      <c r="S966" t="n">
        <v>0</v>
      </c>
      <c r="T966" t="inlineStr">
        <is>
          <t>Совпадений по улице+дому не найдено</t>
        </is>
      </c>
      <c r="U966" t="n">
        <v>1269</v>
      </c>
      <c r="V966" t="n">
        <v>53</v>
      </c>
      <c r="W966" t="n">
        <v>21</v>
      </c>
      <c r="X966" t="n">
        <v>87000000</v>
      </c>
      <c r="Y966" t="inlineStr"/>
      <c r="Z966" t="inlineStr"/>
      <c r="AA966" t="inlineStr">
        <is>
          <t>https://knru.ru/catalog/bolshoj-pr-t-vasilevskogo-ostrova-53-10/</t>
        </is>
      </c>
      <c r="AB966" t="inlineStr">
        <is>
          <t>C</t>
        </is>
      </c>
    </row>
    <row r="967">
      <c r="A967" t="n">
        <v>1272</v>
      </c>
      <c r="B967" t="n">
        <v>53</v>
      </c>
      <c r="C967" t="n">
        <v>24</v>
      </c>
      <c r="D967" t="n">
        <v>38</v>
      </c>
      <c r="E967" t="inlineStr">
        <is>
          <t>Красногвардейский</t>
        </is>
      </c>
      <c r="F967" t="inlineStr">
        <is>
          <t>Ириновский пр-кт, 36</t>
        </is>
      </c>
      <c r="G967" t="n">
        <v>383</v>
      </c>
      <c r="H967" t="inlineStr">
        <is>
          <t>124 400 250</t>
        </is>
      </c>
      <c r="I967" t="inlineStr"/>
      <c r="J967" t="inlineStr"/>
      <c r="K967" t="inlineStr"/>
      <c r="L967" t="inlineStr"/>
      <c r="M967" t="inlineStr"/>
      <c r="N967" t="inlineStr">
        <is>
          <t>no</t>
        </is>
      </c>
      <c r="O967" t="inlineStr">
        <is>
          <t>none</t>
        </is>
      </c>
      <c r="P967">
        <f>HYPERLINK("https://knru.ru/catalog/irinovskij-pr-d-38/","ссылка")</f>
        <v/>
      </c>
      <c r="Q967" t="inlineStr"/>
      <c r="R967" t="inlineStr">
        <is>
          <t>Нет у нас</t>
        </is>
      </c>
      <c r="S967" t="n">
        <v>0</v>
      </c>
      <c r="T967" t="inlineStr">
        <is>
          <t>Совпадений по улице+дому не найдено</t>
        </is>
      </c>
      <c r="U967" t="n">
        <v>1272</v>
      </c>
      <c r="V967" t="n">
        <v>53</v>
      </c>
      <c r="W967" t="n">
        <v>24</v>
      </c>
      <c r="X967" t="n">
        <v>124400250</v>
      </c>
      <c r="Y967" t="inlineStr"/>
      <c r="Z967" t="inlineStr"/>
      <c r="AA967" t="inlineStr">
        <is>
          <t>https://knru.ru/catalog/irinovskij-pr-d-38/</t>
        </is>
      </c>
      <c r="AB967" t="inlineStr">
        <is>
          <t>C</t>
        </is>
      </c>
    </row>
    <row r="968">
      <c r="A968" t="n">
        <v>1273</v>
      </c>
      <c r="B968" t="n">
        <v>54</v>
      </c>
      <c r="C968" t="n">
        <v>1</v>
      </c>
      <c r="D968" t="n">
        <v>22</v>
      </c>
      <c r="E968" t="inlineStr">
        <is>
          <t>Невский</t>
        </is>
      </c>
      <c r="F968" t="inlineStr">
        <is>
          <t>Русановская ул, 22стр1</t>
        </is>
      </c>
      <c r="G968" t="n">
        <v>1362</v>
      </c>
      <c r="H968" t="inlineStr">
        <is>
          <t>394 922 000</t>
        </is>
      </c>
      <c r="I968" t="inlineStr"/>
      <c r="J968" t="inlineStr"/>
      <c r="K968" t="inlineStr"/>
      <c r="L968" t="inlineStr"/>
      <c r="M968" t="inlineStr"/>
      <c r="N968" t="inlineStr">
        <is>
          <t>no</t>
        </is>
      </c>
      <c r="O968" t="inlineStr">
        <is>
          <t>none</t>
        </is>
      </c>
      <c r="P968">
        <f>HYPERLINK("https://knru.ru/catalog/rusanovskaya-ul-d-22/","ссылка")</f>
        <v/>
      </c>
      <c r="Q968" t="inlineStr"/>
      <c r="R968" t="inlineStr">
        <is>
          <t>Нет у нас</t>
        </is>
      </c>
      <c r="S968" t="n">
        <v>0</v>
      </c>
      <c r="T968" t="inlineStr">
        <is>
          <t>Совпадений по улице+дому не найдено</t>
        </is>
      </c>
      <c r="U968" t="n">
        <v>1273</v>
      </c>
      <c r="V968" t="n">
        <v>54</v>
      </c>
      <c r="W968" t="n">
        <v>1</v>
      </c>
      <c r="X968" t="n">
        <v>394922000</v>
      </c>
      <c r="Y968" t="inlineStr"/>
      <c r="Z968" t="inlineStr"/>
      <c r="AA968" t="inlineStr">
        <is>
          <t>https://knru.ru/catalog/rusanovskaya-ul-d-22/</t>
        </is>
      </c>
      <c r="AB968" t="inlineStr">
        <is>
          <t>C</t>
        </is>
      </c>
    </row>
    <row r="969">
      <c r="A969" t="n">
        <v>1274</v>
      </c>
      <c r="B969" t="n">
        <v>54</v>
      </c>
      <c r="C969" t="n">
        <v>2</v>
      </c>
      <c r="D969" t="n">
        <v>25</v>
      </c>
      <c r="E969" t="inlineStr">
        <is>
          <t>Красносельский</t>
        </is>
      </c>
      <c r="F969" t="inlineStr">
        <is>
          <t>Героев пр-кт, 25</t>
        </is>
      </c>
      <c r="G969" t="n">
        <v>62</v>
      </c>
      <c r="H969" t="inlineStr">
        <is>
          <t>23 000 000</t>
        </is>
      </c>
      <c r="I969" t="inlineStr"/>
      <c r="J969" t="inlineStr"/>
      <c r="K969" t="inlineStr"/>
      <c r="L969" t="inlineStr"/>
      <c r="M969" t="inlineStr"/>
      <c r="N969" t="inlineStr">
        <is>
          <t>no</t>
        </is>
      </c>
      <c r="O969" t="inlineStr">
        <is>
          <t>none</t>
        </is>
      </c>
      <c r="P969">
        <f>HYPERLINK("https://knru.ru/catalog/prospekt-geroev-d-25/","ссылка")</f>
        <v/>
      </c>
      <c r="Q969" t="inlineStr"/>
      <c r="R969" t="inlineStr">
        <is>
          <t>Нет у нас</t>
        </is>
      </c>
      <c r="S969" t="n">
        <v>0</v>
      </c>
      <c r="T969" t="inlineStr">
        <is>
          <t>Совпадений по улице+дому не найдено</t>
        </is>
      </c>
      <c r="U969" t="n">
        <v>1274</v>
      </c>
      <c r="V969" t="n">
        <v>54</v>
      </c>
      <c r="W969" t="n">
        <v>2</v>
      </c>
      <c r="X969" t="n">
        <v>23000000</v>
      </c>
      <c r="Y969" t="inlineStr"/>
      <c r="Z969" t="inlineStr"/>
      <c r="AA969" t="inlineStr">
        <is>
          <t>https://knru.ru/catalog/prospekt-geroev-d-25/</t>
        </is>
      </c>
      <c r="AB969" t="inlineStr">
        <is>
          <t>C</t>
        </is>
      </c>
    </row>
    <row r="970">
      <c r="A970" t="n">
        <v>1275</v>
      </c>
      <c r="B970" t="n">
        <v>54</v>
      </c>
      <c r="C970" t="n">
        <v>3</v>
      </c>
      <c r="D970" t="n">
        <v>4</v>
      </c>
      <c r="E970" t="inlineStr">
        <is>
          <t>Красногвардейский</t>
        </is>
      </c>
      <c r="F970" t="inlineStr">
        <is>
          <t>Красногвардейская, 4</t>
        </is>
      </c>
      <c r="G970" t="n">
        <v>504</v>
      </c>
      <c r="H970" t="inlineStr">
        <is>
          <t>75 000 000</t>
        </is>
      </c>
      <c r="I970" t="inlineStr"/>
      <c r="J970" t="inlineStr"/>
      <c r="K970" t="inlineStr"/>
      <c r="L970" t="inlineStr"/>
      <c r="M970" t="inlineStr"/>
      <c r="N970" t="inlineStr">
        <is>
          <t>no</t>
        </is>
      </c>
      <c r="O970" t="inlineStr">
        <is>
          <t>none</t>
        </is>
      </c>
      <c r="P970">
        <f>HYPERLINK("https://knru.ru/catalog/krasnogvardejskaya-pl-d-4/","ссылка")</f>
        <v/>
      </c>
      <c r="Q970" t="inlineStr"/>
      <c r="R970" t="inlineStr">
        <is>
          <t>Нет у нас</t>
        </is>
      </c>
      <c r="S970" t="n">
        <v>0</v>
      </c>
      <c r="T970" t="inlineStr">
        <is>
          <t>Совпадений по улице+дому не найдено</t>
        </is>
      </c>
      <c r="U970" t="n">
        <v>1275</v>
      </c>
      <c r="V970" t="n">
        <v>54</v>
      </c>
      <c r="W970" t="n">
        <v>3</v>
      </c>
      <c r="X970" t="n">
        <v>75000000</v>
      </c>
      <c r="Y970" t="inlineStr"/>
      <c r="Z970" t="inlineStr"/>
      <c r="AA970" t="inlineStr">
        <is>
          <t>https://knru.ru/catalog/krasnogvardejskaya-pl-d-4/</t>
        </is>
      </c>
      <c r="AB970" t="inlineStr">
        <is>
          <t>C</t>
        </is>
      </c>
    </row>
    <row r="971">
      <c r="A971" t="n">
        <v>1278</v>
      </c>
      <c r="B971" t="n">
        <v>54</v>
      </c>
      <c r="C971" t="n">
        <v>6</v>
      </c>
      <c r="D971" t="n">
        <v>10</v>
      </c>
      <c r="E971" t="inlineStr">
        <is>
          <t>Центральный</t>
        </is>
      </c>
      <c r="F971" t="inlineStr">
        <is>
          <t>2-я Советская, 10</t>
        </is>
      </c>
      <c r="G971" t="n">
        <v>157</v>
      </c>
      <c r="H971" t="inlineStr">
        <is>
          <t>49 500 000</t>
        </is>
      </c>
      <c r="I971" t="inlineStr"/>
      <c r="J971" t="inlineStr"/>
      <c r="K971" t="inlineStr"/>
      <c r="L971" t="inlineStr"/>
      <c r="M971" t="inlineStr"/>
      <c r="N971" t="inlineStr">
        <is>
          <t>no</t>
        </is>
      </c>
      <c r="O971" t="inlineStr">
        <is>
          <t>none</t>
        </is>
      </c>
      <c r="P971">
        <f>HYPERLINK("https://knru.ru/catalog/2-ya-sovetskaya-ul-d-10/","ссылка")</f>
        <v/>
      </c>
      <c r="Q971" t="inlineStr"/>
      <c r="R971" t="inlineStr">
        <is>
          <t>Нет у нас</t>
        </is>
      </c>
      <c r="S971" t="n">
        <v>0</v>
      </c>
      <c r="T971" t="inlineStr">
        <is>
          <t>Совпадений по улице+дому не найдено</t>
        </is>
      </c>
      <c r="U971" t="n">
        <v>1278</v>
      </c>
      <c r="V971" t="n">
        <v>54</v>
      </c>
      <c r="W971" t="n">
        <v>6</v>
      </c>
      <c r="X971" t="n">
        <v>49500000</v>
      </c>
      <c r="Y971" t="inlineStr"/>
      <c r="Z971" t="inlineStr"/>
      <c r="AA971" t="inlineStr">
        <is>
          <t>https://knru.ru/catalog/2-ya-sovetskaya-ul-d-10/</t>
        </is>
      </c>
      <c r="AB971" t="inlineStr">
        <is>
          <t>C</t>
        </is>
      </c>
    </row>
    <row r="972">
      <c r="A972" t="n">
        <v>1279</v>
      </c>
      <c r="B972" t="n">
        <v>54</v>
      </c>
      <c r="C972" t="n">
        <v>7</v>
      </c>
      <c r="D972" t="n">
        <v>27</v>
      </c>
      <c r="E972" t="inlineStr">
        <is>
          <t>Красносельский</t>
        </is>
      </c>
      <c r="F972" t="inlineStr">
        <is>
          <t>Героев, 27</t>
        </is>
      </c>
      <c r="G972" t="n">
        <v>226</v>
      </c>
      <c r="H972" t="inlineStr">
        <is>
          <t>60 000 000</t>
        </is>
      </c>
      <c r="I972" t="inlineStr"/>
      <c r="J972" t="inlineStr"/>
      <c r="K972" t="inlineStr"/>
      <c r="L972" t="inlineStr"/>
      <c r="M972" t="inlineStr"/>
      <c r="N972" t="inlineStr">
        <is>
          <t>no</t>
        </is>
      </c>
      <c r="O972" t="inlineStr">
        <is>
          <t>none</t>
        </is>
      </c>
      <c r="P972">
        <f>HYPERLINK("https://knru.ru/catalog/pr-geroev-d-27/","ссылка")</f>
        <v/>
      </c>
      <c r="Q972" t="inlineStr"/>
      <c r="R972" t="inlineStr">
        <is>
          <t>Нет у нас</t>
        </is>
      </c>
      <c r="S972" t="n">
        <v>0</v>
      </c>
      <c r="T972" t="inlineStr">
        <is>
          <t>Совпадений по улице+дому не найдено</t>
        </is>
      </c>
      <c r="U972" t="n">
        <v>1279</v>
      </c>
      <c r="V972" t="n">
        <v>54</v>
      </c>
      <c r="W972" t="n">
        <v>7</v>
      </c>
      <c r="X972" t="n">
        <v>60000000</v>
      </c>
      <c r="Y972" t="inlineStr"/>
      <c r="Z972" t="inlineStr"/>
      <c r="AA972" t="inlineStr">
        <is>
          <t>https://knru.ru/catalog/pr-geroev-d-27/</t>
        </is>
      </c>
      <c r="AB972" t="inlineStr">
        <is>
          <t>C</t>
        </is>
      </c>
    </row>
    <row r="973">
      <c r="A973" t="n">
        <v>1280</v>
      </c>
      <c r="B973" t="n">
        <v>54</v>
      </c>
      <c r="C973" t="n">
        <v>8</v>
      </c>
      <c r="D973" t="n">
        <v>91</v>
      </c>
      <c r="E973" t="inlineStr">
        <is>
          <t>Центральный</t>
        </is>
      </c>
      <c r="F973" t="inlineStr">
        <is>
          <t>Невский пр-кт, 91 Б</t>
        </is>
      </c>
      <c r="G973" t="n">
        <v>303</v>
      </c>
      <c r="H973" t="inlineStr">
        <is>
          <t>99 000 000</t>
        </is>
      </c>
      <c r="I973" t="inlineStr"/>
      <c r="J973" t="inlineStr"/>
      <c r="K973" t="inlineStr"/>
      <c r="L973" t="inlineStr"/>
      <c r="M973" t="inlineStr"/>
      <c r="N973" t="inlineStr">
        <is>
          <t>no</t>
        </is>
      </c>
      <c r="O973" t="inlineStr">
        <is>
          <t>none</t>
        </is>
      </c>
      <c r="P973">
        <f>HYPERLINK("https://knru.ru/catalog/nevskij-pr-d-91/","ссылка")</f>
        <v/>
      </c>
      <c r="Q973" t="inlineStr"/>
      <c r="R973" t="inlineStr">
        <is>
          <t>Нет у нас</t>
        </is>
      </c>
      <c r="S973" t="n">
        <v>0</v>
      </c>
      <c r="T973" t="inlineStr">
        <is>
          <t>Совпадений по улице+дому не найдено</t>
        </is>
      </c>
      <c r="U973" t="n">
        <v>1280</v>
      </c>
      <c r="V973" t="n">
        <v>54</v>
      </c>
      <c r="W973" t="n">
        <v>8</v>
      </c>
      <c r="X973" t="n">
        <v>99000000</v>
      </c>
      <c r="Y973" t="inlineStr"/>
      <c r="Z973" t="inlineStr"/>
      <c r="AA973" t="inlineStr">
        <is>
          <t>https://knru.ru/catalog/nevskij-pr-d-91/</t>
        </is>
      </c>
      <c r="AB973" t="inlineStr">
        <is>
          <t>C</t>
        </is>
      </c>
    </row>
    <row r="974">
      <c r="A974" t="n">
        <v>1283</v>
      </c>
      <c r="B974" t="n">
        <v>54</v>
      </c>
      <c r="C974" t="n">
        <v>11</v>
      </c>
      <c r="D974" t="n">
        <v>16</v>
      </c>
      <c r="E974" t="inlineStr">
        <is>
          <t>Гатчинский</t>
        </is>
      </c>
      <c r="F974" t="inlineStr">
        <is>
          <t>Пушкина, 16</t>
        </is>
      </c>
      <c r="G974" t="n">
        <v>541</v>
      </c>
      <c r="H974" t="inlineStr">
        <is>
          <t>42 000 000</t>
        </is>
      </c>
      <c r="I974" t="inlineStr"/>
      <c r="J974" t="inlineStr"/>
      <c r="K974" t="inlineStr"/>
      <c r="L974" t="inlineStr"/>
      <c r="M974" t="inlineStr"/>
      <c r="N974" t="inlineStr">
        <is>
          <t>no</t>
        </is>
      </c>
      <c r="O974" t="inlineStr">
        <is>
          <t>none</t>
        </is>
      </c>
      <c r="P974">
        <f>HYPERLINK("https://knru.ru/catalog/pos-tajtsy-ul-pushkina-d-16/","ссылка")</f>
        <v/>
      </c>
      <c r="Q974" t="inlineStr"/>
      <c r="R974" t="inlineStr">
        <is>
          <t>Нет у нас</t>
        </is>
      </c>
      <c r="S974" t="n">
        <v>0</v>
      </c>
      <c r="T974" t="inlineStr">
        <is>
          <t>Совпадений по улице+дому не найдено</t>
        </is>
      </c>
      <c r="U974" t="n">
        <v>1283</v>
      </c>
      <c r="V974" t="n">
        <v>54</v>
      </c>
      <c r="W974" t="n">
        <v>11</v>
      </c>
      <c r="X974" t="n">
        <v>42000000</v>
      </c>
      <c r="Y974" t="inlineStr"/>
      <c r="Z974" t="inlineStr"/>
      <c r="AA974" t="inlineStr">
        <is>
          <t>https://knru.ru/catalog/pos-tajtsy-ul-pushkina-d-16/</t>
        </is>
      </c>
      <c r="AB974" t="inlineStr">
        <is>
          <t>C</t>
        </is>
      </c>
    </row>
    <row r="975">
      <c r="A975" t="n">
        <v>1284</v>
      </c>
      <c r="B975" t="n">
        <v>54</v>
      </c>
      <c r="C975" t="n">
        <v>12</v>
      </c>
      <c r="D975" t="n">
        <v>5</v>
      </c>
      <c r="E975" t="inlineStr">
        <is>
          <t>Петроградский</t>
        </is>
      </c>
      <c r="F975" t="inlineStr">
        <is>
          <t>Аптекарский пр-кт, 5</t>
        </is>
      </c>
      <c r="G975" t="n">
        <v>130</v>
      </c>
      <c r="H975" t="inlineStr">
        <is>
          <t>61 500 000</t>
        </is>
      </c>
      <c r="I975" t="inlineStr"/>
      <c r="J975" t="inlineStr"/>
      <c r="K975" t="inlineStr"/>
      <c r="L975" t="inlineStr"/>
      <c r="M975" t="inlineStr"/>
      <c r="N975" t="inlineStr">
        <is>
          <t>no</t>
        </is>
      </c>
      <c r="O975" t="inlineStr">
        <is>
          <t>none</t>
        </is>
      </c>
      <c r="P975">
        <f>HYPERLINK("https://knru.ru/catalog/aptekarskij-pr-d-5/","ссылка")</f>
        <v/>
      </c>
      <c r="Q975" t="inlineStr"/>
      <c r="R975" t="inlineStr">
        <is>
          <t>Нет у нас</t>
        </is>
      </c>
      <c r="S975" t="n">
        <v>0</v>
      </c>
      <c r="T975" t="inlineStr">
        <is>
          <t>Совпадений по улице+дому не найдено</t>
        </is>
      </c>
      <c r="U975" t="n">
        <v>1284</v>
      </c>
      <c r="V975" t="n">
        <v>54</v>
      </c>
      <c r="W975" t="n">
        <v>12</v>
      </c>
      <c r="X975" t="n">
        <v>61500000</v>
      </c>
      <c r="Y975" t="inlineStr"/>
      <c r="Z975" t="inlineStr"/>
      <c r="AA975" t="inlineStr">
        <is>
          <t>https://knru.ru/catalog/aptekarskij-pr-d-5/</t>
        </is>
      </c>
      <c r="AB975" t="inlineStr">
        <is>
          <t>C</t>
        </is>
      </c>
    </row>
    <row r="976">
      <c r="A976" t="n">
        <v>1286</v>
      </c>
      <c r="B976" t="n">
        <v>54</v>
      </c>
      <c r="C976" t="n">
        <v>14</v>
      </c>
      <c r="D976" t="n">
        <v>1</v>
      </c>
      <c r="E976" t="inlineStr">
        <is>
          <t>Кировский</t>
        </is>
      </c>
      <c r="F976" t="inlineStr">
        <is>
          <t>Маршала Казакова ул, 1к1 В</t>
        </is>
      </c>
      <c r="G976" t="n">
        <v>565</v>
      </c>
      <c r="H976" t="inlineStr">
        <is>
          <t>79 100 000</t>
        </is>
      </c>
      <c r="I976" t="inlineStr"/>
      <c r="J976" t="inlineStr"/>
      <c r="K976" t="inlineStr"/>
      <c r="L976" t="inlineStr"/>
      <c r="M976" t="inlineStr"/>
      <c r="N976" t="inlineStr">
        <is>
          <t>no</t>
        </is>
      </c>
      <c r="O976" t="inlineStr">
        <is>
          <t>none</t>
        </is>
      </c>
      <c r="P976">
        <f>HYPERLINK("https://knru.ru/catalog/ul-marshala-kazakova-d-1/","ссылка")</f>
        <v/>
      </c>
      <c r="Q976" t="inlineStr"/>
      <c r="R976" t="inlineStr">
        <is>
          <t>Нет у нас</t>
        </is>
      </c>
      <c r="S976" t="n">
        <v>0</v>
      </c>
      <c r="T976" t="inlineStr">
        <is>
          <t>Совпадений по улице+дому не найдено</t>
        </is>
      </c>
      <c r="U976" t="n">
        <v>1286</v>
      </c>
      <c r="V976" t="n">
        <v>54</v>
      </c>
      <c r="W976" t="n">
        <v>14</v>
      </c>
      <c r="X976" t="n">
        <v>79100000</v>
      </c>
      <c r="Y976" t="inlineStr"/>
      <c r="Z976" t="inlineStr"/>
      <c r="AA976" t="inlineStr">
        <is>
          <t>https://knru.ru/catalog/ul-marshala-kazakova-d-1/</t>
        </is>
      </c>
      <c r="AB976" t="inlineStr">
        <is>
          <t>C</t>
        </is>
      </c>
    </row>
    <row r="977">
      <c r="A977" t="n">
        <v>1287</v>
      </c>
      <c r="B977" t="n">
        <v>54</v>
      </c>
      <c r="C977" t="n">
        <v>15</v>
      </c>
      <c r="D977" t="n">
        <v>1</v>
      </c>
      <c r="E977" t="inlineStr">
        <is>
          <t>Приморский</t>
        </is>
      </c>
      <c r="F977" t="inlineStr">
        <is>
          <t>Приморский пр-кт, 137к1 А</t>
        </is>
      </c>
      <c r="G977" t="n">
        <v>602</v>
      </c>
      <c r="H977" t="inlineStr">
        <is>
          <t>95 000 000</t>
        </is>
      </c>
      <c r="I977" t="inlineStr"/>
      <c r="J977" t="inlineStr"/>
      <c r="K977" t="inlineStr"/>
      <c r="L977" t="inlineStr"/>
      <c r="M977" t="inlineStr"/>
      <c r="N977" t="inlineStr">
        <is>
          <t>no</t>
        </is>
      </c>
      <c r="O977" t="inlineStr">
        <is>
          <t>none</t>
        </is>
      </c>
      <c r="P977">
        <f>HYPERLINK("https://knru.ru/catalog/primorskij-pr-t-d-137-k-1/","ссылка")</f>
        <v/>
      </c>
      <c r="Q977" t="inlineStr"/>
      <c r="R977" t="inlineStr">
        <is>
          <t>Нет у нас</t>
        </is>
      </c>
      <c r="S977" t="n">
        <v>0</v>
      </c>
      <c r="T977" t="inlineStr">
        <is>
          <t>Совпадений по улице+дому не найдено</t>
        </is>
      </c>
      <c r="U977" t="n">
        <v>1287</v>
      </c>
      <c r="V977" t="n">
        <v>54</v>
      </c>
      <c r="W977" t="n">
        <v>15</v>
      </c>
      <c r="X977" t="n">
        <v>95000000</v>
      </c>
      <c r="Y977" t="inlineStr"/>
      <c r="Z977" t="inlineStr"/>
      <c r="AA977" t="inlineStr">
        <is>
          <t>https://knru.ru/catalog/primorskij-pr-t-d-137-k-1/</t>
        </is>
      </c>
      <c r="AB977" t="inlineStr">
        <is>
          <t>C</t>
        </is>
      </c>
    </row>
    <row r="978">
      <c r="A978" t="n">
        <v>1288</v>
      </c>
      <c r="B978" t="n">
        <v>54</v>
      </c>
      <c r="C978" t="n">
        <v>16</v>
      </c>
      <c r="D978" t="n">
        <v>46</v>
      </c>
      <c r="E978" t="inlineStr">
        <is>
          <t>Красносельский</t>
        </is>
      </c>
      <c r="F978" t="inlineStr">
        <is>
          <t>Маршала Захарова ул, 46 А</t>
        </is>
      </c>
      <c r="G978" t="n">
        <v>113</v>
      </c>
      <c r="H978" t="inlineStr">
        <is>
          <t>45 200 000</t>
        </is>
      </c>
      <c r="I978" t="inlineStr"/>
      <c r="J978" t="inlineStr"/>
      <c r="K978" t="inlineStr"/>
      <c r="L978" t="inlineStr"/>
      <c r="M978" t="inlineStr"/>
      <c r="N978" t="inlineStr">
        <is>
          <t>no</t>
        </is>
      </c>
      <c r="O978" t="inlineStr">
        <is>
          <t>none</t>
        </is>
      </c>
      <c r="P978">
        <f>HYPERLINK("https://knru.ru/catalog/ul-marshala-zaxarova-d-46/","ссылка")</f>
        <v/>
      </c>
      <c r="Q978" t="inlineStr"/>
      <c r="R978" t="inlineStr">
        <is>
          <t>Нет у нас</t>
        </is>
      </c>
      <c r="S978" t="n">
        <v>0</v>
      </c>
      <c r="T978" t="inlineStr">
        <is>
          <t>Совпадений по улице+дому не найдено</t>
        </is>
      </c>
      <c r="U978" t="n">
        <v>1288</v>
      </c>
      <c r="V978" t="n">
        <v>54</v>
      </c>
      <c r="W978" t="n">
        <v>16</v>
      </c>
      <c r="X978" t="n">
        <v>45200000</v>
      </c>
      <c r="Y978" t="inlineStr"/>
      <c r="Z978" t="inlineStr"/>
      <c r="AA978" t="inlineStr">
        <is>
          <t>https://knru.ru/catalog/ul-marshala-zaxarova-d-46/</t>
        </is>
      </c>
      <c r="AB978" t="inlineStr">
        <is>
          <t>C</t>
        </is>
      </c>
    </row>
    <row r="979">
      <c r="A979" t="n">
        <v>1289</v>
      </c>
      <c r="B979" t="n">
        <v>54</v>
      </c>
      <c r="C979" t="n">
        <v>17</v>
      </c>
      <c r="D979" t="n">
        <v>68</v>
      </c>
      <c r="E979" t="inlineStr">
        <is>
          <t>Центральный</t>
        </is>
      </c>
      <c r="F979" t="inlineStr">
        <is>
          <t>Реки Фонтанки наб, 40/68 А</t>
        </is>
      </c>
      <c r="G979" t="n">
        <v>155</v>
      </c>
      <c r="H979" t="inlineStr">
        <is>
          <t>43 500 000</t>
        </is>
      </c>
      <c r="I979" t="inlineStr"/>
      <c r="J979" t="inlineStr"/>
      <c r="K979" t="inlineStr"/>
      <c r="L979" t="inlineStr"/>
      <c r="M979" t="inlineStr"/>
      <c r="N979" t="inlineStr">
        <is>
          <t>no</t>
        </is>
      </c>
      <c r="O979" t="inlineStr">
        <is>
          <t>none</t>
        </is>
      </c>
      <c r="P979">
        <f>HYPERLINK("https://knru.ru/catalog/nab-reki-fontanki-d-40-68/","ссылка")</f>
        <v/>
      </c>
      <c r="Q979" t="inlineStr"/>
      <c r="R979" t="inlineStr">
        <is>
          <t>Нет у нас</t>
        </is>
      </c>
      <c r="S979" t="n">
        <v>0</v>
      </c>
      <c r="T979" t="inlineStr">
        <is>
          <t>Совпадений по улице+дому не найдено</t>
        </is>
      </c>
      <c r="U979" t="n">
        <v>1289</v>
      </c>
      <c r="V979" t="n">
        <v>54</v>
      </c>
      <c r="W979" t="n">
        <v>17</v>
      </c>
      <c r="X979" t="n">
        <v>43500000</v>
      </c>
      <c r="Y979" t="inlineStr"/>
      <c r="Z979" t="inlineStr"/>
      <c r="AA979" t="inlineStr">
        <is>
          <t>https://knru.ru/catalog/nab-reki-fontanki-d-40-68/</t>
        </is>
      </c>
      <c r="AB979" t="inlineStr">
        <is>
          <t>C</t>
        </is>
      </c>
    </row>
    <row r="980">
      <c r="A980" t="n">
        <v>1292</v>
      </c>
      <c r="B980" t="n">
        <v>54</v>
      </c>
      <c r="C980" t="n">
        <v>20</v>
      </c>
      <c r="D980" t="n">
        <v>67</v>
      </c>
      <c r="E980" t="inlineStr">
        <is>
          <t>Василеостровский</t>
        </is>
      </c>
      <c r="F980" t="inlineStr">
        <is>
          <t>Большой В.О. пр-кт, 67 А</t>
        </is>
      </c>
      <c r="G980" t="n">
        <v>102.7</v>
      </c>
      <c r="H980" t="inlineStr">
        <is>
          <t>39 029 800</t>
        </is>
      </c>
      <c r="I980" t="inlineStr"/>
      <c r="J980" t="inlineStr"/>
      <c r="K980" t="inlineStr"/>
      <c r="L980" t="inlineStr"/>
      <c r="M980" t="inlineStr"/>
      <c r="N980" t="inlineStr">
        <is>
          <t>no</t>
        </is>
      </c>
      <c r="O980" t="inlineStr">
        <is>
          <t>none</t>
        </is>
      </c>
      <c r="P980">
        <f>HYPERLINK("https://knru.ru/catalog/bolshoj-pr-t-vasilevskogo-ostrova-d-67/","ссылка")</f>
        <v/>
      </c>
      <c r="Q980" t="inlineStr"/>
      <c r="R980" t="inlineStr">
        <is>
          <t>Нет у нас</t>
        </is>
      </c>
      <c r="S980" t="n">
        <v>0</v>
      </c>
      <c r="T980" t="inlineStr">
        <is>
          <t>Совпадений по улице+дому не найдено</t>
        </is>
      </c>
      <c r="U980" t="n">
        <v>1292</v>
      </c>
      <c r="V980" t="n">
        <v>54</v>
      </c>
      <c r="W980" t="n">
        <v>20</v>
      </c>
      <c r="X980" t="n">
        <v>39029800</v>
      </c>
      <c r="Y980" t="inlineStr"/>
      <c r="Z980" t="inlineStr"/>
      <c r="AA980" t="inlineStr">
        <is>
          <t>https://knru.ru/catalog/bolshoj-pr-t-vasilevskogo-ostrova-d-67/</t>
        </is>
      </c>
      <c r="AB980" t="inlineStr">
        <is>
          <t>C</t>
        </is>
      </c>
    </row>
    <row r="981">
      <c r="A981" t="n">
        <v>1296</v>
      </c>
      <c r="B981" t="n">
        <v>54</v>
      </c>
      <c r="C981" t="n">
        <v>24</v>
      </c>
      <c r="D981" t="n">
        <v>558098</v>
      </c>
      <c r="E981" t="inlineStr">
        <is>
          <t>Адмиралтейский</t>
        </is>
      </c>
      <c r="F981" t="inlineStr">
        <is>
          <t>Обводного канала наб, 118 АУ</t>
        </is>
      </c>
      <c r="G981" t="n">
        <v>495</v>
      </c>
      <c r="H981" t="inlineStr">
        <is>
          <t>148 500 000</t>
        </is>
      </c>
      <c r="I981" t="inlineStr"/>
      <c r="J981" t="inlineStr"/>
      <c r="K981" t="inlineStr"/>
      <c r="L981" t="inlineStr"/>
      <c r="M981" t="inlineStr"/>
      <c r="N981" t="inlineStr">
        <is>
          <t>no</t>
        </is>
      </c>
      <c r="O981" t="inlineStr">
        <is>
          <t>none</t>
        </is>
      </c>
      <c r="P981">
        <f>HYPERLINK("https://knru.ru/catalog/obvodnogo-kanala-nab-d-118-au-558098/","ссылка")</f>
        <v/>
      </c>
      <c r="Q981" t="inlineStr"/>
      <c r="R981" t="inlineStr">
        <is>
          <t>Нет у нас</t>
        </is>
      </c>
      <c r="S981" t="n">
        <v>0</v>
      </c>
      <c r="T981" t="inlineStr">
        <is>
          <t>Совпадений по улице+дому не найдено</t>
        </is>
      </c>
      <c r="U981" t="n">
        <v>1296</v>
      </c>
      <c r="V981" t="n">
        <v>54</v>
      </c>
      <c r="W981" t="n">
        <v>24</v>
      </c>
      <c r="X981" t="n">
        <v>148500000</v>
      </c>
      <c r="Y981" t="inlineStr"/>
      <c r="Z981" t="inlineStr"/>
      <c r="AA981" t="inlineStr">
        <is>
          <t>https://knru.ru/catalog/obvodnogo-kanala-nab-d-118-au-558098/</t>
        </is>
      </c>
      <c r="AB981" t="inlineStr">
        <is>
          <t>C</t>
        </is>
      </c>
    </row>
    <row r="982">
      <c r="A982" t="n">
        <v>1300</v>
      </c>
      <c r="B982" t="n">
        <v>55</v>
      </c>
      <c r="C982" t="n">
        <v>4</v>
      </c>
      <c r="D982" t="n">
        <v>93</v>
      </c>
      <c r="E982" t="inlineStr">
        <is>
          <t>Адмиралтейский</t>
        </is>
      </c>
      <c r="F982" t="inlineStr">
        <is>
          <t>Римского-Корсакова пр-кт, 93 А</t>
        </is>
      </c>
      <c r="G982" t="n">
        <v>100</v>
      </c>
      <c r="H982" t="inlineStr">
        <is>
          <t>32 300 000</t>
        </is>
      </c>
      <c r="I982" t="inlineStr"/>
      <c r="J982" t="inlineStr"/>
      <c r="K982" t="inlineStr"/>
      <c r="L982" t="inlineStr"/>
      <c r="M982" t="inlineStr"/>
      <c r="N982" t="inlineStr">
        <is>
          <t>no</t>
        </is>
      </c>
      <c r="O982" t="inlineStr">
        <is>
          <t>none</t>
        </is>
      </c>
      <c r="P982">
        <f>HYPERLINK("https://knru.ru/catalog/rimskogo-korsakova-pr-d-93/","ссылка")</f>
        <v/>
      </c>
      <c r="Q982" t="inlineStr"/>
      <c r="R982" t="inlineStr">
        <is>
          <t>Нет у нас</t>
        </is>
      </c>
      <c r="S982" t="n">
        <v>0</v>
      </c>
      <c r="T982" t="inlineStr">
        <is>
          <t>Совпадений по улице+дому не найдено</t>
        </is>
      </c>
      <c r="U982" t="n">
        <v>1300</v>
      </c>
      <c r="V982" t="n">
        <v>55</v>
      </c>
      <c r="W982" t="n">
        <v>4</v>
      </c>
      <c r="X982" t="n">
        <v>32300000</v>
      </c>
      <c r="Y982" t="inlineStr"/>
      <c r="Z982" t="inlineStr"/>
      <c r="AA982" t="inlineStr">
        <is>
          <t>https://knru.ru/catalog/rimskogo-korsakova-pr-d-93/</t>
        </is>
      </c>
      <c r="AB982" t="inlineStr">
        <is>
          <t>C</t>
        </is>
      </c>
    </row>
    <row r="983">
      <c r="A983" t="n">
        <v>1301</v>
      </c>
      <c r="B983" t="n">
        <v>55</v>
      </c>
      <c r="C983" t="n">
        <v>5</v>
      </c>
      <c r="D983" t="n">
        <v>53</v>
      </c>
      <c r="E983" t="inlineStr">
        <is>
          <t>Калининский</t>
        </is>
      </c>
      <c r="F983" t="inlineStr">
        <is>
          <t>Муринская дор, 53стр1</t>
        </is>
      </c>
      <c r="G983" t="n">
        <v>487</v>
      </c>
      <c r="H983" t="inlineStr">
        <is>
          <t>130 000 000</t>
        </is>
      </c>
      <c r="I983" t="inlineStr"/>
      <c r="J983" t="inlineStr"/>
      <c r="K983" t="inlineStr"/>
      <c r="L983" t="inlineStr"/>
      <c r="M983" t="inlineStr"/>
      <c r="N983" t="inlineStr">
        <is>
          <t>no</t>
        </is>
      </c>
      <c r="O983" t="inlineStr">
        <is>
          <t>none</t>
        </is>
      </c>
      <c r="P983">
        <f>HYPERLINK("https://knru.ru/catalog/murinskaya-doroga-d-53/","ссылка")</f>
        <v/>
      </c>
      <c r="Q983" t="inlineStr"/>
      <c r="R983" t="inlineStr">
        <is>
          <t>Нет у нас</t>
        </is>
      </c>
      <c r="S983" t="n">
        <v>0</v>
      </c>
      <c r="T983" t="inlineStr">
        <is>
          <t>Совпадений по улице+дому не найдено</t>
        </is>
      </c>
      <c r="U983" t="n">
        <v>1301</v>
      </c>
      <c r="V983" t="n">
        <v>55</v>
      </c>
      <c r="W983" t="n">
        <v>5</v>
      </c>
      <c r="X983" t="n">
        <v>130000000</v>
      </c>
      <c r="Y983" t="inlineStr"/>
      <c r="Z983" t="inlineStr"/>
      <c r="AA983" t="inlineStr">
        <is>
          <t>https://knru.ru/catalog/murinskaya-doroga-d-53/</t>
        </is>
      </c>
      <c r="AB983" t="inlineStr">
        <is>
          <t>C</t>
        </is>
      </c>
    </row>
    <row r="984">
      <c r="A984" t="n">
        <v>1302</v>
      </c>
      <c r="B984" t="n">
        <v>55</v>
      </c>
      <c r="C984" t="n">
        <v>6</v>
      </c>
      <c r="D984" t="n">
        <v>6</v>
      </c>
      <c r="E984" t="inlineStr">
        <is>
          <t>Калининский</t>
        </is>
      </c>
      <c r="F984" t="inlineStr">
        <is>
          <t>Пискарёвский пр-кт, 6стр1</t>
        </is>
      </c>
      <c r="G984" t="n">
        <v>1912</v>
      </c>
      <c r="H984" t="inlineStr">
        <is>
          <t>266 000 000</t>
        </is>
      </c>
      <c r="I984" t="inlineStr"/>
      <c r="J984" t="inlineStr"/>
      <c r="K984" t="inlineStr"/>
      <c r="L984" t="inlineStr"/>
      <c r="M984" t="inlineStr"/>
      <c r="N984" t="inlineStr">
        <is>
          <t>no</t>
        </is>
      </c>
      <c r="O984" t="inlineStr">
        <is>
          <t>none</t>
        </is>
      </c>
      <c r="P984">
        <f>HYPERLINK("https://knru.ru/catalog/piskarevskij-pr-d-6/","ссылка")</f>
        <v/>
      </c>
      <c r="Q984" t="inlineStr"/>
      <c r="R984" t="inlineStr">
        <is>
          <t>Нет у нас</t>
        </is>
      </c>
      <c r="S984" t="n">
        <v>0</v>
      </c>
      <c r="T984" t="inlineStr">
        <is>
          <t>Совпадений по улице+дому не найдено</t>
        </is>
      </c>
      <c r="U984" t="n">
        <v>1302</v>
      </c>
      <c r="V984" t="n">
        <v>55</v>
      </c>
      <c r="W984" t="n">
        <v>6</v>
      </c>
      <c r="X984" t="n">
        <v>266000000</v>
      </c>
      <c r="Y984" t="inlineStr"/>
      <c r="Z984" t="inlineStr"/>
      <c r="AA984" t="inlineStr">
        <is>
          <t>https://knru.ru/catalog/piskarevskij-pr-d-6/</t>
        </is>
      </c>
      <c r="AB984" t="inlineStr">
        <is>
          <t>C</t>
        </is>
      </c>
    </row>
    <row r="985">
      <c r="A985" t="n">
        <v>1303</v>
      </c>
      <c r="B985" t="n">
        <v>55</v>
      </c>
      <c r="C985" t="n">
        <v>7</v>
      </c>
      <c r="D985" t="n">
        <v>70</v>
      </c>
      <c r="E985" t="inlineStr">
        <is>
          <t>Центральный</t>
        </is>
      </c>
      <c r="F985" t="inlineStr">
        <is>
          <t>Синопская наб, 68-70</t>
        </is>
      </c>
      <c r="G985" t="n">
        <v>1930</v>
      </c>
      <c r="H985" t="inlineStr">
        <is>
          <t>560 000 000</t>
        </is>
      </c>
      <c r="I985" t="inlineStr"/>
      <c r="J985" t="inlineStr"/>
      <c r="K985" t="inlineStr"/>
      <c r="L985" t="inlineStr"/>
      <c r="M985" t="inlineStr"/>
      <c r="N985" t="inlineStr">
        <is>
          <t>no</t>
        </is>
      </c>
      <c r="O985" t="inlineStr">
        <is>
          <t>none</t>
        </is>
      </c>
      <c r="P985">
        <f>HYPERLINK("https://knru.ru/catalog/sinopskaya-nab-d-68-70/","ссылка")</f>
        <v/>
      </c>
      <c r="Q985" t="inlineStr"/>
      <c r="R985" t="inlineStr">
        <is>
          <t>Нет у нас</t>
        </is>
      </c>
      <c r="S985" t="n">
        <v>0</v>
      </c>
      <c r="T985" t="inlineStr">
        <is>
          <t>Совпадений по улице+дому не найдено</t>
        </is>
      </c>
      <c r="U985" t="n">
        <v>1303</v>
      </c>
      <c r="V985" t="n">
        <v>55</v>
      </c>
      <c r="W985" t="n">
        <v>7</v>
      </c>
      <c r="X985" t="n">
        <v>560000000</v>
      </c>
      <c r="Y985" t="inlineStr"/>
      <c r="Z985" t="inlineStr"/>
      <c r="AA985" t="inlineStr">
        <is>
          <t>https://knru.ru/catalog/sinopskaya-nab-d-68-70/</t>
        </is>
      </c>
      <c r="AB985" t="inlineStr">
        <is>
          <t>C</t>
        </is>
      </c>
    </row>
    <row r="986">
      <c r="A986" t="n">
        <v>1304</v>
      </c>
      <c r="B986" t="n">
        <v>55</v>
      </c>
      <c r="C986" t="n">
        <v>8</v>
      </c>
      <c r="D986" t="n">
        <v>12</v>
      </c>
      <c r="E986" t="inlineStr">
        <is>
          <t>Петроградский</t>
        </is>
      </c>
      <c r="F986" t="inlineStr">
        <is>
          <t>Большая Посадская ул, 12 А</t>
        </is>
      </c>
      <c r="G986" t="n">
        <v>1000</v>
      </c>
      <c r="H986" t="inlineStr">
        <is>
          <t>280 000 000</t>
        </is>
      </c>
      <c r="I986" t="inlineStr"/>
      <c r="J986" t="inlineStr"/>
      <c r="K986" t="inlineStr"/>
      <c r="L986" t="inlineStr"/>
      <c r="M986" t="inlineStr"/>
      <c r="N986" t="inlineStr">
        <is>
          <t>no</t>
        </is>
      </c>
      <c r="O986" t="inlineStr">
        <is>
          <t>none</t>
        </is>
      </c>
      <c r="P986">
        <f>HYPERLINK("https://knru.ru/catalog/bolshaya-posadskaya-d-12/","ссылка")</f>
        <v/>
      </c>
      <c r="Q986" t="inlineStr"/>
      <c r="R986" t="inlineStr">
        <is>
          <t>Нет у нас</t>
        </is>
      </c>
      <c r="S986" t="n">
        <v>0</v>
      </c>
      <c r="T986" t="inlineStr">
        <is>
          <t>Совпадений по улице+дому не найдено</t>
        </is>
      </c>
      <c r="U986" t="n">
        <v>1304</v>
      </c>
      <c r="V986" t="n">
        <v>55</v>
      </c>
      <c r="W986" t="n">
        <v>8</v>
      </c>
      <c r="X986" t="n">
        <v>280000000</v>
      </c>
      <c r="Y986" t="inlineStr"/>
      <c r="Z986" t="inlineStr"/>
      <c r="AA986" t="inlineStr">
        <is>
          <t>https://knru.ru/catalog/bolshaya-posadskaya-d-12/</t>
        </is>
      </c>
      <c r="AB986" t="inlineStr">
        <is>
          <t>C</t>
        </is>
      </c>
    </row>
    <row r="987">
      <c r="A987" t="n">
        <v>1305</v>
      </c>
      <c r="B987" t="n">
        <v>55</v>
      </c>
      <c r="C987" t="n">
        <v>9</v>
      </c>
      <c r="D987" t="n">
        <v>5</v>
      </c>
      <c r="E987" t="inlineStr">
        <is>
          <t>Приморский</t>
        </is>
      </c>
      <c r="F987" t="inlineStr">
        <is>
          <t>Лидии Зверевой ул, 5к1</t>
        </is>
      </c>
      <c r="G987" t="n">
        <v>1543</v>
      </c>
      <c r="H987" t="inlineStr">
        <is>
          <t>139 000 000</t>
        </is>
      </c>
      <c r="I987" t="inlineStr"/>
      <c r="J987" t="inlineStr"/>
      <c r="K987" t="inlineStr"/>
      <c r="L987" t="inlineStr"/>
      <c r="M987" t="inlineStr"/>
      <c r="N987" t="inlineStr">
        <is>
          <t>no</t>
        </is>
      </c>
      <c r="O987" t="inlineStr">
        <is>
          <t>none</t>
        </is>
      </c>
      <c r="P987">
        <f>HYPERLINK("https://knru.ru/catalog/ul-lidii-zverovoj-d-5/","ссылка")</f>
        <v/>
      </c>
      <c r="Q987" t="inlineStr"/>
      <c r="R987" t="inlineStr">
        <is>
          <t>Нет у нас</t>
        </is>
      </c>
      <c r="S987" t="n">
        <v>0</v>
      </c>
      <c r="T987" t="inlineStr">
        <is>
          <t>Совпадений по улице+дому не найдено</t>
        </is>
      </c>
      <c r="U987" t="n">
        <v>1305</v>
      </c>
      <c r="V987" t="n">
        <v>55</v>
      </c>
      <c r="W987" t="n">
        <v>9</v>
      </c>
      <c r="X987" t="n">
        <v>139000000</v>
      </c>
      <c r="Y987" t="inlineStr"/>
      <c r="Z987" t="inlineStr"/>
      <c r="AA987" t="inlineStr">
        <is>
          <t>https://knru.ru/catalog/ul-lidii-zverovoj-d-5/</t>
        </is>
      </c>
      <c r="AB987" t="inlineStr">
        <is>
          <t>C</t>
        </is>
      </c>
    </row>
    <row r="988">
      <c r="A988" t="n">
        <v>1308</v>
      </c>
      <c r="B988" t="n">
        <v>55</v>
      </c>
      <c r="C988" t="n">
        <v>12</v>
      </c>
      <c r="D988" t="n">
        <v>7</v>
      </c>
      <c r="E988" t="inlineStr">
        <is>
          <t>Приморский</t>
        </is>
      </c>
      <c r="F988" t="inlineStr">
        <is>
          <t>Белоостровская ул, 7стр1</t>
        </is>
      </c>
      <c r="G988" t="n">
        <v>148</v>
      </c>
      <c r="H988" t="inlineStr">
        <is>
          <t>60 000 000</t>
        </is>
      </c>
      <c r="I988" t="inlineStr"/>
      <c r="J988" t="inlineStr"/>
      <c r="K988" t="inlineStr"/>
      <c r="L988" t="inlineStr"/>
      <c r="M988" t="inlineStr"/>
      <c r="N988" t="inlineStr">
        <is>
          <t>no</t>
        </is>
      </c>
      <c r="O988" t="inlineStr">
        <is>
          <t>none</t>
        </is>
      </c>
      <c r="P988">
        <f>HYPERLINK("https://knru.ru/catalog/ul-beloostrovskaya-d-7/","ссылка")</f>
        <v/>
      </c>
      <c r="Q988" t="inlineStr"/>
      <c r="R988" t="inlineStr">
        <is>
          <t>Нет у нас</t>
        </is>
      </c>
      <c r="S988" t="n">
        <v>0</v>
      </c>
      <c r="T988" t="inlineStr">
        <is>
          <t>Совпадений по улице+дому не найдено</t>
        </is>
      </c>
      <c r="U988" t="n">
        <v>1308</v>
      </c>
      <c r="V988" t="n">
        <v>55</v>
      </c>
      <c r="W988" t="n">
        <v>12</v>
      </c>
      <c r="X988" t="n">
        <v>60000000</v>
      </c>
      <c r="Y988" t="inlineStr"/>
      <c r="Z988" t="inlineStr"/>
      <c r="AA988" t="inlineStr">
        <is>
          <t>https://knru.ru/catalog/ul-beloostrovskaya-d-7/</t>
        </is>
      </c>
      <c r="AB988" t="inlineStr">
        <is>
          <t>C</t>
        </is>
      </c>
    </row>
    <row r="989">
      <c r="A989" t="n">
        <v>1309</v>
      </c>
      <c r="B989" t="n">
        <v>55</v>
      </c>
      <c r="C989" t="n">
        <v>13</v>
      </c>
      <c r="D989" t="n">
        <v>3</v>
      </c>
      <c r="E989" t="inlineStr">
        <is>
          <t>Центральный</t>
        </is>
      </c>
      <c r="F989" t="inlineStr">
        <is>
          <t>Стремянная ул, 22/3 А</t>
        </is>
      </c>
      <c r="G989" t="n">
        <v>432</v>
      </c>
      <c r="H989" t="inlineStr">
        <is>
          <t>399 000 000</t>
        </is>
      </c>
      <c r="I989" t="inlineStr"/>
      <c r="J989" t="inlineStr"/>
      <c r="K989" t="inlineStr"/>
      <c r="L989" t="inlineStr"/>
      <c r="M989" t="inlineStr"/>
      <c r="N989" t="inlineStr">
        <is>
          <t>no</t>
        </is>
      </c>
      <c r="O989" t="inlineStr">
        <is>
          <t>none</t>
        </is>
      </c>
      <c r="P989">
        <f>HYPERLINK("https://knru.ru/catalog/marata-ul-d-3/","ссылка")</f>
        <v/>
      </c>
      <c r="Q989" t="inlineStr"/>
      <c r="R989" t="inlineStr">
        <is>
          <t>Нет у нас</t>
        </is>
      </c>
      <c r="S989" t="n">
        <v>0</v>
      </c>
      <c r="T989" t="inlineStr">
        <is>
          <t>Совпадений по улице+дому не найдено</t>
        </is>
      </c>
      <c r="U989" t="n">
        <v>1309</v>
      </c>
      <c r="V989" t="n">
        <v>55</v>
      </c>
      <c r="W989" t="n">
        <v>13</v>
      </c>
      <c r="X989" t="n">
        <v>399000000</v>
      </c>
      <c r="Y989" t="inlineStr"/>
      <c r="Z989" t="inlineStr"/>
      <c r="AA989" t="inlineStr">
        <is>
          <t>https://knru.ru/catalog/marata-ul-d-3/</t>
        </is>
      </c>
      <c r="AB989" t="inlineStr">
        <is>
          <t>C</t>
        </is>
      </c>
    </row>
    <row r="990">
      <c r="A990" t="n">
        <v>1311</v>
      </c>
      <c r="B990" t="n">
        <v>55</v>
      </c>
      <c r="C990" t="n">
        <v>15</v>
      </c>
      <c r="D990" t="n">
        <v>12</v>
      </c>
      <c r="E990" t="inlineStr">
        <is>
          <t>Выборгский</t>
        </is>
      </c>
      <c r="F990" t="inlineStr">
        <is>
          <t>Выборгское ш, 12 А</t>
        </is>
      </c>
      <c r="G990" t="n">
        <v>6110</v>
      </c>
      <c r="H990" t="inlineStr">
        <is>
          <t>890 000 000</t>
        </is>
      </c>
      <c r="I990" t="inlineStr"/>
      <c r="J990" t="inlineStr"/>
      <c r="K990" t="inlineStr"/>
      <c r="L990" t="inlineStr"/>
      <c r="M990" t="inlineStr"/>
      <c r="N990" t="inlineStr">
        <is>
          <t>no</t>
        </is>
      </c>
      <c r="O990" t="inlineStr">
        <is>
          <t>none</t>
        </is>
      </c>
      <c r="P990">
        <f>HYPERLINK("https://knru.ru/catalog/vyborgskoe-shosse-d-12/","ссылка")</f>
        <v/>
      </c>
      <c r="Q990" t="inlineStr"/>
      <c r="R990" t="inlineStr">
        <is>
          <t>Нет у нас</t>
        </is>
      </c>
      <c r="S990" t="n">
        <v>0</v>
      </c>
      <c r="T990" t="inlineStr">
        <is>
          <t>Совпадений по улице+дому не найдено</t>
        </is>
      </c>
      <c r="U990" t="n">
        <v>1311</v>
      </c>
      <c r="V990" t="n">
        <v>55</v>
      </c>
      <c r="W990" t="n">
        <v>15</v>
      </c>
      <c r="X990" t="n">
        <v>890000000</v>
      </c>
      <c r="Y990" t="inlineStr"/>
      <c r="Z990" t="inlineStr"/>
      <c r="AA990" t="inlineStr">
        <is>
          <t>https://knru.ru/catalog/vyborgskoe-shosse-d-12/</t>
        </is>
      </c>
      <c r="AB99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position_global</t>
        </is>
      </c>
      <c r="B1" t="inlineStr">
        <is>
          <t>page_num</t>
        </is>
      </c>
      <c r="C1" t="inlineStr">
        <is>
          <t>page_pos</t>
        </is>
      </c>
      <c r="D1" t="inlineStr">
        <is>
          <t>competitor_listing_id</t>
        </is>
      </c>
      <c r="E1" t="inlineStr">
        <is>
          <t>district</t>
        </is>
      </c>
      <c r="F1" t="inlineStr">
        <is>
          <t>address</t>
        </is>
      </c>
      <c r="G1" t="inlineStr">
        <is>
          <t>area_m2</t>
        </is>
      </c>
      <c r="H1" t="inlineStr">
        <is>
          <t>price_rub</t>
        </is>
      </c>
      <c r="I1" t="inlineStr">
        <is>
          <t>our_best_price_rub</t>
        </is>
      </c>
      <c r="J1" t="inlineStr">
        <is>
          <t>price_alert</t>
        </is>
      </c>
      <c r="K1" t="inlineStr">
        <is>
          <t>price_diff_rub</t>
        </is>
      </c>
      <c r="L1" t="inlineStr">
        <is>
          <t>price_diff_pct</t>
        </is>
      </c>
      <c r="M1" t="inlineStr">
        <is>
          <t>price_scope</t>
        </is>
      </c>
      <c r="N1" t="inlineStr">
        <is>
          <t>pro_mark</t>
        </is>
      </c>
      <c r="O1" t="inlineStr">
        <is>
          <t>pro_note</t>
        </is>
      </c>
      <c r="P1" t="inlineStr">
        <is>
          <t>competitor_link</t>
        </is>
      </c>
      <c r="Q1" t="inlineStr">
        <is>
          <t>our_best_link</t>
        </is>
      </c>
      <c r="R1" t="inlineStr">
        <is>
          <t>result</t>
        </is>
      </c>
      <c r="S1" t="inlineStr">
        <is>
          <t>matched_count</t>
        </is>
      </c>
      <c r="T1" t="inlineStr">
        <is>
          <t>reason</t>
        </is>
      </c>
      <c r="U1" t="inlineStr">
        <is>
          <t>position_global_num</t>
        </is>
      </c>
      <c r="V1" t="inlineStr">
        <is>
          <t>page_num_num</t>
        </is>
      </c>
      <c r="W1" t="inlineStr">
        <is>
          <t>page_pos_num</t>
        </is>
      </c>
      <c r="X1" t="inlineStr">
        <is>
          <t>competitor_price_num</t>
        </is>
      </c>
      <c r="Y1" t="inlineStr">
        <is>
          <t>our_price_num</t>
        </is>
      </c>
      <c r="Z1" t="inlineStr">
        <is>
          <t>price_diff_num</t>
        </is>
      </c>
      <c r="AA1" t="inlineStr">
        <is>
          <t>competitor_url</t>
        </is>
      </c>
    </row>
    <row r="2">
      <c r="A2" t="n">
        <v>770</v>
      </c>
      <c r="B2" t="n">
        <v>33</v>
      </c>
      <c r="C2" t="n">
        <v>2</v>
      </c>
      <c r="D2" t="inlineStr"/>
      <c r="E2" t="inlineStr">
        <is>
          <t>Приморский</t>
        </is>
      </c>
      <c r="F2" t="inlineStr">
        <is>
          <t>Королёва пр-кт, 7 А</t>
        </is>
      </c>
      <c r="G2" t="n">
        <v>31.7</v>
      </c>
      <c r="H2" t="inlineStr">
        <is>
          <t>8 400 000</t>
        </is>
      </c>
      <c r="I2" t="inlineStr">
        <is>
          <t>1 750 000 000</t>
        </is>
      </c>
      <c r="J2" t="inlineStr">
        <is>
          <t>У нас дороже на 1 741 600 000 (20733.3%)</t>
        </is>
      </c>
      <c r="K2" t="inlineStr">
        <is>
          <t>1 741 600 000</t>
        </is>
      </c>
      <c r="L2" t="inlineStr">
        <is>
          <t>20733.3%</t>
        </is>
      </c>
      <c r="M2" t="inlineStr">
        <is>
          <t>sale_only</t>
        </is>
      </c>
      <c r="N2" t="inlineStr">
        <is>
          <t>no</t>
        </is>
      </c>
      <c r="O2" t="inlineStr">
        <is>
          <t>none</t>
        </is>
      </c>
      <c r="P2">
        <f>HYPERLINK("https://knru.ru/catalog/korolyeva-pr-kt-7-a/","ссылка")</f>
        <v/>
      </c>
      <c r="Q2">
        <f>HYPERLINK("https://app.worldcafe.ru/object/19000","ссылка")</f>
        <v/>
      </c>
      <c r="R2" t="inlineStr">
        <is>
          <t>По адресу есть, но площадь другая</t>
        </is>
      </c>
      <c r="S2" t="n">
        <v>2</v>
      </c>
      <c r="T2" t="inlineStr">
        <is>
          <t>Архив rent 1174 м² 2 113 200 =HYPERLINK("https://app.worldcafe.ru/object/7881","ссылка") | На сайте sale 1200000 м² 1 750 000 000 =HYPERLINK("https://app.worldcafe.ru/object/19000","ссылка")</t>
        </is>
      </c>
      <c r="U2" t="n">
        <v>770</v>
      </c>
      <c r="V2" t="n">
        <v>33</v>
      </c>
      <c r="W2" t="n">
        <v>2</v>
      </c>
      <c r="X2" t="n">
        <v>8400000</v>
      </c>
      <c r="Y2" t="n">
        <v>1750000000</v>
      </c>
      <c r="Z2" t="n">
        <v>1741600000</v>
      </c>
      <c r="AA2" t="inlineStr">
        <is>
          <t>https://knru.ru/catalog/korolyeva-pr-kt-7-a/</t>
        </is>
      </c>
    </row>
    <row r="3">
      <c r="A3" t="n">
        <v>417</v>
      </c>
      <c r="B3" t="n">
        <v>18</v>
      </c>
      <c r="C3" t="n">
        <v>9</v>
      </c>
      <c r="D3" t="n">
        <v>519424913</v>
      </c>
      <c r="E3" t="inlineStr">
        <is>
          <t>Центральный</t>
        </is>
      </c>
      <c r="F3" t="inlineStr">
        <is>
          <t>Невский пр-кт, 11</t>
        </is>
      </c>
      <c r="G3" t="n">
        <v>147</v>
      </c>
      <c r="H3" t="inlineStr">
        <is>
          <t>75 000 000</t>
        </is>
      </c>
      <c r="I3" t="inlineStr">
        <is>
          <t>1 250 000 000</t>
        </is>
      </c>
      <c r="J3" t="inlineStr">
        <is>
          <t>У нас дороже на 1 175 000 000 (1566.7%)</t>
        </is>
      </c>
      <c r="K3" t="inlineStr">
        <is>
          <t>1 175 000 000</t>
        </is>
      </c>
      <c r="L3" t="inlineStr">
        <is>
          <t>1566.7%</t>
        </is>
      </c>
      <c r="M3" t="inlineStr">
        <is>
          <t>sale_only</t>
        </is>
      </c>
      <c r="N3" t="inlineStr">
        <is>
          <t>no</t>
        </is>
      </c>
      <c r="O3" t="inlineStr">
        <is>
          <t>none</t>
        </is>
      </c>
      <c r="P3">
        <f>HYPERLINK("https://knru.ru/catalog/nevskiy-pr-kt-11-519424913/","ссылка")</f>
        <v/>
      </c>
      <c r="Q3">
        <f>HYPERLINK("https://app.worldcafe.ru/object/19779","ссылка")</f>
        <v/>
      </c>
      <c r="R3" t="inlineStr">
        <is>
          <t>По адресу есть, но площадь другая</t>
        </is>
      </c>
      <c r="S3" t="n">
        <v>6</v>
      </c>
      <c r="T3" t="inlineStr">
        <is>
          <t>Архив rent 182 м² 1 379 000 =HYPERLINK("https://app.worldcafe.ru/object/13980","ссылка") | Архив rent 89 м² 712 000 =HYPERLINK("https://app.worldcafe.ru/object/7787","ссылка") | Архив rent 71.6 м² 900 000 =HYPERLINK("https://app.worldcafe.ru/object/13785","ссылка") | Архив rent 55 м² 704 000 =HYPERLINK("https://app.worldcafe.ru/object/7613","ссылка") | Без сделки no_deal 937.7 м² =HYPERLINK("https://app.worldcafe.ru/object/18489","ссылка") | На сайте sale 938 м² 1 250 000 000 =HYPERLINK("https://app.worldcafe.ru/object/19779","ссылка")</t>
        </is>
      </c>
      <c r="U3" t="n">
        <v>417</v>
      </c>
      <c r="V3" t="n">
        <v>18</v>
      </c>
      <c r="W3" t="n">
        <v>9</v>
      </c>
      <c r="X3" t="n">
        <v>75000000</v>
      </c>
      <c r="Y3" t="n">
        <v>1250000000</v>
      </c>
      <c r="Z3" t="n">
        <v>1175000000</v>
      </c>
      <c r="AA3" t="inlineStr">
        <is>
          <t>https://knru.ru/catalog/nevskiy-pr-kt-11-519424913/</t>
        </is>
      </c>
    </row>
    <row r="4">
      <c r="A4" t="n">
        <v>39</v>
      </c>
      <c r="B4" t="n">
        <v>2</v>
      </c>
      <c r="C4" t="n">
        <v>15</v>
      </c>
      <c r="D4" t="inlineStr"/>
      <c r="E4" t="inlineStr">
        <is>
          <t>Калининский</t>
        </is>
      </c>
      <c r="F4" t="inlineStr">
        <is>
          <t>Кондратьевский пр-кт, 40к14</t>
        </is>
      </c>
      <c r="G4" t="n">
        <v>87.59999999999999</v>
      </c>
      <c r="H4" t="inlineStr">
        <is>
          <t>7 000 000</t>
        </is>
      </c>
      <c r="I4" t="inlineStr">
        <is>
          <t>310 000 000</t>
        </is>
      </c>
      <c r="J4" t="inlineStr">
        <is>
          <t>У нас дороже на 303 000 000 (4328.6%)</t>
        </is>
      </c>
      <c r="K4" t="inlineStr">
        <is>
          <t>303 000 000</t>
        </is>
      </c>
      <c r="L4" t="inlineStr">
        <is>
          <t>4328.6%</t>
        </is>
      </c>
      <c r="M4" t="inlineStr">
        <is>
          <t>sale_only</t>
        </is>
      </c>
      <c r="N4" t="inlineStr">
        <is>
          <t>no</t>
        </is>
      </c>
      <c r="O4" t="inlineStr">
        <is>
          <t>none</t>
        </is>
      </c>
      <c r="P4">
        <f>HYPERLINK("https://knru.ru/catalog/kondratevskiy-pr-kt-40k14/","ссылка")</f>
        <v/>
      </c>
      <c r="Q4">
        <f>HYPERLINK("https://app.worldcafe.ru/object/7631","ссылка")</f>
        <v/>
      </c>
      <c r="R4" t="inlineStr">
        <is>
          <t>По адресу есть, но площадь другая</t>
        </is>
      </c>
      <c r="S4" t="n">
        <v>1</v>
      </c>
      <c r="T4" t="inlineStr">
        <is>
          <t>Архив sale 2200 м² 310 000 000 =HYPERLINK("https://app.worldcafe.ru/object/7631","ссылка")</t>
        </is>
      </c>
      <c r="U4" t="n">
        <v>39</v>
      </c>
      <c r="V4" t="n">
        <v>2</v>
      </c>
      <c r="W4" t="n">
        <v>15</v>
      </c>
      <c r="X4" t="n">
        <v>7000000</v>
      </c>
      <c r="Y4" t="n">
        <v>310000000</v>
      </c>
      <c r="Z4" t="n">
        <v>303000000</v>
      </c>
      <c r="AA4" t="inlineStr">
        <is>
          <t>https://knru.ru/catalog/kondratevskiy-pr-kt-40k14/</t>
        </is>
      </c>
    </row>
    <row r="5">
      <c r="A5" t="n">
        <v>1006</v>
      </c>
      <c r="B5" t="n">
        <v>42</v>
      </c>
      <c r="C5" t="n">
        <v>22</v>
      </c>
      <c r="D5" t="inlineStr"/>
      <c r="E5" t="inlineStr"/>
      <c r="F5" t="inlineStr">
        <is>
          <t>Шоссейная ул, 42а</t>
        </is>
      </c>
      <c r="G5" t="n">
        <v>2000</v>
      </c>
      <c r="H5" t="inlineStr">
        <is>
          <t>5 000 000</t>
        </is>
      </c>
      <c r="I5" t="inlineStr">
        <is>
          <t>122 000 000</t>
        </is>
      </c>
      <c r="J5" t="inlineStr">
        <is>
          <t>У нас дороже на 117 000 000 (2340.0%)</t>
        </is>
      </c>
      <c r="K5" t="inlineStr">
        <is>
          <t>117 000 000</t>
        </is>
      </c>
      <c r="L5" t="inlineStr">
        <is>
          <t>2340.0%</t>
        </is>
      </c>
      <c r="M5" t="inlineStr">
        <is>
          <t>sale_only</t>
        </is>
      </c>
      <c r="N5" t="inlineStr">
        <is>
          <t>no</t>
        </is>
      </c>
      <c r="O5" t="inlineStr">
        <is>
          <t>none</t>
        </is>
      </c>
      <c r="P5">
        <f>HYPERLINK("https://knru.ru/catalog/shossejnaya-ul-42a/","ссылка")</f>
        <v/>
      </c>
      <c r="Q5">
        <f>HYPERLINK("https://app.worldcafe.ru/object/14361","ссылка")</f>
        <v/>
      </c>
      <c r="R5" t="inlineStr">
        <is>
          <t>Совпало</t>
        </is>
      </c>
      <c r="S5" t="n">
        <v>1</v>
      </c>
      <c r="T5" t="inlineStr">
        <is>
          <t>Архив sale 2000 м² 122 000 000 =HYPERLINK("https://app.worldcafe.ru/object/14361","ссылка")</t>
        </is>
      </c>
      <c r="U5" t="n">
        <v>1006</v>
      </c>
      <c r="V5" t="n">
        <v>42</v>
      </c>
      <c r="W5" t="n">
        <v>22</v>
      </c>
      <c r="X5" t="n">
        <v>5000000</v>
      </c>
      <c r="Y5" t="n">
        <v>122000000</v>
      </c>
      <c r="Z5" t="n">
        <v>117000000</v>
      </c>
      <c r="AA5" t="inlineStr">
        <is>
          <t>https://knru.ru/catalog/shossejnaya-ul-42a/</t>
        </is>
      </c>
    </row>
    <row r="6">
      <c r="A6" t="n">
        <v>397</v>
      </c>
      <c r="B6" t="n">
        <v>17</v>
      </c>
      <c r="C6" t="n">
        <v>13</v>
      </c>
      <c r="D6" t="n">
        <v>1815286506</v>
      </c>
      <c r="E6" t="inlineStr">
        <is>
          <t>Фрунзенский</t>
        </is>
      </c>
      <c r="F6" t="inlineStr">
        <is>
          <t>Салова ул., д. 61/1</t>
        </is>
      </c>
      <c r="G6" t="n">
        <v>28.5</v>
      </c>
      <c r="H6" t="inlineStr">
        <is>
          <t>7 980 000</t>
        </is>
      </c>
      <c r="I6" t="inlineStr">
        <is>
          <t>95 000 000</t>
        </is>
      </c>
      <c r="J6" t="inlineStr">
        <is>
          <t>У нас дороже на 87 020 000 (1090.5%)</t>
        </is>
      </c>
      <c r="K6" t="inlineStr">
        <is>
          <t>87 020 000</t>
        </is>
      </c>
      <c r="L6" t="inlineStr">
        <is>
          <t>1090.5%</t>
        </is>
      </c>
      <c r="M6" t="inlineStr">
        <is>
          <t>sale_only</t>
        </is>
      </c>
      <c r="N6" t="inlineStr">
        <is>
          <t>yes</t>
        </is>
      </c>
      <c r="O6" t="inlineStr">
        <is>
          <t>pixel_heuristic</t>
        </is>
      </c>
      <c r="P6">
        <f>HYPERLINK("https://knru.ru/catalog/salova-ul-d-61-1-1815286506/","ссылка")</f>
        <v/>
      </c>
      <c r="Q6">
        <f>HYPERLINK("https://app.worldcafe.ru/object/12710","ссылка")</f>
        <v/>
      </c>
      <c r="R6" t="inlineStr">
        <is>
          <t>По адресу есть, но площадь другая</t>
        </is>
      </c>
      <c r="S6" t="n">
        <v>2</v>
      </c>
      <c r="T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" t="n">
        <v>397</v>
      </c>
      <c r="V6" t="n">
        <v>17</v>
      </c>
      <c r="W6" t="n">
        <v>13</v>
      </c>
      <c r="X6" t="n">
        <v>7980000</v>
      </c>
      <c r="Y6" t="n">
        <v>95000000</v>
      </c>
      <c r="Z6" t="n">
        <v>87020000</v>
      </c>
      <c r="AA6" t="inlineStr">
        <is>
          <t>https://knru.ru/catalog/salova-ul-d-61-1-1815286506/</t>
        </is>
      </c>
    </row>
    <row r="7">
      <c r="A7" t="n">
        <v>389</v>
      </c>
      <c r="B7" t="n">
        <v>17</v>
      </c>
      <c r="C7" t="n">
        <v>5</v>
      </c>
      <c r="D7" t="n">
        <v>1130860117</v>
      </c>
      <c r="E7" t="inlineStr">
        <is>
          <t>Фрунзенский</t>
        </is>
      </c>
      <c r="F7" t="inlineStr">
        <is>
          <t>Салова ул., д. 61/1</t>
        </is>
      </c>
      <c r="G7" t="n">
        <v>32.6</v>
      </c>
      <c r="H7" t="inlineStr">
        <is>
          <t>9 128 000</t>
        </is>
      </c>
      <c r="I7" t="inlineStr">
        <is>
          <t>95 000 000</t>
        </is>
      </c>
      <c r="J7" t="inlineStr">
        <is>
          <t>У нас дороже на 85 872 000 (940.8%)</t>
        </is>
      </c>
      <c r="K7" t="inlineStr">
        <is>
          <t>85 872 000</t>
        </is>
      </c>
      <c r="L7" t="inlineStr">
        <is>
          <t>940.8%</t>
        </is>
      </c>
      <c r="M7" t="inlineStr">
        <is>
          <t>sale_only</t>
        </is>
      </c>
      <c r="N7" t="inlineStr">
        <is>
          <t>yes</t>
        </is>
      </c>
      <c r="O7" t="inlineStr">
        <is>
          <t>pixel_heuristic</t>
        </is>
      </c>
      <c r="P7">
        <f>HYPERLINK("https://knru.ru/catalog/salova-ul-d-61-1-1130860117/","ссылка")</f>
        <v/>
      </c>
      <c r="Q7">
        <f>HYPERLINK("https://app.worldcafe.ru/object/12710","ссылка")</f>
        <v/>
      </c>
      <c r="R7" t="inlineStr">
        <is>
          <t>По адресу есть, но площадь другая</t>
        </is>
      </c>
      <c r="S7" t="n">
        <v>2</v>
      </c>
      <c r="T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7" t="n">
        <v>389</v>
      </c>
      <c r="V7" t="n">
        <v>17</v>
      </c>
      <c r="W7" t="n">
        <v>5</v>
      </c>
      <c r="X7" t="n">
        <v>9128000</v>
      </c>
      <c r="Y7" t="n">
        <v>95000000</v>
      </c>
      <c r="Z7" t="n">
        <v>85872000</v>
      </c>
      <c r="AA7" t="inlineStr">
        <is>
          <t>https://knru.ru/catalog/salova-ul-d-61-1-1130860117/</t>
        </is>
      </c>
    </row>
    <row r="8">
      <c r="A8" t="n">
        <v>386</v>
      </c>
      <c r="B8" t="n">
        <v>17</v>
      </c>
      <c r="C8" t="n">
        <v>2</v>
      </c>
      <c r="D8" t="n">
        <v>714765762</v>
      </c>
      <c r="E8" t="inlineStr">
        <is>
          <t>Фрунзенский</t>
        </is>
      </c>
      <c r="F8" t="inlineStr">
        <is>
          <t>Салова ул., д. 61/1</t>
        </is>
      </c>
      <c r="G8" t="n">
        <v>33.8</v>
      </c>
      <c r="H8" t="inlineStr">
        <is>
          <t>9 464 000</t>
        </is>
      </c>
      <c r="I8" t="inlineStr">
        <is>
          <t>95 000 000</t>
        </is>
      </c>
      <c r="J8" t="inlineStr">
        <is>
          <t>У нас дороже на 85 536 000 (903.8%)</t>
        </is>
      </c>
      <c r="K8" t="inlineStr">
        <is>
          <t>85 536 000</t>
        </is>
      </c>
      <c r="L8" t="inlineStr">
        <is>
          <t>903.8%</t>
        </is>
      </c>
      <c r="M8" t="inlineStr">
        <is>
          <t>sale_only</t>
        </is>
      </c>
      <c r="N8" t="inlineStr">
        <is>
          <t>no</t>
        </is>
      </c>
      <c r="O8" t="inlineStr">
        <is>
          <t>none</t>
        </is>
      </c>
      <c r="P8">
        <f>HYPERLINK("https://knru.ru/catalog/salova-ul-d-61-1-714765762/","ссылка")</f>
        <v/>
      </c>
      <c r="Q8">
        <f>HYPERLINK("https://app.worldcafe.ru/object/12710","ссылка")</f>
        <v/>
      </c>
      <c r="R8" t="inlineStr">
        <is>
          <t>По адресу есть, но площадь другая</t>
        </is>
      </c>
      <c r="S8" t="n">
        <v>2</v>
      </c>
      <c r="T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8" t="n">
        <v>386</v>
      </c>
      <c r="V8" t="n">
        <v>17</v>
      </c>
      <c r="W8" t="n">
        <v>2</v>
      </c>
      <c r="X8" t="n">
        <v>9464000</v>
      </c>
      <c r="Y8" t="n">
        <v>95000000</v>
      </c>
      <c r="Z8" t="n">
        <v>85536000</v>
      </c>
      <c r="AA8" t="inlineStr">
        <is>
          <t>https://knru.ru/catalog/salova-ul-d-61-1-714765762/</t>
        </is>
      </c>
    </row>
    <row r="9">
      <c r="A9" t="n">
        <v>520</v>
      </c>
      <c r="B9" t="n">
        <v>22</v>
      </c>
      <c r="C9" t="n">
        <v>16</v>
      </c>
      <c r="D9" t="n">
        <v>2</v>
      </c>
      <c r="E9" t="inlineStr">
        <is>
          <t>Центральный</t>
        </is>
      </c>
      <c r="F9" t="inlineStr">
        <is>
          <t>Марата ул, 2/73-75</t>
        </is>
      </c>
      <c r="G9" t="n">
        <v>363</v>
      </c>
      <c r="H9" t="inlineStr">
        <is>
          <t>335 000 000</t>
        </is>
      </c>
      <c r="I9" t="inlineStr">
        <is>
          <t>420 000 000</t>
        </is>
      </c>
      <c r="J9" t="inlineStr">
        <is>
          <t>У нас дороже на 85 000 000 (25.4%)</t>
        </is>
      </c>
      <c r="K9" t="inlineStr">
        <is>
          <t>85 000 000</t>
        </is>
      </c>
      <c r="L9" t="inlineStr">
        <is>
          <t>25.4%</t>
        </is>
      </c>
      <c r="M9" t="inlineStr">
        <is>
          <t>sale_only</t>
        </is>
      </c>
      <c r="N9" t="inlineStr">
        <is>
          <t>no</t>
        </is>
      </c>
      <c r="O9" t="inlineStr">
        <is>
          <t>none</t>
        </is>
      </c>
      <c r="P9">
        <f>HYPERLINK("https://knru.ru/catalog/ul-marata-d-2/","ссылка")</f>
        <v/>
      </c>
      <c r="Q9">
        <f>HYPERLINK("https://app.worldcafe.ru/object/9998","ссылка")</f>
        <v/>
      </c>
      <c r="R9" t="inlineStr">
        <is>
          <t>По адресу есть, но площадь другая</t>
        </is>
      </c>
      <c r="S9" t="n">
        <v>2</v>
      </c>
      <c r="T9" t="inlineStr">
        <is>
          <t>Архив rent 200 м² 250 000 =HYPERLINK("https://app.worldcafe.ru/object/10001","ссылка") | На сайте sale 530 м² 420 000 000 =HYPERLINK("https://app.worldcafe.ru/object/9998","ссылка")</t>
        </is>
      </c>
      <c r="U9" t="n">
        <v>520</v>
      </c>
      <c r="V9" t="n">
        <v>22</v>
      </c>
      <c r="W9" t="n">
        <v>16</v>
      </c>
      <c r="X9" t="n">
        <v>335000000</v>
      </c>
      <c r="Y9" t="n">
        <v>420000000</v>
      </c>
      <c r="Z9" t="n">
        <v>85000000</v>
      </c>
      <c r="AA9" t="inlineStr">
        <is>
          <t>https://knru.ru/catalog/ul-marata-d-2/</t>
        </is>
      </c>
    </row>
    <row r="10">
      <c r="A10" t="n">
        <v>237</v>
      </c>
      <c r="B10" t="n">
        <v>10</v>
      </c>
      <c r="C10" t="n">
        <v>21</v>
      </c>
      <c r="D10" t="n">
        <v>973236738</v>
      </c>
      <c r="E10" t="inlineStr">
        <is>
          <t>Фрунзенский</t>
        </is>
      </c>
      <c r="F10" t="inlineStr">
        <is>
          <t>Салова ул., д. 61/1</t>
        </is>
      </c>
      <c r="G10" t="n">
        <v>39.2</v>
      </c>
      <c r="H10" t="inlineStr">
        <is>
          <t>10 584 000</t>
        </is>
      </c>
      <c r="I10" t="inlineStr">
        <is>
          <t>95 000 000</t>
        </is>
      </c>
      <c r="J10" t="inlineStr">
        <is>
          <t>У нас дороже на 84 416 000 (797.6%)</t>
        </is>
      </c>
      <c r="K10" t="inlineStr">
        <is>
          <t>84 416 000</t>
        </is>
      </c>
      <c r="L10" t="inlineStr">
        <is>
          <t>797.6%</t>
        </is>
      </c>
      <c r="M10" t="inlineStr">
        <is>
          <t>sale_only</t>
        </is>
      </c>
      <c r="N10" t="inlineStr">
        <is>
          <t>yes</t>
        </is>
      </c>
      <c r="O10" t="inlineStr">
        <is>
          <t>pixel_heuristic</t>
        </is>
      </c>
      <c r="P10">
        <f>HYPERLINK("https://knru.ru/catalog/salova-ul-d-61-1-973236738/","ссылка")</f>
        <v/>
      </c>
      <c r="Q10">
        <f>HYPERLINK("https://app.worldcafe.ru/object/12710","ссылка")</f>
        <v/>
      </c>
      <c r="R10" t="inlineStr">
        <is>
          <t>По адресу есть, но площадь другая</t>
        </is>
      </c>
      <c r="S10" t="n">
        <v>2</v>
      </c>
      <c r="T1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0" t="n">
        <v>237</v>
      </c>
      <c r="V10" t="n">
        <v>10</v>
      </c>
      <c r="W10" t="n">
        <v>21</v>
      </c>
      <c r="X10" t="n">
        <v>10584000</v>
      </c>
      <c r="Y10" t="n">
        <v>95000000</v>
      </c>
      <c r="Z10" t="n">
        <v>84416000</v>
      </c>
      <c r="AA10" t="inlineStr">
        <is>
          <t>https://knru.ru/catalog/salova-ul-d-61-1-973236738/</t>
        </is>
      </c>
    </row>
    <row r="11">
      <c r="A11" t="n">
        <v>388</v>
      </c>
      <c r="B11" t="n">
        <v>17</v>
      </c>
      <c r="C11" t="n">
        <v>4</v>
      </c>
      <c r="D11" t="n">
        <v>960863054</v>
      </c>
      <c r="E11" t="inlineStr">
        <is>
          <t>Фрунзенский</t>
        </is>
      </c>
      <c r="F11" t="inlineStr">
        <is>
          <t>Салова ул., д. 61/1</t>
        </is>
      </c>
      <c r="G11" t="n">
        <v>37.8</v>
      </c>
      <c r="H11" t="inlineStr">
        <is>
          <t>10 584 000</t>
        </is>
      </c>
      <c r="I11" t="inlineStr">
        <is>
          <t>95 000 000</t>
        </is>
      </c>
      <c r="J11" t="inlineStr">
        <is>
          <t>У нас дороже на 84 416 000 (797.6%)</t>
        </is>
      </c>
      <c r="K11" t="inlineStr">
        <is>
          <t>84 416 000</t>
        </is>
      </c>
      <c r="L11" t="inlineStr">
        <is>
          <t>797.6%</t>
        </is>
      </c>
      <c r="M11" t="inlineStr">
        <is>
          <t>sale_only</t>
        </is>
      </c>
      <c r="N11" t="inlineStr">
        <is>
          <t>yes</t>
        </is>
      </c>
      <c r="O11" t="inlineStr">
        <is>
          <t>pixel_heuristic</t>
        </is>
      </c>
      <c r="P11">
        <f>HYPERLINK("https://knru.ru/catalog/salova-ul-d-61-1-960863054/","ссылка")</f>
        <v/>
      </c>
      <c r="Q11">
        <f>HYPERLINK("https://app.worldcafe.ru/object/12710","ссылка")</f>
        <v/>
      </c>
      <c r="R11" t="inlineStr">
        <is>
          <t>По адресу есть, но площадь другая</t>
        </is>
      </c>
      <c r="S11" t="n">
        <v>2</v>
      </c>
      <c r="T11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1" t="n">
        <v>388</v>
      </c>
      <c r="V11" t="n">
        <v>17</v>
      </c>
      <c r="W11" t="n">
        <v>4</v>
      </c>
      <c r="X11" t="n">
        <v>10584000</v>
      </c>
      <c r="Y11" t="n">
        <v>95000000</v>
      </c>
      <c r="Z11" t="n">
        <v>84416000</v>
      </c>
      <c r="AA11" t="inlineStr">
        <is>
          <t>https://knru.ru/catalog/salova-ul-d-61-1-960863054/</t>
        </is>
      </c>
    </row>
    <row r="12">
      <c r="A12" t="n">
        <v>722</v>
      </c>
      <c r="B12" t="n">
        <v>31</v>
      </c>
      <c r="C12" t="n">
        <v>2</v>
      </c>
      <c r="D12" t="n">
        <v>562763947</v>
      </c>
      <c r="E12" t="inlineStr">
        <is>
          <t>Фрунзенский</t>
        </is>
      </c>
      <c r="F12" t="inlineStr">
        <is>
          <t>Салова ул, 61</t>
        </is>
      </c>
      <c r="G12" t="n">
        <v>39.6</v>
      </c>
      <c r="H12" t="inlineStr">
        <is>
          <t>10 692 000</t>
        </is>
      </c>
      <c r="I12" t="inlineStr">
        <is>
          <t>95 000 000</t>
        </is>
      </c>
      <c r="J12" t="inlineStr">
        <is>
          <t>У нас дороже на 84 308 000 (788.5%)</t>
        </is>
      </c>
      <c r="K12" t="inlineStr">
        <is>
          <t>84 308 000</t>
        </is>
      </c>
      <c r="L12" t="inlineStr">
        <is>
          <t>788.5%</t>
        </is>
      </c>
      <c r="M12" t="inlineStr">
        <is>
          <t>sale_only</t>
        </is>
      </c>
      <c r="N12" t="inlineStr">
        <is>
          <t>no</t>
        </is>
      </c>
      <c r="O12" t="inlineStr">
        <is>
          <t>none</t>
        </is>
      </c>
      <c r="P12">
        <f>HYPERLINK("https://knru.ru/catalog/ul-salova-d-61-562763947/","ссылка")</f>
        <v/>
      </c>
      <c r="Q12">
        <f>HYPERLINK("https://app.worldcafe.ru/object/12710","ссылка")</f>
        <v/>
      </c>
      <c r="R12" t="inlineStr">
        <is>
          <t>По адресу есть, но площадь другая</t>
        </is>
      </c>
      <c r="S12" t="n">
        <v>2</v>
      </c>
      <c r="T12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2" t="n">
        <v>722</v>
      </c>
      <c r="V12" t="n">
        <v>31</v>
      </c>
      <c r="W12" t="n">
        <v>2</v>
      </c>
      <c r="X12" t="n">
        <v>10692000</v>
      </c>
      <c r="Y12" t="n">
        <v>95000000</v>
      </c>
      <c r="Z12" t="n">
        <v>84308000</v>
      </c>
      <c r="AA12" t="inlineStr">
        <is>
          <t>https://knru.ru/catalog/ul-salova-d-61-562763947/</t>
        </is>
      </c>
    </row>
    <row r="13">
      <c r="A13" t="n">
        <v>390</v>
      </c>
      <c r="B13" t="n">
        <v>17</v>
      </c>
      <c r="C13" t="n">
        <v>6</v>
      </c>
      <c r="D13" t="n">
        <v>1656377850</v>
      </c>
      <c r="E13" t="inlineStr">
        <is>
          <t>Фрунзенский</t>
        </is>
      </c>
      <c r="F13" t="inlineStr">
        <is>
          <t>Салова ул., д. 61/1</t>
        </is>
      </c>
      <c r="G13" t="n">
        <v>38.5</v>
      </c>
      <c r="H13" t="inlineStr">
        <is>
          <t>10 780 000</t>
        </is>
      </c>
      <c r="I13" t="inlineStr">
        <is>
          <t>95 000 000</t>
        </is>
      </c>
      <c r="J13" t="inlineStr">
        <is>
          <t>У нас дороже на 84 220 000 (781.3%)</t>
        </is>
      </c>
      <c r="K13" t="inlineStr">
        <is>
          <t>84 220 000</t>
        </is>
      </c>
      <c r="L13" t="inlineStr">
        <is>
          <t>781.3%</t>
        </is>
      </c>
      <c r="M13" t="inlineStr">
        <is>
          <t>sale_only</t>
        </is>
      </c>
      <c r="N13" t="inlineStr">
        <is>
          <t>yes</t>
        </is>
      </c>
      <c r="O13" t="inlineStr">
        <is>
          <t>pixel_heuristic</t>
        </is>
      </c>
      <c r="P13">
        <f>HYPERLINK("https://knru.ru/catalog/salova-ul-d-61-1-1656377850/","ссылка")</f>
        <v/>
      </c>
      <c r="Q13">
        <f>HYPERLINK("https://app.worldcafe.ru/object/12710","ссылка")</f>
        <v/>
      </c>
      <c r="R13" t="inlineStr">
        <is>
          <t>По адресу есть, но площадь другая</t>
        </is>
      </c>
      <c r="S13" t="n">
        <v>2</v>
      </c>
      <c r="T13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3" t="n">
        <v>390</v>
      </c>
      <c r="V13" t="n">
        <v>17</v>
      </c>
      <c r="W13" t="n">
        <v>6</v>
      </c>
      <c r="X13" t="n">
        <v>10780000</v>
      </c>
      <c r="Y13" t="n">
        <v>95000000</v>
      </c>
      <c r="Z13" t="n">
        <v>84220000</v>
      </c>
      <c r="AA13" t="inlineStr">
        <is>
          <t>https://knru.ru/catalog/salova-ul-d-61-1-1656377850/</t>
        </is>
      </c>
    </row>
    <row r="14">
      <c r="A14" t="n">
        <v>382</v>
      </c>
      <c r="B14" t="n">
        <v>16</v>
      </c>
      <c r="C14" t="n">
        <v>22</v>
      </c>
      <c r="D14" t="n">
        <v>202970881</v>
      </c>
      <c r="E14" t="inlineStr">
        <is>
          <t>Фрунзенский</t>
        </is>
      </c>
      <c r="F14" t="inlineStr">
        <is>
          <t>Салова ул., д. 61/1</t>
        </is>
      </c>
      <c r="G14" t="n">
        <v>43.4</v>
      </c>
      <c r="H14" t="inlineStr">
        <is>
          <t>11 718 000</t>
        </is>
      </c>
      <c r="I14" t="inlineStr">
        <is>
          <t>95 000 000</t>
        </is>
      </c>
      <c r="J14" t="inlineStr">
        <is>
          <t>У нас дороже на 83 282 000 (710.7%)</t>
        </is>
      </c>
      <c r="K14" t="inlineStr">
        <is>
          <t>83 282 000</t>
        </is>
      </c>
      <c r="L14" t="inlineStr">
        <is>
          <t>710.7%</t>
        </is>
      </c>
      <c r="M14" t="inlineStr">
        <is>
          <t>sale_only</t>
        </is>
      </c>
      <c r="N14" t="inlineStr">
        <is>
          <t>no</t>
        </is>
      </c>
      <c r="O14" t="inlineStr">
        <is>
          <t>none</t>
        </is>
      </c>
      <c r="P14">
        <f>HYPERLINK("https://knru.ru/catalog/salova-ul-d-61-1-202970881/","ссылка")</f>
        <v/>
      </c>
      <c r="Q14">
        <f>HYPERLINK("https://app.worldcafe.ru/object/12710","ссылка")</f>
        <v/>
      </c>
      <c r="R14" t="inlineStr">
        <is>
          <t>По адресу есть, но площадь другая</t>
        </is>
      </c>
      <c r="S14" t="n">
        <v>2</v>
      </c>
      <c r="T14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4" t="n">
        <v>382</v>
      </c>
      <c r="V14" t="n">
        <v>16</v>
      </c>
      <c r="W14" t="n">
        <v>22</v>
      </c>
      <c r="X14" t="n">
        <v>11718000</v>
      </c>
      <c r="Y14" t="n">
        <v>95000000</v>
      </c>
      <c r="Z14" t="n">
        <v>83282000</v>
      </c>
      <c r="AA14" t="inlineStr">
        <is>
          <t>https://knru.ru/catalog/salova-ul-d-61-1-202970881/</t>
        </is>
      </c>
    </row>
    <row r="15">
      <c r="A15" t="n">
        <v>235</v>
      </c>
      <c r="B15" t="n">
        <v>10</v>
      </c>
      <c r="C15" t="n">
        <v>19</v>
      </c>
      <c r="D15" t="n">
        <v>1064821775</v>
      </c>
      <c r="E15" t="inlineStr">
        <is>
          <t>Фрунзенский</t>
        </is>
      </c>
      <c r="F15" t="inlineStr">
        <is>
          <t>Салова ул., д. 61/1</t>
        </is>
      </c>
      <c r="G15" t="n">
        <v>54.6</v>
      </c>
      <c r="H15" t="inlineStr">
        <is>
          <t>14 742 000</t>
        </is>
      </c>
      <c r="I15" t="inlineStr">
        <is>
          <t>95 000 000</t>
        </is>
      </c>
      <c r="J15" t="inlineStr">
        <is>
          <t>У нас дороже на 80 258 000 (544.4%)</t>
        </is>
      </c>
      <c r="K15" t="inlineStr">
        <is>
          <t>80 258 000</t>
        </is>
      </c>
      <c r="L15" t="inlineStr">
        <is>
          <t>544.4%</t>
        </is>
      </c>
      <c r="M15" t="inlineStr">
        <is>
          <t>sale_only</t>
        </is>
      </c>
      <c r="N15" t="inlineStr">
        <is>
          <t>yes</t>
        </is>
      </c>
      <c r="O15" t="inlineStr">
        <is>
          <t>pixel_heuristic</t>
        </is>
      </c>
      <c r="P15">
        <f>HYPERLINK("https://knru.ru/catalog/salova-ul-d-61-1-1064821775/","ссылка")</f>
        <v/>
      </c>
      <c r="Q15">
        <f>HYPERLINK("https://app.worldcafe.ru/object/12710","ссылка")</f>
        <v/>
      </c>
      <c r="R15" t="inlineStr">
        <is>
          <t>По адресу есть, но площадь другая</t>
        </is>
      </c>
      <c r="S15" t="n">
        <v>2</v>
      </c>
      <c r="T15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5" t="n">
        <v>235</v>
      </c>
      <c r="V15" t="n">
        <v>10</v>
      </c>
      <c r="W15" t="n">
        <v>19</v>
      </c>
      <c r="X15" t="n">
        <v>14742000</v>
      </c>
      <c r="Y15" t="n">
        <v>95000000</v>
      </c>
      <c r="Z15" t="n">
        <v>80258000</v>
      </c>
      <c r="AA15" t="inlineStr">
        <is>
          <t>https://knru.ru/catalog/salova-ul-d-61-1-1064821775/</t>
        </is>
      </c>
    </row>
    <row r="16">
      <c r="A16" t="n">
        <v>236</v>
      </c>
      <c r="B16" t="n">
        <v>10</v>
      </c>
      <c r="C16" t="n">
        <v>20</v>
      </c>
      <c r="D16" t="n">
        <v>1091717778</v>
      </c>
      <c r="E16" t="inlineStr">
        <is>
          <t>Фрунзенский</t>
        </is>
      </c>
      <c r="F16" t="inlineStr">
        <is>
          <t>Салова ул., д. 61/1</t>
        </is>
      </c>
      <c r="G16" t="n">
        <v>54.7</v>
      </c>
      <c r="H16" t="inlineStr">
        <is>
          <t>14 769 000</t>
        </is>
      </c>
      <c r="I16" t="inlineStr">
        <is>
          <t>95 000 000</t>
        </is>
      </c>
      <c r="J16" t="inlineStr">
        <is>
          <t>У нас дороже на 80 231 000 (543.2%)</t>
        </is>
      </c>
      <c r="K16" t="inlineStr">
        <is>
          <t>80 231 000</t>
        </is>
      </c>
      <c r="L16" t="inlineStr">
        <is>
          <t>543.2%</t>
        </is>
      </c>
      <c r="M16" t="inlineStr">
        <is>
          <t>sale_only</t>
        </is>
      </c>
      <c r="N16" t="inlineStr">
        <is>
          <t>yes</t>
        </is>
      </c>
      <c r="O16" t="inlineStr">
        <is>
          <t>pixel_heuristic</t>
        </is>
      </c>
      <c r="P16">
        <f>HYPERLINK("https://knru.ru/catalog/salova-ul-d-61-1-1091717778/","ссылка")</f>
        <v/>
      </c>
      <c r="Q16">
        <f>HYPERLINK("https://app.worldcafe.ru/object/12710","ссылка")</f>
        <v/>
      </c>
      <c r="R16" t="inlineStr">
        <is>
          <t>По адресу есть, но площадь другая</t>
        </is>
      </c>
      <c r="S16" t="n">
        <v>2</v>
      </c>
      <c r="T1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6" t="n">
        <v>236</v>
      </c>
      <c r="V16" t="n">
        <v>10</v>
      </c>
      <c r="W16" t="n">
        <v>20</v>
      </c>
      <c r="X16" t="n">
        <v>14769000</v>
      </c>
      <c r="Y16" t="n">
        <v>95000000</v>
      </c>
      <c r="Z16" t="n">
        <v>80231000</v>
      </c>
      <c r="AA16" t="inlineStr">
        <is>
          <t>https://knru.ru/catalog/salova-ul-d-61-1-1091717778/</t>
        </is>
      </c>
    </row>
    <row r="17">
      <c r="A17" t="n">
        <v>387</v>
      </c>
      <c r="B17" t="n">
        <v>17</v>
      </c>
      <c r="C17" t="n">
        <v>3</v>
      </c>
      <c r="D17" t="n">
        <v>1227731924</v>
      </c>
      <c r="E17" t="inlineStr">
        <is>
          <t>Фрунзенский</t>
        </is>
      </c>
      <c r="F17" t="inlineStr">
        <is>
          <t>Салова ул., д. 61/1</t>
        </is>
      </c>
      <c r="G17" t="n">
        <v>53.4</v>
      </c>
      <c r="H17" t="inlineStr">
        <is>
          <t>14 952 000</t>
        </is>
      </c>
      <c r="I17" t="inlineStr">
        <is>
          <t>95 000 000</t>
        </is>
      </c>
      <c r="J17" t="inlineStr">
        <is>
          <t>У нас дороже на 80 048 000 (535.4%)</t>
        </is>
      </c>
      <c r="K17" t="inlineStr">
        <is>
          <t>80 048 000</t>
        </is>
      </c>
      <c r="L17" t="inlineStr">
        <is>
          <t>535.4%</t>
        </is>
      </c>
      <c r="M17" t="inlineStr">
        <is>
          <t>sale_only</t>
        </is>
      </c>
      <c r="N17" t="inlineStr">
        <is>
          <t>no</t>
        </is>
      </c>
      <c r="O17" t="inlineStr">
        <is>
          <t>none</t>
        </is>
      </c>
      <c r="P17">
        <f>HYPERLINK("https://knru.ru/catalog/salova-ul-d-61-1-1227731924/","ссылка")</f>
        <v/>
      </c>
      <c r="Q17">
        <f>HYPERLINK("https://app.worldcafe.ru/object/12710","ссылка")</f>
        <v/>
      </c>
      <c r="R17" t="inlineStr">
        <is>
          <t>По адресу есть, но площадь другая</t>
        </is>
      </c>
      <c r="S17" t="n">
        <v>2</v>
      </c>
      <c r="T1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7" t="n">
        <v>387</v>
      </c>
      <c r="V17" t="n">
        <v>17</v>
      </c>
      <c r="W17" t="n">
        <v>3</v>
      </c>
      <c r="X17" t="n">
        <v>14952000</v>
      </c>
      <c r="Y17" t="n">
        <v>95000000</v>
      </c>
      <c r="Z17" t="n">
        <v>80048000</v>
      </c>
      <c r="AA17" t="inlineStr">
        <is>
          <t>https://knru.ru/catalog/salova-ul-d-61-1-1227731924/</t>
        </is>
      </c>
    </row>
    <row r="18">
      <c r="A18" t="n">
        <v>233</v>
      </c>
      <c r="B18" t="n">
        <v>10</v>
      </c>
      <c r="C18" t="n">
        <v>17</v>
      </c>
      <c r="D18" t="n">
        <v>560139728</v>
      </c>
      <c r="E18" t="inlineStr">
        <is>
          <t>Фрунзенский</t>
        </is>
      </c>
      <c r="F18" t="inlineStr">
        <is>
          <t>Салова ул., д. 61/1</t>
        </is>
      </c>
      <c r="G18" t="n">
        <v>55.6</v>
      </c>
      <c r="H18" t="inlineStr">
        <is>
          <t>15 012 000</t>
        </is>
      </c>
      <c r="I18" t="inlineStr">
        <is>
          <t>95 000 000</t>
        </is>
      </c>
      <c r="J18" t="inlineStr">
        <is>
          <t>У нас дороже на 79 988 000 (532.8%)</t>
        </is>
      </c>
      <c r="K18" t="inlineStr">
        <is>
          <t>79 988 000</t>
        </is>
      </c>
      <c r="L18" t="inlineStr">
        <is>
          <t>532.8%</t>
        </is>
      </c>
      <c r="M18" t="inlineStr">
        <is>
          <t>sale_only</t>
        </is>
      </c>
      <c r="N18" t="inlineStr">
        <is>
          <t>yes</t>
        </is>
      </c>
      <c r="O18" t="inlineStr">
        <is>
          <t>pixel_heuristic</t>
        </is>
      </c>
      <c r="P18">
        <f>HYPERLINK("https://knru.ru/catalog/salova-ul-d-61-1-560139728/","ссылка")</f>
        <v/>
      </c>
      <c r="Q18">
        <f>HYPERLINK("https://app.worldcafe.ru/object/12710","ссылка")</f>
        <v/>
      </c>
      <c r="R18" t="inlineStr">
        <is>
          <t>По адресу есть, но площадь другая</t>
        </is>
      </c>
      <c r="S18" t="n">
        <v>2</v>
      </c>
      <c r="T1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8" t="n">
        <v>233</v>
      </c>
      <c r="V18" t="n">
        <v>10</v>
      </c>
      <c r="W18" t="n">
        <v>17</v>
      </c>
      <c r="X18" t="n">
        <v>15012000</v>
      </c>
      <c r="Y18" t="n">
        <v>95000000</v>
      </c>
      <c r="Z18" t="n">
        <v>79988000</v>
      </c>
      <c r="AA18" t="inlineStr">
        <is>
          <t>https://knru.ru/catalog/salova-ul-d-61-1-560139728/</t>
        </is>
      </c>
    </row>
    <row r="19">
      <c r="A19" t="n">
        <v>395</v>
      </c>
      <c r="B19" t="n">
        <v>17</v>
      </c>
      <c r="C19" t="n">
        <v>11</v>
      </c>
      <c r="D19" t="n">
        <v>182673737</v>
      </c>
      <c r="E19" t="inlineStr">
        <is>
          <t>Фрунзенский</t>
        </is>
      </c>
      <c r="F19" t="inlineStr">
        <is>
          <t>Салова ул., д. 61/1</t>
        </is>
      </c>
      <c r="G19" t="n">
        <v>55.8</v>
      </c>
      <c r="H19" t="inlineStr">
        <is>
          <t>15 066 000</t>
        </is>
      </c>
      <c r="I19" t="inlineStr">
        <is>
          <t>95 000 000</t>
        </is>
      </c>
      <c r="J19" t="inlineStr">
        <is>
          <t>У нас дороже на 79 934 000 (530.6%)</t>
        </is>
      </c>
      <c r="K19" t="inlineStr">
        <is>
          <t>79 934 000</t>
        </is>
      </c>
      <c r="L19" t="inlineStr">
        <is>
          <t>530.6%</t>
        </is>
      </c>
      <c r="M19" t="inlineStr">
        <is>
          <t>sale_only</t>
        </is>
      </c>
      <c r="N19" t="inlineStr">
        <is>
          <t>yes</t>
        </is>
      </c>
      <c r="O19" t="inlineStr">
        <is>
          <t>pixel_heuristic</t>
        </is>
      </c>
      <c r="P19">
        <f>HYPERLINK("https://knru.ru/catalog/salova-ul-d-61-1-182673737/","ссылка")</f>
        <v/>
      </c>
      <c r="Q19">
        <f>HYPERLINK("https://app.worldcafe.ru/object/12710","ссылка")</f>
        <v/>
      </c>
      <c r="R19" t="inlineStr">
        <is>
          <t>По адресу есть, но площадь другая</t>
        </is>
      </c>
      <c r="S19" t="n">
        <v>2</v>
      </c>
      <c r="T19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9" t="n">
        <v>395</v>
      </c>
      <c r="V19" t="n">
        <v>17</v>
      </c>
      <c r="W19" t="n">
        <v>11</v>
      </c>
      <c r="X19" t="n">
        <v>15066000</v>
      </c>
      <c r="Y19" t="n">
        <v>95000000</v>
      </c>
      <c r="Z19" t="n">
        <v>79934000</v>
      </c>
      <c r="AA19" t="inlineStr">
        <is>
          <t>https://knru.ru/catalog/salova-ul-d-61-1-182673737/</t>
        </is>
      </c>
    </row>
    <row r="20">
      <c r="A20" t="n">
        <v>234</v>
      </c>
      <c r="B20" t="n">
        <v>10</v>
      </c>
      <c r="C20" t="n">
        <v>18</v>
      </c>
      <c r="D20" t="n">
        <v>158213163</v>
      </c>
      <c r="E20" t="inlineStr">
        <is>
          <t>Фрунзенский</t>
        </is>
      </c>
      <c r="F20" t="inlineStr">
        <is>
          <t>Салова ул., д. 61/1</t>
        </is>
      </c>
      <c r="G20" t="n">
        <v>56.4</v>
      </c>
      <c r="H20" t="inlineStr">
        <is>
          <t>15 228 000</t>
        </is>
      </c>
      <c r="I20" t="inlineStr">
        <is>
          <t>95 000 000</t>
        </is>
      </c>
      <c r="J20" t="inlineStr">
        <is>
          <t>У нас дороже на 79 772 000 (523.9%)</t>
        </is>
      </c>
      <c r="K20" t="inlineStr">
        <is>
          <t>79 772 000</t>
        </is>
      </c>
      <c r="L20" t="inlineStr">
        <is>
          <t>523.9%</t>
        </is>
      </c>
      <c r="M20" t="inlineStr">
        <is>
          <t>sale_only</t>
        </is>
      </c>
      <c r="N20" t="inlineStr">
        <is>
          <t>yes</t>
        </is>
      </c>
      <c r="O20" t="inlineStr">
        <is>
          <t>pixel_heuristic</t>
        </is>
      </c>
      <c r="P20">
        <f>HYPERLINK("https://knru.ru/catalog/salova-ul-d-61-1-158213163/","ссылка")</f>
        <v/>
      </c>
      <c r="Q20">
        <f>HYPERLINK("https://app.worldcafe.ru/object/12710","ссылка")</f>
        <v/>
      </c>
      <c r="R20" t="inlineStr">
        <is>
          <t>По адресу есть, но площадь другая</t>
        </is>
      </c>
      <c r="S20" t="n">
        <v>2</v>
      </c>
      <c r="T2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0" t="n">
        <v>234</v>
      </c>
      <c r="V20" t="n">
        <v>10</v>
      </c>
      <c r="W20" t="n">
        <v>18</v>
      </c>
      <c r="X20" t="n">
        <v>15228000</v>
      </c>
      <c r="Y20" t="n">
        <v>95000000</v>
      </c>
      <c r="Z20" t="n">
        <v>79772000</v>
      </c>
      <c r="AA20" t="inlineStr">
        <is>
          <t>https://knru.ru/catalog/salova-ul-d-61-1-158213163/</t>
        </is>
      </c>
    </row>
    <row r="21">
      <c r="A21" t="n">
        <v>726</v>
      </c>
      <c r="B21" t="n">
        <v>31</v>
      </c>
      <c r="C21" t="n">
        <v>6</v>
      </c>
      <c r="D21" t="n">
        <v>1035842874</v>
      </c>
      <c r="E21" t="inlineStr">
        <is>
          <t>Фрунзенский</t>
        </is>
      </c>
      <c r="F21" t="inlineStr">
        <is>
          <t>Салова ул, 61</t>
        </is>
      </c>
      <c r="G21" t="n">
        <v>56.4</v>
      </c>
      <c r="H21" t="inlineStr">
        <is>
          <t>15 228 000</t>
        </is>
      </c>
      <c r="I21" t="inlineStr">
        <is>
          <t>95 000 000</t>
        </is>
      </c>
      <c r="J21" t="inlineStr">
        <is>
          <t>У нас дороже на 79 772 000 (523.9%)</t>
        </is>
      </c>
      <c r="K21" t="inlineStr">
        <is>
          <t>79 772 000</t>
        </is>
      </c>
      <c r="L21" t="inlineStr">
        <is>
          <t>523.9%</t>
        </is>
      </c>
      <c r="M21" t="inlineStr">
        <is>
          <t>sale_only</t>
        </is>
      </c>
      <c r="N21" t="inlineStr">
        <is>
          <t>no</t>
        </is>
      </c>
      <c r="O21" t="inlineStr">
        <is>
          <t>none</t>
        </is>
      </c>
      <c r="P21">
        <f>HYPERLINK("https://knru.ru/catalog/ul-salova-d-61-1035842874/","ссылка")</f>
        <v/>
      </c>
      <c r="Q21">
        <f>HYPERLINK("https://app.worldcafe.ru/object/12710","ссылка")</f>
        <v/>
      </c>
      <c r="R21" t="inlineStr">
        <is>
          <t>По адресу есть, но площадь другая</t>
        </is>
      </c>
      <c r="S21" t="n">
        <v>2</v>
      </c>
      <c r="T21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1" t="n">
        <v>726</v>
      </c>
      <c r="V21" t="n">
        <v>31</v>
      </c>
      <c r="W21" t="n">
        <v>6</v>
      </c>
      <c r="X21" t="n">
        <v>15228000</v>
      </c>
      <c r="Y21" t="n">
        <v>95000000</v>
      </c>
      <c r="Z21" t="n">
        <v>79772000</v>
      </c>
      <c r="AA21" t="inlineStr">
        <is>
          <t>https://knru.ru/catalog/ul-salova-d-61-1035842874/</t>
        </is>
      </c>
    </row>
    <row r="22">
      <c r="A22" t="n">
        <v>393</v>
      </c>
      <c r="B22" t="n">
        <v>17</v>
      </c>
      <c r="C22" t="n">
        <v>9</v>
      </c>
      <c r="D22" t="n">
        <v>1606074809</v>
      </c>
      <c r="E22" t="inlineStr">
        <is>
          <t>Фрунзенский</t>
        </is>
      </c>
      <c r="F22" t="inlineStr">
        <is>
          <t>Салова ул., д. 61/1</t>
        </is>
      </c>
      <c r="G22" t="n">
        <v>56.5</v>
      </c>
      <c r="H22" t="inlineStr">
        <is>
          <t>15 255 000</t>
        </is>
      </c>
      <c r="I22" t="inlineStr">
        <is>
          <t>95 000 000</t>
        </is>
      </c>
      <c r="J22" t="inlineStr">
        <is>
          <t>У нас дороже на 79 745 000 (522.7%)</t>
        </is>
      </c>
      <c r="K22" t="inlineStr">
        <is>
          <t>79 745 000</t>
        </is>
      </c>
      <c r="L22" t="inlineStr">
        <is>
          <t>522.7%</t>
        </is>
      </c>
      <c r="M22" t="inlineStr">
        <is>
          <t>sale_only</t>
        </is>
      </c>
      <c r="N22" t="inlineStr">
        <is>
          <t>yes</t>
        </is>
      </c>
      <c r="O22" t="inlineStr">
        <is>
          <t>pixel_heuristic</t>
        </is>
      </c>
      <c r="P22">
        <f>HYPERLINK("https://knru.ru/catalog/salova-ul-d-61-1-1606074809/","ссылка")</f>
        <v/>
      </c>
      <c r="Q22">
        <f>HYPERLINK("https://app.worldcafe.ru/object/12710","ссылка")</f>
        <v/>
      </c>
      <c r="R22" t="inlineStr">
        <is>
          <t>По адресу есть, но площадь другая</t>
        </is>
      </c>
      <c r="S22" t="n">
        <v>2</v>
      </c>
      <c r="T22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2" t="n">
        <v>393</v>
      </c>
      <c r="V22" t="n">
        <v>17</v>
      </c>
      <c r="W22" t="n">
        <v>9</v>
      </c>
      <c r="X22" t="n">
        <v>15255000</v>
      </c>
      <c r="Y22" t="n">
        <v>95000000</v>
      </c>
      <c r="Z22" t="n">
        <v>79745000</v>
      </c>
      <c r="AA22" t="inlineStr">
        <is>
          <t>https://knru.ru/catalog/salova-ul-d-61-1-1606074809/</t>
        </is>
      </c>
    </row>
    <row r="23">
      <c r="A23" t="n">
        <v>396</v>
      </c>
      <c r="B23" t="n">
        <v>17</v>
      </c>
      <c r="C23" t="n">
        <v>12</v>
      </c>
      <c r="D23" t="n">
        <v>40226638</v>
      </c>
      <c r="E23" t="inlineStr">
        <is>
          <t>Фрунзенский</t>
        </is>
      </c>
      <c r="F23" t="inlineStr">
        <is>
          <t>Салова ул., д. 61/1</t>
        </is>
      </c>
      <c r="G23" t="n">
        <v>56.7</v>
      </c>
      <c r="H23" t="inlineStr">
        <is>
          <t>15 309 000</t>
        </is>
      </c>
      <c r="I23" t="inlineStr">
        <is>
          <t>95 000 000</t>
        </is>
      </c>
      <c r="J23" t="inlineStr">
        <is>
          <t>У нас дороже на 79 691 000 (520.6%)</t>
        </is>
      </c>
      <c r="K23" t="inlineStr">
        <is>
          <t>79 691 000</t>
        </is>
      </c>
      <c r="L23" t="inlineStr">
        <is>
          <t>520.6%</t>
        </is>
      </c>
      <c r="M23" t="inlineStr">
        <is>
          <t>sale_only</t>
        </is>
      </c>
      <c r="N23" t="inlineStr">
        <is>
          <t>yes</t>
        </is>
      </c>
      <c r="O23" t="inlineStr">
        <is>
          <t>pixel_heuristic</t>
        </is>
      </c>
      <c r="P23">
        <f>HYPERLINK("https://knru.ru/catalog/salova-ul-d-61-1-40226638/","ссылка")</f>
        <v/>
      </c>
      <c r="Q23">
        <f>HYPERLINK("https://app.worldcafe.ru/object/12710","ссылка")</f>
        <v/>
      </c>
      <c r="R23" t="inlineStr">
        <is>
          <t>По адресу есть, но площадь другая</t>
        </is>
      </c>
      <c r="S23" t="n">
        <v>2</v>
      </c>
      <c r="T23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3" t="n">
        <v>396</v>
      </c>
      <c r="V23" t="n">
        <v>17</v>
      </c>
      <c r="W23" t="n">
        <v>12</v>
      </c>
      <c r="X23" t="n">
        <v>15309000</v>
      </c>
      <c r="Y23" t="n">
        <v>95000000</v>
      </c>
      <c r="Z23" t="n">
        <v>79691000</v>
      </c>
      <c r="AA23" t="inlineStr">
        <is>
          <t>https://knru.ru/catalog/salova-ul-d-61-1-40226638/</t>
        </is>
      </c>
    </row>
    <row r="24">
      <c r="A24" t="n">
        <v>394</v>
      </c>
      <c r="B24" t="n">
        <v>17</v>
      </c>
      <c r="C24" t="n">
        <v>10</v>
      </c>
      <c r="D24" t="n">
        <v>1450322707</v>
      </c>
      <c r="E24" t="inlineStr">
        <is>
          <t>Фрунзенский</t>
        </is>
      </c>
      <c r="F24" t="inlineStr">
        <is>
          <t>Салова ул., д. 61/1</t>
        </is>
      </c>
      <c r="G24" t="n">
        <v>57</v>
      </c>
      <c r="H24" t="inlineStr">
        <is>
          <t>15 390 000</t>
        </is>
      </c>
      <c r="I24" t="inlineStr">
        <is>
          <t>95 000 000</t>
        </is>
      </c>
      <c r="J24" t="inlineStr">
        <is>
          <t>У нас дороже на 79 610 000 (517.3%)</t>
        </is>
      </c>
      <c r="K24" t="inlineStr">
        <is>
          <t>79 610 000</t>
        </is>
      </c>
      <c r="L24" t="inlineStr">
        <is>
          <t>517.3%</t>
        </is>
      </c>
      <c r="M24" t="inlineStr">
        <is>
          <t>sale_only</t>
        </is>
      </c>
      <c r="N24" t="inlineStr">
        <is>
          <t>yes</t>
        </is>
      </c>
      <c r="O24" t="inlineStr">
        <is>
          <t>pixel_heuristic</t>
        </is>
      </c>
      <c r="P24">
        <f>HYPERLINK("https://knru.ru/catalog/salova-ul-d-61-1-1450322707/","ссылка")</f>
        <v/>
      </c>
      <c r="Q24">
        <f>HYPERLINK("https://app.worldcafe.ru/object/12710","ссылка")</f>
        <v/>
      </c>
      <c r="R24" t="inlineStr">
        <is>
          <t>По адресу есть, но площадь другая</t>
        </is>
      </c>
      <c r="S24" t="n">
        <v>2</v>
      </c>
      <c r="T24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4" t="n">
        <v>394</v>
      </c>
      <c r="V24" t="n">
        <v>17</v>
      </c>
      <c r="W24" t="n">
        <v>10</v>
      </c>
      <c r="X24" t="n">
        <v>15390000</v>
      </c>
      <c r="Y24" t="n">
        <v>95000000</v>
      </c>
      <c r="Z24" t="n">
        <v>79610000</v>
      </c>
      <c r="AA24" t="inlineStr">
        <is>
          <t>https://knru.ru/catalog/salova-ul-d-61-1-1450322707/</t>
        </is>
      </c>
    </row>
    <row r="25">
      <c r="A25" t="n">
        <v>391</v>
      </c>
      <c r="B25" t="n">
        <v>17</v>
      </c>
      <c r="C25" t="n">
        <v>7</v>
      </c>
      <c r="D25" t="n">
        <v>558498375</v>
      </c>
      <c r="E25" t="inlineStr">
        <is>
          <t>Фрунзенский</t>
        </is>
      </c>
      <c r="F25" t="inlineStr">
        <is>
          <t>Салова ул., д. 61/1</t>
        </is>
      </c>
      <c r="G25" t="n">
        <v>68.2</v>
      </c>
      <c r="H25" t="inlineStr">
        <is>
          <t>18 414 000</t>
        </is>
      </c>
      <c r="I25" t="inlineStr">
        <is>
          <t>95 000 000</t>
        </is>
      </c>
      <c r="J25" t="inlineStr">
        <is>
          <t>У нас дороже на 76 586 000 (415.9%)</t>
        </is>
      </c>
      <c r="K25" t="inlineStr">
        <is>
          <t>76 586 000</t>
        </is>
      </c>
      <c r="L25" t="inlineStr">
        <is>
          <t>415.9%</t>
        </is>
      </c>
      <c r="M25" t="inlineStr">
        <is>
          <t>sale_only</t>
        </is>
      </c>
      <c r="N25" t="inlineStr">
        <is>
          <t>yes</t>
        </is>
      </c>
      <c r="O25" t="inlineStr">
        <is>
          <t>pixel_heuristic</t>
        </is>
      </c>
      <c r="P25">
        <f>HYPERLINK("https://knru.ru/catalog/salova-ul-d-61-1-558498375/","ссылка")</f>
        <v/>
      </c>
      <c r="Q25">
        <f>HYPERLINK("https://app.worldcafe.ru/object/12710","ссылка")</f>
        <v/>
      </c>
      <c r="R25" t="inlineStr">
        <is>
          <t>По адресу есть, но площадь другая</t>
        </is>
      </c>
      <c r="S25" t="n">
        <v>2</v>
      </c>
      <c r="T25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5" t="n">
        <v>391</v>
      </c>
      <c r="V25" t="n">
        <v>17</v>
      </c>
      <c r="W25" t="n">
        <v>7</v>
      </c>
      <c r="X25" t="n">
        <v>18414000</v>
      </c>
      <c r="Y25" t="n">
        <v>95000000</v>
      </c>
      <c r="Z25" t="n">
        <v>76586000</v>
      </c>
      <c r="AA25" t="inlineStr">
        <is>
          <t>https://knru.ru/catalog/salova-ul-d-61-1-558498375/</t>
        </is>
      </c>
    </row>
    <row r="26">
      <c r="A26" t="n">
        <v>398</v>
      </c>
      <c r="B26" t="n">
        <v>17</v>
      </c>
      <c r="C26" t="n">
        <v>14</v>
      </c>
      <c r="D26" t="n">
        <v>1</v>
      </c>
      <c r="E26" t="inlineStr">
        <is>
          <t>Фрунзенский</t>
        </is>
      </c>
      <c r="F26" t="inlineStr">
        <is>
          <t>Салова ул., д. 61/1</t>
        </is>
      </c>
      <c r="G26" t="n">
        <v>71.2</v>
      </c>
      <c r="H26" t="inlineStr">
        <is>
          <t>18 512 000</t>
        </is>
      </c>
      <c r="I26" t="inlineStr">
        <is>
          <t>95 000 000</t>
        </is>
      </c>
      <c r="J26" t="inlineStr">
        <is>
          <t>У нас дороже на 76 488 000 (413.2%)</t>
        </is>
      </c>
      <c r="K26" t="inlineStr">
        <is>
          <t>76 488 000</t>
        </is>
      </c>
      <c r="L26" t="inlineStr">
        <is>
          <t>413.2%</t>
        </is>
      </c>
      <c r="M26" t="inlineStr">
        <is>
          <t>sale_only</t>
        </is>
      </c>
      <c r="N26" t="inlineStr">
        <is>
          <t>yes</t>
        </is>
      </c>
      <c r="O26" t="inlineStr">
        <is>
          <t>pixel_heuristic</t>
        </is>
      </c>
      <c r="P26">
        <f>HYPERLINK("https://knru.ru/catalog/salova-ul-d-61-1/","ссылка")</f>
        <v/>
      </c>
      <c r="Q26">
        <f>HYPERLINK("https://app.worldcafe.ru/object/12710","ссылка")</f>
        <v/>
      </c>
      <c r="R26" t="inlineStr">
        <is>
          <t>По адресу есть, но площадь другая</t>
        </is>
      </c>
      <c r="S26" t="n">
        <v>2</v>
      </c>
      <c r="T2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6" t="n">
        <v>398</v>
      </c>
      <c r="V26" t="n">
        <v>17</v>
      </c>
      <c r="W26" t="n">
        <v>14</v>
      </c>
      <c r="X26" t="n">
        <v>18512000</v>
      </c>
      <c r="Y26" t="n">
        <v>95000000</v>
      </c>
      <c r="Z26" t="n">
        <v>76488000</v>
      </c>
      <c r="AA26" t="inlineStr">
        <is>
          <t>https://knru.ru/catalog/salova-ul-d-61-1/</t>
        </is>
      </c>
    </row>
    <row r="27">
      <c r="A27" t="n">
        <v>725</v>
      </c>
      <c r="B27" t="n">
        <v>31</v>
      </c>
      <c r="C27" t="n">
        <v>5</v>
      </c>
      <c r="D27" t="n">
        <v>121238694</v>
      </c>
      <c r="E27" t="inlineStr">
        <is>
          <t>Фрунзенский</t>
        </is>
      </c>
      <c r="F27" t="inlineStr">
        <is>
          <t>Салова ул, 61</t>
        </is>
      </c>
      <c r="G27" t="n">
        <v>71.2</v>
      </c>
      <c r="H27" t="inlineStr">
        <is>
          <t>18 512 000</t>
        </is>
      </c>
      <c r="I27" t="inlineStr">
        <is>
          <t>95 000 000</t>
        </is>
      </c>
      <c r="J27" t="inlineStr">
        <is>
          <t>У нас дороже на 76 488 000 (413.2%)</t>
        </is>
      </c>
      <c r="K27" t="inlineStr">
        <is>
          <t>76 488 000</t>
        </is>
      </c>
      <c r="L27" t="inlineStr">
        <is>
          <t>413.2%</t>
        </is>
      </c>
      <c r="M27" t="inlineStr">
        <is>
          <t>sale_only</t>
        </is>
      </c>
      <c r="N27" t="inlineStr">
        <is>
          <t>no</t>
        </is>
      </c>
      <c r="O27" t="inlineStr">
        <is>
          <t>none</t>
        </is>
      </c>
      <c r="P27">
        <f>HYPERLINK("https://knru.ru/catalog/ul-salova-d-61-121238694/","ссылка")</f>
        <v/>
      </c>
      <c r="Q27">
        <f>HYPERLINK("https://app.worldcafe.ru/object/12710","ссылка")</f>
        <v/>
      </c>
      <c r="R27" t="inlineStr">
        <is>
          <t>По адресу есть, но площадь другая</t>
        </is>
      </c>
      <c r="S27" t="n">
        <v>2</v>
      </c>
      <c r="T2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7" t="n">
        <v>725</v>
      </c>
      <c r="V27" t="n">
        <v>31</v>
      </c>
      <c r="W27" t="n">
        <v>5</v>
      </c>
      <c r="X27" t="n">
        <v>18512000</v>
      </c>
      <c r="Y27" t="n">
        <v>95000000</v>
      </c>
      <c r="Z27" t="n">
        <v>76488000</v>
      </c>
      <c r="AA27" t="inlineStr">
        <is>
          <t>https://knru.ru/catalog/ul-salova-d-61-121238694/</t>
        </is>
      </c>
    </row>
    <row r="28">
      <c r="A28" t="n">
        <v>385</v>
      </c>
      <c r="B28" t="n">
        <v>17</v>
      </c>
      <c r="C28" t="n">
        <v>1</v>
      </c>
      <c r="D28" t="n">
        <v>355791131</v>
      </c>
      <c r="E28" t="inlineStr">
        <is>
          <t>Фрунзенский</t>
        </is>
      </c>
      <c r="F28" t="inlineStr">
        <is>
          <t>Салова ул., д. 61/1</t>
        </is>
      </c>
      <c r="G28" t="n">
        <v>72.3</v>
      </c>
      <c r="H28" t="inlineStr">
        <is>
          <t>18 798 000</t>
        </is>
      </c>
      <c r="I28" t="inlineStr">
        <is>
          <t>95 000 000</t>
        </is>
      </c>
      <c r="J28" t="inlineStr">
        <is>
          <t>У нас дороже на 76 202 000 (405.4%)</t>
        </is>
      </c>
      <c r="K28" t="inlineStr">
        <is>
          <t>76 202 000</t>
        </is>
      </c>
      <c r="L28" t="inlineStr">
        <is>
          <t>405.4%</t>
        </is>
      </c>
      <c r="M28" t="inlineStr">
        <is>
          <t>sale_only</t>
        </is>
      </c>
      <c r="N28" t="inlineStr">
        <is>
          <t>no</t>
        </is>
      </c>
      <c r="O28" t="inlineStr">
        <is>
          <t>none</t>
        </is>
      </c>
      <c r="P28">
        <f>HYPERLINK("https://knru.ru/catalog/salova-ul-d-61-1-355791131/","ссылка")</f>
        <v/>
      </c>
      <c r="Q28">
        <f>HYPERLINK("https://app.worldcafe.ru/object/12710","ссылка")</f>
        <v/>
      </c>
      <c r="R28" t="inlineStr">
        <is>
          <t>По адресу есть, но площадь другая</t>
        </is>
      </c>
      <c r="S28" t="n">
        <v>2</v>
      </c>
      <c r="T2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8" t="n">
        <v>385</v>
      </c>
      <c r="V28" t="n">
        <v>17</v>
      </c>
      <c r="W28" t="n">
        <v>1</v>
      </c>
      <c r="X28" t="n">
        <v>18798000</v>
      </c>
      <c r="Y28" t="n">
        <v>95000000</v>
      </c>
      <c r="Z28" t="n">
        <v>76202000</v>
      </c>
      <c r="AA28" t="inlineStr">
        <is>
          <t>https://knru.ru/catalog/salova-ul-d-61-1-355791131/</t>
        </is>
      </c>
    </row>
    <row r="29">
      <c r="A29" t="n">
        <v>232</v>
      </c>
      <c r="B29" t="n">
        <v>10</v>
      </c>
      <c r="C29" t="n">
        <v>16</v>
      </c>
      <c r="D29" t="n">
        <v>193475553</v>
      </c>
      <c r="E29" t="inlineStr">
        <is>
          <t>Фрунзенский</t>
        </is>
      </c>
      <c r="F29" t="inlineStr">
        <is>
          <t>Салова ул., д. 61/1</t>
        </is>
      </c>
      <c r="G29" t="n">
        <v>82.09999999999999</v>
      </c>
      <c r="H29" t="inlineStr">
        <is>
          <t>20 935 500</t>
        </is>
      </c>
      <c r="I29" t="inlineStr">
        <is>
          <t>95 000 000</t>
        </is>
      </c>
      <c r="J29" t="inlineStr">
        <is>
          <t>У нас дороже на 74 064 500 (353.8%)</t>
        </is>
      </c>
      <c r="K29" t="inlineStr">
        <is>
          <t>74 064 500</t>
        </is>
      </c>
      <c r="L29" t="inlineStr">
        <is>
          <t>353.8%</t>
        </is>
      </c>
      <c r="M29" t="inlineStr">
        <is>
          <t>sale_only</t>
        </is>
      </c>
      <c r="N29" t="inlineStr">
        <is>
          <t>yes</t>
        </is>
      </c>
      <c r="O29" t="inlineStr">
        <is>
          <t>pixel_heuristic</t>
        </is>
      </c>
      <c r="P29">
        <f>HYPERLINK("https://knru.ru/catalog/salova-ul-d-61-1-193475553/","ссылка")</f>
        <v/>
      </c>
      <c r="Q29">
        <f>HYPERLINK("https://app.worldcafe.ru/object/12710","ссылка")</f>
        <v/>
      </c>
      <c r="R29" t="inlineStr">
        <is>
          <t>По адресу есть, но площадь другая</t>
        </is>
      </c>
      <c r="S29" t="n">
        <v>2</v>
      </c>
      <c r="T29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29" t="n">
        <v>232</v>
      </c>
      <c r="V29" t="n">
        <v>10</v>
      </c>
      <c r="W29" t="n">
        <v>16</v>
      </c>
      <c r="X29" t="n">
        <v>20935500</v>
      </c>
      <c r="Y29" t="n">
        <v>95000000</v>
      </c>
      <c r="Z29" t="n">
        <v>74064500</v>
      </c>
      <c r="AA29" t="inlineStr">
        <is>
          <t>https://knru.ru/catalog/salova-ul-d-61-1-193475553/</t>
        </is>
      </c>
    </row>
    <row r="30">
      <c r="A30" t="n">
        <v>727</v>
      </c>
      <c r="B30" t="n">
        <v>31</v>
      </c>
      <c r="C30" t="n">
        <v>7</v>
      </c>
      <c r="D30" t="n">
        <v>1914773371</v>
      </c>
      <c r="E30" t="inlineStr">
        <is>
          <t>Фрунзенский</t>
        </is>
      </c>
      <c r="F30" t="inlineStr">
        <is>
          <t>Салова ул, 61</t>
        </is>
      </c>
      <c r="G30" t="n">
        <v>82.09999999999999</v>
      </c>
      <c r="H30" t="inlineStr">
        <is>
          <t>20 935 500</t>
        </is>
      </c>
      <c r="I30" t="inlineStr">
        <is>
          <t>95 000 000</t>
        </is>
      </c>
      <c r="J30" t="inlineStr">
        <is>
          <t>У нас дороже на 74 064 500 (353.8%)</t>
        </is>
      </c>
      <c r="K30" t="inlineStr">
        <is>
          <t>74 064 500</t>
        </is>
      </c>
      <c r="L30" t="inlineStr">
        <is>
          <t>353.8%</t>
        </is>
      </c>
      <c r="M30" t="inlineStr">
        <is>
          <t>sale_only</t>
        </is>
      </c>
      <c r="N30" t="inlineStr">
        <is>
          <t>no</t>
        </is>
      </c>
      <c r="O30" t="inlineStr">
        <is>
          <t>none</t>
        </is>
      </c>
      <c r="P30">
        <f>HYPERLINK("https://knru.ru/catalog/ul-salova-d-61-1914773371/","ссылка")</f>
        <v/>
      </c>
      <c r="Q30">
        <f>HYPERLINK("https://app.worldcafe.ru/object/12710","ссылка")</f>
        <v/>
      </c>
      <c r="R30" t="inlineStr">
        <is>
          <t>По адресу есть, но площадь другая</t>
        </is>
      </c>
      <c r="S30" t="n">
        <v>2</v>
      </c>
      <c r="T3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0" t="n">
        <v>727</v>
      </c>
      <c r="V30" t="n">
        <v>31</v>
      </c>
      <c r="W30" t="n">
        <v>7</v>
      </c>
      <c r="X30" t="n">
        <v>20935500</v>
      </c>
      <c r="Y30" t="n">
        <v>95000000</v>
      </c>
      <c r="Z30" t="n">
        <v>74064500</v>
      </c>
      <c r="AA30" t="inlineStr">
        <is>
          <t>https://knru.ru/catalog/ul-salova-d-61-1914773371/</t>
        </is>
      </c>
    </row>
    <row r="31">
      <c r="A31" t="n">
        <v>353</v>
      </c>
      <c r="B31" t="n">
        <v>15</v>
      </c>
      <c r="C31" t="n">
        <v>17</v>
      </c>
      <c r="D31" t="n">
        <v>1097572265</v>
      </c>
      <c r="E31" t="inlineStr">
        <is>
          <t>Приморский</t>
        </is>
      </c>
      <c r="F31" t="inlineStr">
        <is>
          <t>Авиаконструкторов пр., д. 63</t>
        </is>
      </c>
      <c r="G31" t="n">
        <v>75.2</v>
      </c>
      <c r="H31" t="inlineStr">
        <is>
          <t>18 536 888</t>
        </is>
      </c>
      <c r="I31" t="inlineStr">
        <is>
          <t>92 500 000</t>
        </is>
      </c>
      <c r="J31" t="inlineStr">
        <is>
          <t>У нас дороже на 73 963 112 (399.0%)</t>
        </is>
      </c>
      <c r="K31" t="inlineStr">
        <is>
          <t>73 963 112</t>
        </is>
      </c>
      <c r="L31" t="inlineStr">
        <is>
          <t>399.0%</t>
        </is>
      </c>
      <c r="M31" t="inlineStr">
        <is>
          <t>sale_only</t>
        </is>
      </c>
      <c r="N31" t="inlineStr">
        <is>
          <t>yes</t>
        </is>
      </c>
      <c r="O31" t="inlineStr">
        <is>
          <t>pixel_heuristic</t>
        </is>
      </c>
      <c r="P31">
        <f>HYPERLINK("https://knru.ru/catalog/aviakonstruktorov-pr-d-63-1097572265/","ссылка")</f>
        <v/>
      </c>
      <c r="Q31">
        <f>HYPERLINK("https://app.worldcafe.ru/object/18758","ссылка")</f>
        <v/>
      </c>
      <c r="R31" t="inlineStr">
        <is>
          <t>По адресу есть, но площадь другая</t>
        </is>
      </c>
      <c r="S31" t="n">
        <v>1</v>
      </c>
      <c r="T31" t="inlineStr">
        <is>
          <t>Архив sale 363 м² 92 500 000 =HYPERLINK("https://app.worldcafe.ru/object/18758","ссылка")</t>
        </is>
      </c>
      <c r="U31" t="n">
        <v>353</v>
      </c>
      <c r="V31" t="n">
        <v>15</v>
      </c>
      <c r="W31" t="n">
        <v>17</v>
      </c>
      <c r="X31" t="n">
        <v>18536888</v>
      </c>
      <c r="Y31" t="n">
        <v>92500000</v>
      </c>
      <c r="Z31" t="n">
        <v>73963112</v>
      </c>
      <c r="AA31" t="inlineStr">
        <is>
          <t>https://knru.ru/catalog/aviakonstruktorov-pr-d-63-1097572265/</t>
        </is>
      </c>
    </row>
    <row r="32">
      <c r="A32" t="n">
        <v>352</v>
      </c>
      <c r="B32" t="n">
        <v>15</v>
      </c>
      <c r="C32" t="n">
        <v>16</v>
      </c>
      <c r="D32" t="n">
        <v>330508538</v>
      </c>
      <c r="E32" t="inlineStr">
        <is>
          <t>Приморский</t>
        </is>
      </c>
      <c r="F32" t="inlineStr">
        <is>
          <t>Авиаконструкторов пр., д. 63</t>
        </is>
      </c>
      <c r="G32" t="n">
        <v>65</v>
      </c>
      <c r="H32" t="inlineStr">
        <is>
          <t>18 850 887</t>
        </is>
      </c>
      <c r="I32" t="inlineStr">
        <is>
          <t>92 500 000</t>
        </is>
      </c>
      <c r="J32" t="inlineStr">
        <is>
          <t>У нас дороже на 73 649 113 (390.7%)</t>
        </is>
      </c>
      <c r="K32" t="inlineStr">
        <is>
          <t>73 649 113</t>
        </is>
      </c>
      <c r="L32" t="inlineStr">
        <is>
          <t>390.7%</t>
        </is>
      </c>
      <c r="M32" t="inlineStr">
        <is>
          <t>sale_only</t>
        </is>
      </c>
      <c r="N32" t="inlineStr">
        <is>
          <t>yes</t>
        </is>
      </c>
      <c r="O32" t="inlineStr">
        <is>
          <t>pixel_heuristic</t>
        </is>
      </c>
      <c r="P32">
        <f>HYPERLINK("https://knru.ru/catalog/aviakonstruktorov-pr-d-63-330508538/","ссылка")</f>
        <v/>
      </c>
      <c r="Q32">
        <f>HYPERLINK("https://app.worldcafe.ru/object/18758","ссылка")</f>
        <v/>
      </c>
      <c r="R32" t="inlineStr">
        <is>
          <t>По адресу есть, но площадь другая</t>
        </is>
      </c>
      <c r="S32" t="n">
        <v>1</v>
      </c>
      <c r="T32" t="inlineStr">
        <is>
          <t>Архив sale 363 м² 92 500 000 =HYPERLINK("https://app.worldcafe.ru/object/18758","ссылка")</t>
        </is>
      </c>
      <c r="U32" t="n">
        <v>352</v>
      </c>
      <c r="V32" t="n">
        <v>15</v>
      </c>
      <c r="W32" t="n">
        <v>16</v>
      </c>
      <c r="X32" t="n">
        <v>18850887</v>
      </c>
      <c r="Y32" t="n">
        <v>92500000</v>
      </c>
      <c r="Z32" t="n">
        <v>73649113</v>
      </c>
      <c r="AA32" t="inlineStr">
        <is>
          <t>https://knru.ru/catalog/aviakonstruktorov-pr-d-63-330508538/</t>
        </is>
      </c>
    </row>
    <row r="33">
      <c r="A33" t="n">
        <v>392</v>
      </c>
      <c r="B33" t="n">
        <v>17</v>
      </c>
      <c r="C33" t="n">
        <v>8</v>
      </c>
      <c r="D33" t="n">
        <v>197891924</v>
      </c>
      <c r="E33" t="inlineStr">
        <is>
          <t>Фрунзенский</t>
        </is>
      </c>
      <c r="F33" t="inlineStr">
        <is>
          <t>Салова ул., д. 61/1</t>
        </is>
      </c>
      <c r="G33" t="n">
        <v>83.7</v>
      </c>
      <c r="H33" t="inlineStr">
        <is>
          <t>21 762 000</t>
        </is>
      </c>
      <c r="I33" t="inlineStr">
        <is>
          <t>95 000 000</t>
        </is>
      </c>
      <c r="J33" t="inlineStr">
        <is>
          <t>У нас дороже на 73 238 000 (336.5%)</t>
        </is>
      </c>
      <c r="K33" t="inlineStr">
        <is>
          <t>73 238 000</t>
        </is>
      </c>
      <c r="L33" t="inlineStr">
        <is>
          <t>336.5%</t>
        </is>
      </c>
      <c r="M33" t="inlineStr">
        <is>
          <t>sale_only</t>
        </is>
      </c>
      <c r="N33" t="inlineStr">
        <is>
          <t>yes</t>
        </is>
      </c>
      <c r="O33" t="inlineStr">
        <is>
          <t>pixel_heuristic</t>
        </is>
      </c>
      <c r="P33">
        <f>HYPERLINK("https://knru.ru/catalog/salova-ul-d-61-1-197891924/","ссылка")</f>
        <v/>
      </c>
      <c r="Q33">
        <f>HYPERLINK("https://app.worldcafe.ru/object/12710","ссылка")</f>
        <v/>
      </c>
      <c r="R33" t="inlineStr">
        <is>
          <t>По адресу есть, но площадь другая</t>
        </is>
      </c>
      <c r="S33" t="n">
        <v>2</v>
      </c>
      <c r="T33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3" t="n">
        <v>392</v>
      </c>
      <c r="V33" t="n">
        <v>17</v>
      </c>
      <c r="W33" t="n">
        <v>8</v>
      </c>
      <c r="X33" t="n">
        <v>21762000</v>
      </c>
      <c r="Y33" t="n">
        <v>95000000</v>
      </c>
      <c r="Z33" t="n">
        <v>73238000</v>
      </c>
      <c r="AA33" t="inlineStr">
        <is>
          <t>https://knru.ru/catalog/salova-ul-d-61-1-197891924/</t>
        </is>
      </c>
    </row>
    <row r="34">
      <c r="A34" t="n">
        <v>723</v>
      </c>
      <c r="B34" t="n">
        <v>31</v>
      </c>
      <c r="C34" t="n">
        <v>3</v>
      </c>
      <c r="D34" t="n">
        <v>2125267199</v>
      </c>
      <c r="E34" t="inlineStr">
        <is>
          <t>Фрунзенский</t>
        </is>
      </c>
      <c r="F34" t="inlineStr">
        <is>
          <t>Салова ул, 61</t>
        </is>
      </c>
      <c r="G34" t="n">
        <v>83</v>
      </c>
      <c r="H34" t="inlineStr">
        <is>
          <t>21 762 000</t>
        </is>
      </c>
      <c r="I34" t="inlineStr">
        <is>
          <t>95 000 000</t>
        </is>
      </c>
      <c r="J34" t="inlineStr">
        <is>
          <t>У нас дороже на 73 238 000 (336.5%)</t>
        </is>
      </c>
      <c r="K34" t="inlineStr">
        <is>
          <t>73 238 000</t>
        </is>
      </c>
      <c r="L34" t="inlineStr">
        <is>
          <t>336.5%</t>
        </is>
      </c>
      <c r="M34" t="inlineStr">
        <is>
          <t>sale_only</t>
        </is>
      </c>
      <c r="N34" t="inlineStr">
        <is>
          <t>no</t>
        </is>
      </c>
      <c r="O34" t="inlineStr">
        <is>
          <t>none</t>
        </is>
      </c>
      <c r="P34">
        <f>HYPERLINK("https://knru.ru/catalog/ul-salova-d-61-2125267199/","ссылка")</f>
        <v/>
      </c>
      <c r="Q34">
        <f>HYPERLINK("https://app.worldcafe.ru/object/12710","ссылка")</f>
        <v/>
      </c>
      <c r="R34" t="inlineStr">
        <is>
          <t>По адресу есть, но площадь другая</t>
        </is>
      </c>
      <c r="S34" t="n">
        <v>2</v>
      </c>
      <c r="T34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4" t="n">
        <v>723</v>
      </c>
      <c r="V34" t="n">
        <v>31</v>
      </c>
      <c r="W34" t="n">
        <v>3</v>
      </c>
      <c r="X34" t="n">
        <v>21762000</v>
      </c>
      <c r="Y34" t="n">
        <v>95000000</v>
      </c>
      <c r="Z34" t="n">
        <v>73238000</v>
      </c>
      <c r="AA34" t="inlineStr">
        <is>
          <t>https://knru.ru/catalog/ul-salova-d-61-2125267199/</t>
        </is>
      </c>
    </row>
    <row r="35">
      <c r="A35" t="n">
        <v>712</v>
      </c>
      <c r="B35" t="n">
        <v>30</v>
      </c>
      <c r="C35" t="n">
        <v>16</v>
      </c>
      <c r="D35" t="n">
        <v>6</v>
      </c>
      <c r="E35" t="inlineStr">
        <is>
          <t>Красногвардейский</t>
        </is>
      </c>
      <c r="F35" t="inlineStr">
        <is>
          <t>Энергетиков пр-кт, 6</t>
        </is>
      </c>
      <c r="G35" t="n">
        <v>42.7</v>
      </c>
      <c r="H35" t="inlineStr">
        <is>
          <t>19 181 280</t>
        </is>
      </c>
      <c r="I35" t="inlineStr">
        <is>
          <t>90 000 000</t>
        </is>
      </c>
      <c r="J35" t="inlineStr">
        <is>
          <t>У нас дороже на 70 818 720 (369.2%)</t>
        </is>
      </c>
      <c r="K35" t="inlineStr">
        <is>
          <t>70 818 720</t>
        </is>
      </c>
      <c r="L35" t="inlineStr">
        <is>
          <t>369.2%</t>
        </is>
      </c>
      <c r="M35" t="inlineStr">
        <is>
          <t>sale_only</t>
        </is>
      </c>
      <c r="N35" t="inlineStr">
        <is>
          <t>no</t>
        </is>
      </c>
      <c r="O35" t="inlineStr">
        <is>
          <t>none</t>
        </is>
      </c>
      <c r="P35">
        <f>HYPERLINK("https://knru.ru/catalog/pr-energetikov-d-6/","ссылка")</f>
        <v/>
      </c>
      <c r="Q35">
        <f>HYPERLINK("https://app.worldcafe.ru/object/18923","ссылка")</f>
        <v/>
      </c>
      <c r="R35" t="inlineStr">
        <is>
          <t>По адресу есть, но площадь другая</t>
        </is>
      </c>
      <c r="S35" t="n">
        <v>3</v>
      </c>
      <c r="T35" t="inlineStr">
        <is>
          <t>Архив rent 311.9 м² 700 000 =HYPERLINK("https://app.worldcafe.ru/object/18923","ссылка") | Архив sale 311.9 м² 90 000 000 =HYPERLINK("https://app.worldcafe.ru/object/18923","ссылка") | Архив sale 419.2 м² 90 000 000 =HYPERLINK("https://app.worldcafe.ru/object/19152","ссылка")</t>
        </is>
      </c>
      <c r="U35" t="n">
        <v>712</v>
      </c>
      <c r="V35" t="n">
        <v>30</v>
      </c>
      <c r="W35" t="n">
        <v>16</v>
      </c>
      <c r="X35" t="n">
        <v>19181280</v>
      </c>
      <c r="Y35" t="n">
        <v>90000000</v>
      </c>
      <c r="Z35" t="n">
        <v>70818720</v>
      </c>
      <c r="AA35" t="inlineStr">
        <is>
          <t>https://knru.ru/catalog/pr-energetikov-d-6/</t>
        </is>
      </c>
    </row>
    <row r="36">
      <c r="A36" t="n">
        <v>724</v>
      </c>
      <c r="B36" t="n">
        <v>31</v>
      </c>
      <c r="C36" t="n">
        <v>4</v>
      </c>
      <c r="D36" t="n">
        <v>966007628</v>
      </c>
      <c r="E36" t="inlineStr">
        <is>
          <t>Фрунзенский</t>
        </is>
      </c>
      <c r="F36" t="inlineStr">
        <is>
          <t>Салова ул, 61</t>
        </is>
      </c>
      <c r="G36" t="n">
        <v>83.2</v>
      </c>
      <c r="H36" t="inlineStr">
        <is>
          <t>25 792 000</t>
        </is>
      </c>
      <c r="I36" t="inlineStr">
        <is>
          <t>95 000 000</t>
        </is>
      </c>
      <c r="J36" t="inlineStr">
        <is>
          <t>У нас дороже на 69 208 000 (268.3%)</t>
        </is>
      </c>
      <c r="K36" t="inlineStr">
        <is>
          <t>69 208 000</t>
        </is>
      </c>
      <c r="L36" t="inlineStr">
        <is>
          <t>268.3%</t>
        </is>
      </c>
      <c r="M36" t="inlineStr">
        <is>
          <t>sale_only</t>
        </is>
      </c>
      <c r="N36" t="inlineStr">
        <is>
          <t>no</t>
        </is>
      </c>
      <c r="O36" t="inlineStr">
        <is>
          <t>none</t>
        </is>
      </c>
      <c r="P36">
        <f>HYPERLINK("https://knru.ru/catalog/ul-salova-d-61-966007628/","ссылка")</f>
        <v/>
      </c>
      <c r="Q36">
        <f>HYPERLINK("https://app.worldcafe.ru/object/12710","ссылка")</f>
        <v/>
      </c>
      <c r="R36" t="inlineStr">
        <is>
          <t>По адресу есть, но площадь другая</t>
        </is>
      </c>
      <c r="S36" t="n">
        <v>2</v>
      </c>
      <c r="T3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6" t="n">
        <v>724</v>
      </c>
      <c r="V36" t="n">
        <v>31</v>
      </c>
      <c r="W36" t="n">
        <v>4</v>
      </c>
      <c r="X36" t="n">
        <v>25792000</v>
      </c>
      <c r="Y36" t="n">
        <v>95000000</v>
      </c>
      <c r="Z36" t="n">
        <v>69208000</v>
      </c>
      <c r="AA36" t="inlineStr">
        <is>
          <t>https://knru.ru/catalog/ul-salova-d-61-966007628/</t>
        </is>
      </c>
    </row>
    <row r="37">
      <c r="A37" t="n">
        <v>384</v>
      </c>
      <c r="B37" t="n">
        <v>16</v>
      </c>
      <c r="C37" t="n">
        <v>24</v>
      </c>
      <c r="D37" t="n">
        <v>404345395</v>
      </c>
      <c r="E37" t="inlineStr">
        <is>
          <t>Фрунзенский</t>
        </is>
      </c>
      <c r="F37" t="inlineStr">
        <is>
          <t>Салова ул., д. 61/1</t>
        </is>
      </c>
      <c r="G37" t="n">
        <v>138.7</v>
      </c>
      <c r="H37" t="inlineStr">
        <is>
          <t>36 062 000</t>
        </is>
      </c>
      <c r="I37" t="inlineStr">
        <is>
          <t>95 000 000</t>
        </is>
      </c>
      <c r="J37" t="inlineStr">
        <is>
          <t>У нас дороже на 58 938 000 (163.4%)</t>
        </is>
      </c>
      <c r="K37" t="inlineStr">
        <is>
          <t>58 938 000</t>
        </is>
      </c>
      <c r="L37" t="inlineStr">
        <is>
          <t>163.4%</t>
        </is>
      </c>
      <c r="M37" t="inlineStr">
        <is>
          <t>sale_only</t>
        </is>
      </c>
      <c r="N37" t="inlineStr">
        <is>
          <t>no</t>
        </is>
      </c>
      <c r="O37" t="inlineStr">
        <is>
          <t>none</t>
        </is>
      </c>
      <c r="P37">
        <f>HYPERLINK("https://knru.ru/catalog/salova-ul-d-61-1-404345395/","ссылка")</f>
        <v/>
      </c>
      <c r="Q37">
        <f>HYPERLINK("https://app.worldcafe.ru/object/12710","ссылка")</f>
        <v/>
      </c>
      <c r="R37" t="inlineStr">
        <is>
          <t>По адресу есть, но площадь другая</t>
        </is>
      </c>
      <c r="S37" t="n">
        <v>2</v>
      </c>
      <c r="T3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7" t="n">
        <v>384</v>
      </c>
      <c r="V37" t="n">
        <v>16</v>
      </c>
      <c r="W37" t="n">
        <v>24</v>
      </c>
      <c r="X37" t="n">
        <v>36062000</v>
      </c>
      <c r="Y37" t="n">
        <v>95000000</v>
      </c>
      <c r="Z37" t="n">
        <v>58938000</v>
      </c>
      <c r="AA37" t="inlineStr">
        <is>
          <t>https://knru.ru/catalog/salova-ul-d-61-1-404345395/</t>
        </is>
      </c>
    </row>
    <row r="38">
      <c r="A38" t="n">
        <v>848</v>
      </c>
      <c r="B38" t="n">
        <v>36</v>
      </c>
      <c r="C38" t="n">
        <v>8</v>
      </c>
      <c r="D38" t="n">
        <v>1506198333</v>
      </c>
      <c r="E38" t="inlineStr">
        <is>
          <t>Московский</t>
        </is>
      </c>
      <c r="F38" t="inlineStr">
        <is>
          <t>Пулковское ш, 95к3</t>
        </is>
      </c>
      <c r="G38" t="n">
        <v>24.3</v>
      </c>
      <c r="H38" t="inlineStr">
        <is>
          <t>8 543 340</t>
        </is>
      </c>
      <c r="I38" t="inlineStr">
        <is>
          <t>60 000 000</t>
        </is>
      </c>
      <c r="J38" t="inlineStr">
        <is>
          <t>У нас дороже на 51 456 660 (602.3%)</t>
        </is>
      </c>
      <c r="K38" t="inlineStr">
        <is>
          <t>51 456 660</t>
        </is>
      </c>
      <c r="L38" t="inlineStr">
        <is>
          <t>602.3%</t>
        </is>
      </c>
      <c r="M38" t="inlineStr">
        <is>
          <t>sale_only</t>
        </is>
      </c>
      <c r="N38" t="inlineStr">
        <is>
          <t>no</t>
        </is>
      </c>
      <c r="O38" t="inlineStr">
        <is>
          <t>none</t>
        </is>
      </c>
      <c r="P38">
        <f>HYPERLINK("https://knru.ru/catalog/pulkovskoe-shosse-d-95-k-5-1506198333/","ссылка")</f>
        <v/>
      </c>
      <c r="Q38">
        <f>HYPERLINK("https://app.worldcafe.ru/object/20099","ссылка")</f>
        <v/>
      </c>
      <c r="R38" t="inlineStr">
        <is>
          <t>По адресу есть, но площадь другая</t>
        </is>
      </c>
      <c r="S38" t="n">
        <v>1</v>
      </c>
      <c r="T38" t="inlineStr">
        <is>
          <t>На сайте sale 128 м² 60 000 000 =HYPERLINK("https://app.worldcafe.ru/object/20099","ссылка")</t>
        </is>
      </c>
      <c r="U38" t="n">
        <v>848</v>
      </c>
      <c r="V38" t="n">
        <v>36</v>
      </c>
      <c r="W38" t="n">
        <v>8</v>
      </c>
      <c r="X38" t="n">
        <v>8543340</v>
      </c>
      <c r="Y38" t="n">
        <v>60000000</v>
      </c>
      <c r="Z38" t="n">
        <v>51456660</v>
      </c>
      <c r="AA38" t="inlineStr">
        <is>
          <t>https://knru.ru/catalog/pulkovskoe-shosse-d-95-k-5-1506198333/</t>
        </is>
      </c>
    </row>
    <row r="39">
      <c r="A39" t="n">
        <v>846</v>
      </c>
      <c r="B39" t="n">
        <v>36</v>
      </c>
      <c r="C39" t="n">
        <v>6</v>
      </c>
      <c r="D39" t="n">
        <v>219667858</v>
      </c>
      <c r="E39" t="inlineStr">
        <is>
          <t>Московский</t>
        </is>
      </c>
      <c r="F39" t="inlineStr">
        <is>
          <t>Пулковское ш, 95к3</t>
        </is>
      </c>
      <c r="G39" t="n">
        <v>24.7</v>
      </c>
      <c r="H39" t="inlineStr">
        <is>
          <t>8 683 740</t>
        </is>
      </c>
      <c r="I39" t="inlineStr">
        <is>
          <t>60 000 000</t>
        </is>
      </c>
      <c r="J39" t="inlineStr">
        <is>
          <t>У нас дороже на 51 316 260 (590.9%)</t>
        </is>
      </c>
      <c r="K39" t="inlineStr">
        <is>
          <t>51 316 260</t>
        </is>
      </c>
      <c r="L39" t="inlineStr">
        <is>
          <t>590.9%</t>
        </is>
      </c>
      <c r="M39" t="inlineStr">
        <is>
          <t>sale_only</t>
        </is>
      </c>
      <c r="N39" t="inlineStr">
        <is>
          <t>no</t>
        </is>
      </c>
      <c r="O39" t="inlineStr">
        <is>
          <t>none</t>
        </is>
      </c>
      <c r="P39">
        <f>HYPERLINK("https://knru.ru/catalog/pulkovskoe-shosse-d-95-k-5-219667858/","ссылка")</f>
        <v/>
      </c>
      <c r="Q39">
        <f>HYPERLINK("https://app.worldcafe.ru/object/20099","ссылка")</f>
        <v/>
      </c>
      <c r="R39" t="inlineStr">
        <is>
          <t>По адресу есть, но площадь другая</t>
        </is>
      </c>
      <c r="S39" t="n">
        <v>1</v>
      </c>
      <c r="T39" t="inlineStr">
        <is>
          <t>На сайте sale 128 м² 60 000 000 =HYPERLINK("https://app.worldcafe.ru/object/20099","ссылка")</t>
        </is>
      </c>
      <c r="U39" t="n">
        <v>846</v>
      </c>
      <c r="V39" t="n">
        <v>36</v>
      </c>
      <c r="W39" t="n">
        <v>6</v>
      </c>
      <c r="X39" t="n">
        <v>8683740</v>
      </c>
      <c r="Y39" t="n">
        <v>60000000</v>
      </c>
      <c r="Z39" t="n">
        <v>51316260</v>
      </c>
      <c r="AA39" t="inlineStr">
        <is>
          <t>https://knru.ru/catalog/pulkovskoe-shosse-d-95-k-5-219667858/</t>
        </is>
      </c>
    </row>
    <row r="40">
      <c r="A40" t="n">
        <v>843</v>
      </c>
      <c r="B40" t="n">
        <v>36</v>
      </c>
      <c r="C40" t="n">
        <v>3</v>
      </c>
      <c r="D40" t="n">
        <v>160745438</v>
      </c>
      <c r="E40" t="inlineStr">
        <is>
          <t>Московский</t>
        </is>
      </c>
      <c r="F40" t="inlineStr">
        <is>
          <t>Пулковское ш, 95к3</t>
        </is>
      </c>
      <c r="G40" t="n">
        <v>27.3</v>
      </c>
      <c r="H40" t="inlineStr">
        <is>
          <t>9 077 250</t>
        </is>
      </c>
      <c r="I40" t="inlineStr">
        <is>
          <t>60 000 000</t>
        </is>
      </c>
      <c r="J40" t="inlineStr">
        <is>
          <t>У нас дороже на 50 922 750 (561.0%)</t>
        </is>
      </c>
      <c r="K40" t="inlineStr">
        <is>
          <t>50 922 750</t>
        </is>
      </c>
      <c r="L40" t="inlineStr">
        <is>
          <t>561.0%</t>
        </is>
      </c>
      <c r="M40" t="inlineStr">
        <is>
          <t>sale_only</t>
        </is>
      </c>
      <c r="N40" t="inlineStr">
        <is>
          <t>no</t>
        </is>
      </c>
      <c r="O40" t="inlineStr">
        <is>
          <t>none</t>
        </is>
      </c>
      <c r="P40">
        <f>HYPERLINK("https://knru.ru/catalog/pulkovskoe-shosse-d-95-k-5-160745438/","ссылка")</f>
        <v/>
      </c>
      <c r="Q40">
        <f>HYPERLINK("https://app.worldcafe.ru/object/20099","ссылка")</f>
        <v/>
      </c>
      <c r="R40" t="inlineStr">
        <is>
          <t>По адресу есть, но площадь другая</t>
        </is>
      </c>
      <c r="S40" t="n">
        <v>1</v>
      </c>
      <c r="T40" t="inlineStr">
        <is>
          <t>На сайте sale 128 м² 60 000 000 =HYPERLINK("https://app.worldcafe.ru/object/20099","ссылка")</t>
        </is>
      </c>
      <c r="U40" t="n">
        <v>843</v>
      </c>
      <c r="V40" t="n">
        <v>36</v>
      </c>
      <c r="W40" t="n">
        <v>3</v>
      </c>
      <c r="X40" t="n">
        <v>9077250</v>
      </c>
      <c r="Y40" t="n">
        <v>60000000</v>
      </c>
      <c r="Z40" t="n">
        <v>50922750</v>
      </c>
      <c r="AA40" t="inlineStr">
        <is>
          <t>https://knru.ru/catalog/pulkovskoe-shosse-d-95-k-5-160745438/</t>
        </is>
      </c>
    </row>
    <row r="41">
      <c r="A41" t="n">
        <v>849</v>
      </c>
      <c r="B41" t="n">
        <v>36</v>
      </c>
      <c r="C41" t="n">
        <v>9</v>
      </c>
      <c r="D41" t="n">
        <v>1300575585</v>
      </c>
      <c r="E41" t="inlineStr">
        <is>
          <t>Московский</t>
        </is>
      </c>
      <c r="F41" t="inlineStr">
        <is>
          <t>Пулковское ш, 95к3</t>
        </is>
      </c>
      <c r="G41" t="n">
        <v>37.3</v>
      </c>
      <c r="H41" t="inlineStr">
        <is>
          <t>9 213 100</t>
        </is>
      </c>
      <c r="I41" t="inlineStr">
        <is>
          <t>60 000 000</t>
        </is>
      </c>
      <c r="J41" t="inlineStr">
        <is>
          <t>У нас дороже на 50 786 900 (551.2%)</t>
        </is>
      </c>
      <c r="K41" t="inlineStr">
        <is>
          <t>50 786 900</t>
        </is>
      </c>
      <c r="L41" t="inlineStr">
        <is>
          <t>551.2%</t>
        </is>
      </c>
      <c r="M41" t="inlineStr">
        <is>
          <t>sale_only</t>
        </is>
      </c>
      <c r="N41" t="inlineStr">
        <is>
          <t>no</t>
        </is>
      </c>
      <c r="O41" t="inlineStr">
        <is>
          <t>none</t>
        </is>
      </c>
      <c r="P41">
        <f>HYPERLINK("https://knru.ru/catalog/pulkovskoe-shosse-d-95-k-5-1300575585/","ссылка")</f>
        <v/>
      </c>
      <c r="Q41">
        <f>HYPERLINK("https://app.worldcafe.ru/object/20099","ссылка")</f>
        <v/>
      </c>
      <c r="R41" t="inlineStr">
        <is>
          <t>По адресу есть, но площадь другая</t>
        </is>
      </c>
      <c r="S41" t="n">
        <v>1</v>
      </c>
      <c r="T41" t="inlineStr">
        <is>
          <t>На сайте sale 128 м² 60 000 000 =HYPERLINK("https://app.worldcafe.ru/object/20099","ссылка")</t>
        </is>
      </c>
      <c r="U41" t="n">
        <v>849</v>
      </c>
      <c r="V41" t="n">
        <v>36</v>
      </c>
      <c r="W41" t="n">
        <v>9</v>
      </c>
      <c r="X41" t="n">
        <v>9213100</v>
      </c>
      <c r="Y41" t="n">
        <v>60000000</v>
      </c>
      <c r="Z41" t="n">
        <v>50786900</v>
      </c>
      <c r="AA41" t="inlineStr">
        <is>
          <t>https://knru.ru/catalog/pulkovskoe-shosse-d-95-k-5-1300575585/</t>
        </is>
      </c>
    </row>
    <row r="42">
      <c r="A42" t="n">
        <v>842</v>
      </c>
      <c r="B42" t="n">
        <v>36</v>
      </c>
      <c r="C42" t="n">
        <v>2</v>
      </c>
      <c r="D42" t="n">
        <v>1851157104</v>
      </c>
      <c r="E42" t="inlineStr">
        <is>
          <t>Московский</t>
        </is>
      </c>
      <c r="F42" t="inlineStr">
        <is>
          <t>Пулковское ш, 95к3</t>
        </is>
      </c>
      <c r="G42" t="n">
        <v>37.1</v>
      </c>
      <c r="H42" t="inlineStr">
        <is>
          <t>9 516 150</t>
        </is>
      </c>
      <c r="I42" t="inlineStr">
        <is>
          <t>60 000 000</t>
        </is>
      </c>
      <c r="J42" t="inlineStr">
        <is>
          <t>У нас дороже на 50 483 850 (530.5%)</t>
        </is>
      </c>
      <c r="K42" t="inlineStr">
        <is>
          <t>50 483 850</t>
        </is>
      </c>
      <c r="L42" t="inlineStr">
        <is>
          <t>530.5%</t>
        </is>
      </c>
      <c r="M42" t="inlineStr">
        <is>
          <t>sale_only</t>
        </is>
      </c>
      <c r="N42" t="inlineStr">
        <is>
          <t>no</t>
        </is>
      </c>
      <c r="O42" t="inlineStr">
        <is>
          <t>none</t>
        </is>
      </c>
      <c r="P42">
        <f>HYPERLINK("https://knru.ru/catalog/pulkovskoe-shosse-d-95-k-5-1851157104/","ссылка")</f>
        <v/>
      </c>
      <c r="Q42">
        <f>HYPERLINK("https://app.worldcafe.ru/object/20099","ссылка")</f>
        <v/>
      </c>
      <c r="R42" t="inlineStr">
        <is>
          <t>По адресу есть, но площадь другая</t>
        </is>
      </c>
      <c r="S42" t="n">
        <v>1</v>
      </c>
      <c r="T42" t="inlineStr">
        <is>
          <t>На сайте sale 128 м² 60 000 000 =HYPERLINK("https://app.worldcafe.ru/object/20099","ссылка")</t>
        </is>
      </c>
      <c r="U42" t="n">
        <v>842</v>
      </c>
      <c r="V42" t="n">
        <v>36</v>
      </c>
      <c r="W42" t="n">
        <v>2</v>
      </c>
      <c r="X42" t="n">
        <v>9516150</v>
      </c>
      <c r="Y42" t="n">
        <v>60000000</v>
      </c>
      <c r="Z42" t="n">
        <v>50483850</v>
      </c>
      <c r="AA42" t="inlineStr">
        <is>
          <t>https://knru.ru/catalog/pulkovskoe-shosse-d-95-k-5-1851157104/</t>
        </is>
      </c>
    </row>
    <row r="43">
      <c r="A43" t="n">
        <v>845</v>
      </c>
      <c r="B43" t="n">
        <v>36</v>
      </c>
      <c r="C43" t="n">
        <v>5</v>
      </c>
      <c r="D43" t="n">
        <v>374705120</v>
      </c>
      <c r="E43" t="inlineStr">
        <is>
          <t>Московский</t>
        </is>
      </c>
      <c r="F43" t="inlineStr">
        <is>
          <t>Пулковское ш, 95к3</t>
        </is>
      </c>
      <c r="G43" t="n">
        <v>37.5</v>
      </c>
      <c r="H43" t="inlineStr">
        <is>
          <t>9 975 000</t>
        </is>
      </c>
      <c r="I43" t="inlineStr">
        <is>
          <t>60 000 000</t>
        </is>
      </c>
      <c r="J43" t="inlineStr">
        <is>
          <t>У нас дороже на 50 025 000 (501.5%)</t>
        </is>
      </c>
      <c r="K43" t="inlineStr">
        <is>
          <t>50 025 000</t>
        </is>
      </c>
      <c r="L43" t="inlineStr">
        <is>
          <t>501.5%</t>
        </is>
      </c>
      <c r="M43" t="inlineStr">
        <is>
          <t>sale_only</t>
        </is>
      </c>
      <c r="N43" t="inlineStr">
        <is>
          <t>no</t>
        </is>
      </c>
      <c r="O43" t="inlineStr">
        <is>
          <t>none</t>
        </is>
      </c>
      <c r="P43">
        <f>HYPERLINK("https://knru.ru/catalog/pulkovskoe-shosse-d-95-k-5-374705120/","ссылка")</f>
        <v/>
      </c>
      <c r="Q43">
        <f>HYPERLINK("https://app.worldcafe.ru/object/20099","ссылка")</f>
        <v/>
      </c>
      <c r="R43" t="inlineStr">
        <is>
          <t>По адресу есть, но площадь другая</t>
        </is>
      </c>
      <c r="S43" t="n">
        <v>1</v>
      </c>
      <c r="T43" t="inlineStr">
        <is>
          <t>На сайте sale 128 м² 60 000 000 =HYPERLINK("https://app.worldcafe.ru/object/20099","ссылка")</t>
        </is>
      </c>
      <c r="U43" t="n">
        <v>845</v>
      </c>
      <c r="V43" t="n">
        <v>36</v>
      </c>
      <c r="W43" t="n">
        <v>5</v>
      </c>
      <c r="X43" t="n">
        <v>9975000</v>
      </c>
      <c r="Y43" t="n">
        <v>60000000</v>
      </c>
      <c r="Z43" t="n">
        <v>50025000</v>
      </c>
      <c r="AA43" t="inlineStr">
        <is>
          <t>https://knru.ru/catalog/pulkovskoe-shosse-d-95-k-5-374705120/</t>
        </is>
      </c>
    </row>
    <row r="44">
      <c r="A44" t="n">
        <v>1310</v>
      </c>
      <c r="B44" t="n">
        <v>55</v>
      </c>
      <c r="C44" t="n">
        <v>14</v>
      </c>
      <c r="D44" t="n">
        <v>11</v>
      </c>
      <c r="E44" t="inlineStr">
        <is>
          <t>Центральный</t>
        </is>
      </c>
      <c r="F44" t="inlineStr">
        <is>
          <t>Невский пр-кт, 11/2</t>
        </is>
      </c>
      <c r="G44" t="n">
        <v>937</v>
      </c>
      <c r="H44" t="inlineStr">
        <is>
          <t>1 200 000 000</t>
        </is>
      </c>
      <c r="I44" t="inlineStr">
        <is>
          <t>1 250 000 000</t>
        </is>
      </c>
      <c r="J44" t="inlineStr">
        <is>
          <t>У нас дороже на 50 000 000 (4.2%)</t>
        </is>
      </c>
      <c r="K44" t="inlineStr">
        <is>
          <t>50 000 000</t>
        </is>
      </c>
      <c r="L44" t="inlineStr">
        <is>
          <t>4.2%</t>
        </is>
      </c>
      <c r="M44" t="inlineStr">
        <is>
          <t>sale_only</t>
        </is>
      </c>
      <c r="N44" t="inlineStr">
        <is>
          <t>no</t>
        </is>
      </c>
      <c r="O44" t="inlineStr">
        <is>
          <t>none</t>
        </is>
      </c>
      <c r="P44">
        <f>HYPERLINK("https://knru.ru/catalog/nevskij-d-11/","ссылка")</f>
        <v/>
      </c>
      <c r="Q44">
        <f>HYPERLINK("https://app.worldcafe.ru/object/19779","ссылка")</f>
        <v/>
      </c>
      <c r="R44" t="inlineStr">
        <is>
          <t>Совпало</t>
        </is>
      </c>
      <c r="S44" t="n">
        <v>2</v>
      </c>
      <c r="T44" t="inlineStr">
        <is>
          <t>Без сделки no_deal 937.7 м² =HYPERLINK("https://app.worldcafe.ru/object/18489","ссылка") | На сайте sale 938 м² 1 250 000 000 =HYPERLINK("https://app.worldcafe.ru/object/19779","ссылка")</t>
        </is>
      </c>
      <c r="U44" t="n">
        <v>1310</v>
      </c>
      <c r="V44" t="n">
        <v>55</v>
      </c>
      <c r="W44" t="n">
        <v>14</v>
      </c>
      <c r="X44" t="n">
        <v>1200000000</v>
      </c>
      <c r="Y44" t="n">
        <v>1250000000</v>
      </c>
      <c r="Z44" t="n">
        <v>50000000</v>
      </c>
      <c r="AA44" t="inlineStr">
        <is>
          <t>https://knru.ru/catalog/nevskij-d-11/</t>
        </is>
      </c>
    </row>
    <row r="45">
      <c r="A45" t="n">
        <v>1313</v>
      </c>
      <c r="B45" t="n">
        <v>55</v>
      </c>
      <c r="C45" t="n">
        <v>17</v>
      </c>
      <c r="D45" t="n">
        <v>47</v>
      </c>
      <c r="E45" t="inlineStr">
        <is>
          <t>Центральный</t>
        </is>
      </c>
      <c r="F45" t="inlineStr">
        <is>
          <t>Невский пр-кт, 47</t>
        </is>
      </c>
      <c r="G45" t="n">
        <v>802</v>
      </c>
      <c r="H45" t="inlineStr">
        <is>
          <t>802 000 000</t>
        </is>
      </c>
      <c r="I45" t="inlineStr">
        <is>
          <t>850 000 000</t>
        </is>
      </c>
      <c r="J45" t="inlineStr">
        <is>
          <t>У нас дороже на 48 000 000 (6.0%)</t>
        </is>
      </c>
      <c r="K45" t="inlineStr">
        <is>
          <t>48 000 000</t>
        </is>
      </c>
      <c r="L45" t="inlineStr">
        <is>
          <t>6.0%</t>
        </is>
      </c>
      <c r="M45" t="inlineStr">
        <is>
          <t>sale_only</t>
        </is>
      </c>
      <c r="N45" t="inlineStr">
        <is>
          <t>no</t>
        </is>
      </c>
      <c r="O45" t="inlineStr">
        <is>
          <t>none</t>
        </is>
      </c>
      <c r="P45">
        <f>HYPERLINK("https://knru.ru/catalog/nevskij-pr-d-47/","ссылка")</f>
        <v/>
      </c>
      <c r="Q45">
        <f>HYPERLINK("https://app.worldcafe.ru/object/10353","ссылка")</f>
        <v/>
      </c>
      <c r="R45" t="inlineStr">
        <is>
          <t>Совпало</t>
        </is>
      </c>
      <c r="S45" t="n">
        <v>1</v>
      </c>
      <c r="T45" t="inlineStr">
        <is>
          <t>На сайте sale 803 м² 850 000 000 =HYPERLINK("https://app.worldcafe.ru/object/10353","ссылка")</t>
        </is>
      </c>
      <c r="U45" t="n">
        <v>1313</v>
      </c>
      <c r="V45" t="n">
        <v>55</v>
      </c>
      <c r="W45" t="n">
        <v>17</v>
      </c>
      <c r="X45" t="n">
        <v>802000000</v>
      </c>
      <c r="Y45" t="n">
        <v>850000000</v>
      </c>
      <c r="Z45" t="n">
        <v>48000000</v>
      </c>
      <c r="AA45" t="inlineStr">
        <is>
          <t>https://knru.ru/catalog/nevskij-pr-d-47/</t>
        </is>
      </c>
    </row>
    <row r="46">
      <c r="A46" t="n">
        <v>357</v>
      </c>
      <c r="B46" t="n">
        <v>15</v>
      </c>
      <c r="C46" t="n">
        <v>21</v>
      </c>
      <c r="D46" t="n">
        <v>1</v>
      </c>
      <c r="E46" t="inlineStr">
        <is>
          <t>Выборгский</t>
        </is>
      </c>
      <c r="F46" t="inlineStr">
        <is>
          <t>Руднева ул., д. 16/1</t>
        </is>
      </c>
      <c r="G46" t="n">
        <v>147.3</v>
      </c>
      <c r="H46" t="inlineStr">
        <is>
          <t>30 348 266</t>
        </is>
      </c>
      <c r="I46" t="inlineStr">
        <is>
          <t>76 000 000</t>
        </is>
      </c>
      <c r="J46" t="inlineStr">
        <is>
          <t>У нас дороже на 45 651 734 (150.4%)</t>
        </is>
      </c>
      <c r="K46" t="inlineStr">
        <is>
          <t>45 651 734</t>
        </is>
      </c>
      <c r="L46" t="inlineStr">
        <is>
          <t>150.4%</t>
        </is>
      </c>
      <c r="M46" t="inlineStr">
        <is>
          <t>sale_only</t>
        </is>
      </c>
      <c r="N46" t="inlineStr">
        <is>
          <t>no</t>
        </is>
      </c>
      <c r="O46" t="inlineStr">
        <is>
          <t>none</t>
        </is>
      </c>
      <c r="P46">
        <f>HYPERLINK("https://knru.ru/catalog/rudneva-ul-d-16-1/","ссылка")</f>
        <v/>
      </c>
      <c r="Q46">
        <f>HYPERLINK("https://app.worldcafe.ru/object/19466","ссылка")</f>
        <v/>
      </c>
      <c r="R46" t="inlineStr">
        <is>
          <t>По адресу есть, но площадь другая</t>
        </is>
      </c>
      <c r="S46" t="n">
        <v>1</v>
      </c>
      <c r="T46" t="inlineStr">
        <is>
          <t>Архив sale 280 м² 76 000 000 =HYPERLINK("https://app.worldcafe.ru/object/19466","ссылка")</t>
        </is>
      </c>
      <c r="U46" t="n">
        <v>357</v>
      </c>
      <c r="V46" t="n">
        <v>15</v>
      </c>
      <c r="W46" t="n">
        <v>21</v>
      </c>
      <c r="X46" t="n">
        <v>30348266</v>
      </c>
      <c r="Y46" t="n">
        <v>76000000</v>
      </c>
      <c r="Z46" t="n">
        <v>45651734</v>
      </c>
      <c r="AA46" t="inlineStr">
        <is>
          <t>https://knru.ru/catalog/rudneva-ul-d-16-1/</t>
        </is>
      </c>
    </row>
    <row r="47">
      <c r="A47" t="n">
        <v>850</v>
      </c>
      <c r="B47" t="n">
        <v>36</v>
      </c>
      <c r="C47" t="n">
        <v>10</v>
      </c>
      <c r="D47" t="n">
        <v>5</v>
      </c>
      <c r="E47" t="inlineStr">
        <is>
          <t>Московский</t>
        </is>
      </c>
      <c r="F47" t="inlineStr">
        <is>
          <t>Пулковское ш, 95к3</t>
        </is>
      </c>
      <c r="G47" t="n">
        <v>63.5</v>
      </c>
      <c r="H47" t="inlineStr">
        <is>
          <t>17 155 800</t>
        </is>
      </c>
      <c r="I47" t="inlineStr">
        <is>
          <t>60 000 000</t>
        </is>
      </c>
      <c r="J47" t="inlineStr">
        <is>
          <t>У нас дороже на 42 844 200 (249.7%)</t>
        </is>
      </c>
      <c r="K47" t="inlineStr">
        <is>
          <t>42 844 200</t>
        </is>
      </c>
      <c r="L47" t="inlineStr">
        <is>
          <t>249.7%</t>
        </is>
      </c>
      <c r="M47" t="inlineStr">
        <is>
          <t>sale_only</t>
        </is>
      </c>
      <c r="N47" t="inlineStr">
        <is>
          <t>no</t>
        </is>
      </c>
      <c r="O47" t="inlineStr">
        <is>
          <t>none</t>
        </is>
      </c>
      <c r="P47">
        <f>HYPERLINK("https://knru.ru/catalog/pulkovskoe-shosse-d-95-k-5/","ссылка")</f>
        <v/>
      </c>
      <c r="Q47">
        <f>HYPERLINK("https://app.worldcafe.ru/object/20099","ссылка")</f>
        <v/>
      </c>
      <c r="R47" t="inlineStr">
        <is>
          <t>По адресу есть, но площадь другая</t>
        </is>
      </c>
      <c r="S47" t="n">
        <v>1</v>
      </c>
      <c r="T47" t="inlineStr">
        <is>
          <t>На сайте sale 128 м² 60 000 000 =HYPERLINK("https://app.worldcafe.ru/object/20099","ссылка")</t>
        </is>
      </c>
      <c r="U47" t="n">
        <v>850</v>
      </c>
      <c r="V47" t="n">
        <v>36</v>
      </c>
      <c r="W47" t="n">
        <v>10</v>
      </c>
      <c r="X47" t="n">
        <v>17155800</v>
      </c>
      <c r="Y47" t="n">
        <v>60000000</v>
      </c>
      <c r="Z47" t="n">
        <v>42844200</v>
      </c>
      <c r="AA47" t="inlineStr">
        <is>
          <t>https://knru.ru/catalog/pulkovskoe-shosse-d-95-k-5/</t>
        </is>
      </c>
    </row>
    <row r="48">
      <c r="A48" t="n">
        <v>380</v>
      </c>
      <c r="B48" t="n">
        <v>16</v>
      </c>
      <c r="C48" t="n">
        <v>20</v>
      </c>
      <c r="D48" t="n">
        <v>1789231031</v>
      </c>
      <c r="E48" t="inlineStr">
        <is>
          <t>Фрунзенский</t>
        </is>
      </c>
      <c r="F48" t="inlineStr">
        <is>
          <t>Салова ул., д. 61/1</t>
        </is>
      </c>
      <c r="G48" t="n">
        <v>204.9</v>
      </c>
      <c r="H48" t="inlineStr">
        <is>
          <t>53 274 000</t>
        </is>
      </c>
      <c r="I48" t="inlineStr">
        <is>
          <t>95 000 000</t>
        </is>
      </c>
      <c r="J48" t="inlineStr">
        <is>
          <t>У нас дороже на 41 726 000 (78.3%)</t>
        </is>
      </c>
      <c r="K48" t="inlineStr">
        <is>
          <t>41 726 000</t>
        </is>
      </c>
      <c r="L48" t="inlineStr">
        <is>
          <t>78.3%</t>
        </is>
      </c>
      <c r="M48" t="inlineStr">
        <is>
          <t>sale_only</t>
        </is>
      </c>
      <c r="N48" t="inlineStr">
        <is>
          <t>no</t>
        </is>
      </c>
      <c r="O48" t="inlineStr">
        <is>
          <t>none</t>
        </is>
      </c>
      <c r="P48">
        <f>HYPERLINK("https://knru.ru/catalog/salova-ul-d-61-1-1789231031/","ссылка")</f>
        <v/>
      </c>
      <c r="Q48">
        <f>HYPERLINK("https://app.worldcafe.ru/object/12710","ссылка")</f>
        <v/>
      </c>
      <c r="R48" t="inlineStr">
        <is>
          <t>По адресу есть, но площадь другая</t>
        </is>
      </c>
      <c r="S48" t="n">
        <v>2</v>
      </c>
      <c r="T4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48" t="n">
        <v>380</v>
      </c>
      <c r="V48" t="n">
        <v>16</v>
      </c>
      <c r="W48" t="n">
        <v>20</v>
      </c>
      <c r="X48" t="n">
        <v>53274000</v>
      </c>
      <c r="Y48" t="n">
        <v>95000000</v>
      </c>
      <c r="Z48" t="n">
        <v>41726000</v>
      </c>
      <c r="AA48" t="inlineStr">
        <is>
          <t>https://knru.ru/catalog/salova-ul-d-61-1-1789231031/</t>
        </is>
      </c>
    </row>
    <row r="49">
      <c r="A49" t="n">
        <v>847</v>
      </c>
      <c r="B49" t="n">
        <v>36</v>
      </c>
      <c r="C49" t="n">
        <v>7</v>
      </c>
      <c r="D49" t="n">
        <v>481286408</v>
      </c>
      <c r="E49" t="inlineStr">
        <is>
          <t>Московский</t>
        </is>
      </c>
      <c r="F49" t="inlineStr">
        <is>
          <t>Пулковское ш, 95к3</t>
        </is>
      </c>
      <c r="G49" t="n">
        <v>58</v>
      </c>
      <c r="H49" t="inlineStr">
        <is>
          <t>18 276 300</t>
        </is>
      </c>
      <c r="I49" t="inlineStr">
        <is>
          <t>60 000 000</t>
        </is>
      </c>
      <c r="J49" t="inlineStr">
        <is>
          <t>У нас дороже на 41 723 700 (228.3%)</t>
        </is>
      </c>
      <c r="K49" t="inlineStr">
        <is>
          <t>41 723 700</t>
        </is>
      </c>
      <c r="L49" t="inlineStr">
        <is>
          <t>228.3%</t>
        </is>
      </c>
      <c r="M49" t="inlineStr">
        <is>
          <t>sale_only</t>
        </is>
      </c>
      <c r="N49" t="inlineStr">
        <is>
          <t>no</t>
        </is>
      </c>
      <c r="O49" t="inlineStr">
        <is>
          <t>none</t>
        </is>
      </c>
      <c r="P49">
        <f>HYPERLINK("https://knru.ru/catalog/pulkovskoe-shosse-d-95-k-5-481286408/","ссылка")</f>
        <v/>
      </c>
      <c r="Q49">
        <f>HYPERLINK("https://app.worldcafe.ru/object/20099","ссылка")</f>
        <v/>
      </c>
      <c r="R49" t="inlineStr">
        <is>
          <t>По адресу есть, но площадь другая</t>
        </is>
      </c>
      <c r="S49" t="n">
        <v>1</v>
      </c>
      <c r="T49" t="inlineStr">
        <is>
          <t>На сайте sale 128 м² 60 000 000 =HYPERLINK("https://app.worldcafe.ru/object/20099","ссылка")</t>
        </is>
      </c>
      <c r="U49" t="n">
        <v>847</v>
      </c>
      <c r="V49" t="n">
        <v>36</v>
      </c>
      <c r="W49" t="n">
        <v>7</v>
      </c>
      <c r="X49" t="n">
        <v>18276300</v>
      </c>
      <c r="Y49" t="n">
        <v>60000000</v>
      </c>
      <c r="Z49" t="n">
        <v>41723700</v>
      </c>
      <c r="AA49" t="inlineStr">
        <is>
          <t>https://knru.ru/catalog/pulkovskoe-shosse-d-95-k-5-481286408/</t>
        </is>
      </c>
    </row>
    <row r="50">
      <c r="A50" t="n">
        <v>383</v>
      </c>
      <c r="B50" t="n">
        <v>16</v>
      </c>
      <c r="C50" t="n">
        <v>23</v>
      </c>
      <c r="D50" t="n">
        <v>1372991773</v>
      </c>
      <c r="E50" t="inlineStr">
        <is>
          <t>Фрунзенский</t>
        </is>
      </c>
      <c r="F50" t="inlineStr">
        <is>
          <t>Салова ул., д. 61/1</t>
        </is>
      </c>
      <c r="G50" t="n">
        <v>201.1</v>
      </c>
      <c r="H50" t="inlineStr">
        <is>
          <t>54 297 000</t>
        </is>
      </c>
      <c r="I50" t="inlineStr">
        <is>
          <t>95 000 000</t>
        </is>
      </c>
      <c r="J50" t="inlineStr">
        <is>
          <t>У нас дороже на 40 703 000 (75.0%)</t>
        </is>
      </c>
      <c r="K50" t="inlineStr">
        <is>
          <t>40 703 000</t>
        </is>
      </c>
      <c r="L50" t="inlineStr">
        <is>
          <t>75.0%</t>
        </is>
      </c>
      <c r="M50" t="inlineStr">
        <is>
          <t>sale_only</t>
        </is>
      </c>
      <c r="N50" t="inlineStr">
        <is>
          <t>no</t>
        </is>
      </c>
      <c r="O50" t="inlineStr">
        <is>
          <t>none</t>
        </is>
      </c>
      <c r="P50">
        <f>HYPERLINK("https://knru.ru/catalog/salova-ul-d-61-1-1372991773/","ссылка")</f>
        <v/>
      </c>
      <c r="Q50">
        <f>HYPERLINK("https://app.worldcafe.ru/object/12710","ссылка")</f>
        <v/>
      </c>
      <c r="R50" t="inlineStr">
        <is>
          <t>По адресу есть, но площадь другая</t>
        </is>
      </c>
      <c r="S50" t="n">
        <v>2</v>
      </c>
      <c r="T5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0" t="n">
        <v>383</v>
      </c>
      <c r="V50" t="n">
        <v>16</v>
      </c>
      <c r="W50" t="n">
        <v>23</v>
      </c>
      <c r="X50" t="n">
        <v>54297000</v>
      </c>
      <c r="Y50" t="n">
        <v>95000000</v>
      </c>
      <c r="Z50" t="n">
        <v>40703000</v>
      </c>
      <c r="AA50" t="inlineStr">
        <is>
          <t>https://knru.ru/catalog/salova-ul-d-61-1-1372991773/</t>
        </is>
      </c>
    </row>
    <row r="51">
      <c r="A51" t="n">
        <v>844</v>
      </c>
      <c r="B51" t="n">
        <v>36</v>
      </c>
      <c r="C51" t="n">
        <v>4</v>
      </c>
      <c r="D51" t="n">
        <v>799547736</v>
      </c>
      <c r="E51" t="inlineStr">
        <is>
          <t>Московский</t>
        </is>
      </c>
      <c r="F51" t="inlineStr">
        <is>
          <t>Пулковское ш, 95к3</t>
        </is>
      </c>
      <c r="G51" t="n">
        <v>102.3</v>
      </c>
      <c r="H51" t="inlineStr">
        <is>
          <t>22 352 550</t>
        </is>
      </c>
      <c r="I51" t="inlineStr">
        <is>
          <t>60 000 000</t>
        </is>
      </c>
      <c r="J51" t="inlineStr">
        <is>
          <t>У нас дороже на 37 647 450 (168.4%)</t>
        </is>
      </c>
      <c r="K51" t="inlineStr">
        <is>
          <t>37 647 450</t>
        </is>
      </c>
      <c r="L51" t="inlineStr">
        <is>
          <t>168.4%</t>
        </is>
      </c>
      <c r="M51" t="inlineStr">
        <is>
          <t>sale_only</t>
        </is>
      </c>
      <c r="N51" t="inlineStr">
        <is>
          <t>no</t>
        </is>
      </c>
      <c r="O51" t="inlineStr">
        <is>
          <t>none</t>
        </is>
      </c>
      <c r="P51">
        <f>HYPERLINK("https://knru.ru/catalog/pulkovskoe-shosse-d-95-k-5-799547736/","ссылка")</f>
        <v/>
      </c>
      <c r="Q51">
        <f>HYPERLINK("https://app.worldcafe.ru/object/20099","ссылка")</f>
        <v/>
      </c>
      <c r="R51" t="inlineStr">
        <is>
          <t>По адресу есть, но площадь другая</t>
        </is>
      </c>
      <c r="S51" t="n">
        <v>1</v>
      </c>
      <c r="T51" t="inlineStr">
        <is>
          <t>На сайте sale 128 м² 60 000 000 =HYPERLINK("https://app.worldcafe.ru/object/20099","ссылка")</t>
        </is>
      </c>
      <c r="U51" t="n">
        <v>844</v>
      </c>
      <c r="V51" t="n">
        <v>36</v>
      </c>
      <c r="W51" t="n">
        <v>4</v>
      </c>
      <c r="X51" t="n">
        <v>22352550</v>
      </c>
      <c r="Y51" t="n">
        <v>60000000</v>
      </c>
      <c r="Z51" t="n">
        <v>37647450</v>
      </c>
      <c r="AA51" t="inlineStr">
        <is>
          <t>https://knru.ru/catalog/pulkovskoe-shosse-d-95-k-5-799547736/</t>
        </is>
      </c>
    </row>
    <row r="52">
      <c r="A52" t="n">
        <v>841</v>
      </c>
      <c r="B52" t="n">
        <v>36</v>
      </c>
      <c r="C52" t="n">
        <v>1</v>
      </c>
      <c r="D52" t="n">
        <v>1479793908</v>
      </c>
      <c r="E52" t="inlineStr">
        <is>
          <t>Московский</t>
        </is>
      </c>
      <c r="F52" t="inlineStr">
        <is>
          <t>Пулковское ш, 95к3</t>
        </is>
      </c>
      <c r="G52" t="n">
        <v>107</v>
      </c>
      <c r="H52" t="inlineStr">
        <is>
          <t>22 363 000</t>
        </is>
      </c>
      <c r="I52" t="inlineStr">
        <is>
          <t>60 000 000</t>
        </is>
      </c>
      <c r="J52" t="inlineStr">
        <is>
          <t>У нас дороже на 37 637 000 (168.3%)</t>
        </is>
      </c>
      <c r="K52" t="inlineStr">
        <is>
          <t>37 637 000</t>
        </is>
      </c>
      <c r="L52" t="inlineStr">
        <is>
          <t>168.3%</t>
        </is>
      </c>
      <c r="M52" t="inlineStr">
        <is>
          <t>sale_only</t>
        </is>
      </c>
      <c r="N52" t="inlineStr">
        <is>
          <t>no</t>
        </is>
      </c>
      <c r="O52" t="inlineStr">
        <is>
          <t>none</t>
        </is>
      </c>
      <c r="P52">
        <f>HYPERLINK("https://knru.ru/catalog/pulkovskoe-shosse-d-95-k-5-1479793908/","ссылка")</f>
        <v/>
      </c>
      <c r="Q52">
        <f>HYPERLINK("https://app.worldcafe.ru/object/20099","ссылка")</f>
        <v/>
      </c>
      <c r="R52" t="inlineStr">
        <is>
          <t>По адресу есть, но площадь другая</t>
        </is>
      </c>
      <c r="S52" t="n">
        <v>1</v>
      </c>
      <c r="T52" t="inlineStr">
        <is>
          <t>На сайте sale 128 м² 60 000 000 =HYPERLINK("https://app.worldcafe.ru/object/20099","ссылка")</t>
        </is>
      </c>
      <c r="U52" t="n">
        <v>841</v>
      </c>
      <c r="V52" t="n">
        <v>36</v>
      </c>
      <c r="W52" t="n">
        <v>1</v>
      </c>
      <c r="X52" t="n">
        <v>22363000</v>
      </c>
      <c r="Y52" t="n">
        <v>60000000</v>
      </c>
      <c r="Z52" t="n">
        <v>37637000</v>
      </c>
      <c r="AA52" t="inlineStr">
        <is>
          <t>https://knru.ru/catalog/pulkovskoe-shosse-d-95-k-5-1479793908/</t>
        </is>
      </c>
    </row>
    <row r="53">
      <c r="A53" t="n">
        <v>356</v>
      </c>
      <c r="B53" t="n">
        <v>15</v>
      </c>
      <c r="C53" t="n">
        <v>20</v>
      </c>
      <c r="D53" t="n">
        <v>230676292</v>
      </c>
      <c r="E53" t="inlineStr">
        <is>
          <t>Выборгский</t>
        </is>
      </c>
      <c r="F53" t="inlineStr">
        <is>
          <t>Руднева ул., д. 16/1</t>
        </is>
      </c>
      <c r="G53" t="n">
        <v>232.2</v>
      </c>
      <c r="H53" t="inlineStr">
        <is>
          <t>40 463 163</t>
        </is>
      </c>
      <c r="I53" t="inlineStr">
        <is>
          <t>76 000 000</t>
        </is>
      </c>
      <c r="J53" t="inlineStr">
        <is>
          <t>У нас дороже на 35 536 837 (87.8%)</t>
        </is>
      </c>
      <c r="K53" t="inlineStr">
        <is>
          <t>35 536 837</t>
        </is>
      </c>
      <c r="L53" t="inlineStr">
        <is>
          <t>87.8%</t>
        </is>
      </c>
      <c r="M53" t="inlineStr">
        <is>
          <t>sale_only</t>
        </is>
      </c>
      <c r="N53" t="inlineStr">
        <is>
          <t>yes</t>
        </is>
      </c>
      <c r="O53" t="inlineStr">
        <is>
          <t>pixel_heuristic</t>
        </is>
      </c>
      <c r="P53">
        <f>HYPERLINK("https://knru.ru/catalog/rudneva-ul-d-16-1-230676292/","ссылка")</f>
        <v/>
      </c>
      <c r="Q53">
        <f>HYPERLINK("https://app.worldcafe.ru/object/19466","ссылка")</f>
        <v/>
      </c>
      <c r="R53" t="inlineStr">
        <is>
          <t>По адресу есть, но площадь другая</t>
        </is>
      </c>
      <c r="S53" t="n">
        <v>1</v>
      </c>
      <c r="T53" t="inlineStr">
        <is>
          <t>Архив sale 280 м² 76 000 000 =HYPERLINK("https://app.worldcafe.ru/object/19466","ссылка")</t>
        </is>
      </c>
      <c r="U53" t="n">
        <v>356</v>
      </c>
      <c r="V53" t="n">
        <v>15</v>
      </c>
      <c r="W53" t="n">
        <v>20</v>
      </c>
      <c r="X53" t="n">
        <v>40463163</v>
      </c>
      <c r="Y53" t="n">
        <v>76000000</v>
      </c>
      <c r="Z53" t="n">
        <v>35536837</v>
      </c>
      <c r="AA53" t="inlineStr">
        <is>
          <t>https://knru.ru/catalog/rudneva-ul-d-16-1-230676292/</t>
        </is>
      </c>
    </row>
    <row r="54">
      <c r="A54" t="n">
        <v>4</v>
      </c>
      <c r="B54" t="n">
        <v>1</v>
      </c>
      <c r="C54" t="n">
        <v>4</v>
      </c>
      <c r="D54" t="n">
        <v>1</v>
      </c>
      <c r="E54" t="inlineStr">
        <is>
          <t>Выборгский</t>
        </is>
      </c>
      <c r="F54" t="inlineStr">
        <is>
          <t>Фёдора Абрамова, 18к1</t>
        </is>
      </c>
      <c r="G54" t="n">
        <v>20</v>
      </c>
      <c r="H54" t="inlineStr">
        <is>
          <t>10 450 000</t>
        </is>
      </c>
      <c r="I54" t="inlineStr">
        <is>
          <t>45 000 000</t>
        </is>
      </c>
      <c r="J54" t="inlineStr">
        <is>
          <t>У нас дороже на 34 550 000 (330.6%)</t>
        </is>
      </c>
      <c r="K54" t="inlineStr">
        <is>
          <t>34 550 000</t>
        </is>
      </c>
      <c r="L54" t="inlineStr">
        <is>
          <t>330.6%</t>
        </is>
      </c>
      <c r="M54" t="inlineStr">
        <is>
          <t>sale_only</t>
        </is>
      </c>
      <c r="N54" t="inlineStr">
        <is>
          <t>no</t>
        </is>
      </c>
      <c r="O54" t="inlineStr">
        <is>
          <t>none</t>
        </is>
      </c>
      <c r="P54">
        <f>HYPERLINK("https://knru.ru/catalog/ul-fedora-abramova-d-18-k-1/","ссылка")</f>
        <v/>
      </c>
      <c r="Q54">
        <f>HYPERLINK("https://app.worldcafe.ru/object/14858","ссылка")</f>
        <v/>
      </c>
      <c r="R54" t="inlineStr">
        <is>
          <t>По адресу есть, но площадь другая</t>
        </is>
      </c>
      <c r="S54" t="n">
        <v>1</v>
      </c>
      <c r="T54" t="inlineStr">
        <is>
          <t>Архив sale 107.3 м² 45 000 000 =HYPERLINK("https://app.worldcafe.ru/object/14858","ссылка")</t>
        </is>
      </c>
      <c r="U54" t="n">
        <v>4</v>
      </c>
      <c r="V54" t="n">
        <v>1</v>
      </c>
      <c r="W54" t="n">
        <v>4</v>
      </c>
      <c r="X54" t="n">
        <v>10450000</v>
      </c>
      <c r="Y54" t="n">
        <v>45000000</v>
      </c>
      <c r="Z54" t="n">
        <v>34550000</v>
      </c>
      <c r="AA54" t="inlineStr">
        <is>
          <t>https://knru.ru/catalog/ul-fedora-abramova-d-18-k-1/</t>
        </is>
      </c>
    </row>
    <row r="55">
      <c r="A55" t="n">
        <v>426</v>
      </c>
      <c r="B55" t="n">
        <v>18</v>
      </c>
      <c r="C55" t="n">
        <v>18</v>
      </c>
      <c r="D55" t="n">
        <v>1927414743</v>
      </c>
      <c r="E55" t="inlineStr">
        <is>
          <t>Центральный</t>
        </is>
      </c>
      <c r="F55" t="inlineStr">
        <is>
          <t>Воскресенская наб, 4</t>
        </is>
      </c>
      <c r="G55" t="n">
        <v>173</v>
      </c>
      <c r="H55" t="inlineStr">
        <is>
          <t>53 630 000</t>
        </is>
      </c>
      <c r="I55" t="inlineStr">
        <is>
          <t>88 000 000</t>
        </is>
      </c>
      <c r="J55" t="inlineStr">
        <is>
          <t>У нас дороже на 34 370 000 (64.1%)</t>
        </is>
      </c>
      <c r="K55" t="inlineStr">
        <is>
          <t>34 370 000</t>
        </is>
      </c>
      <c r="L55" t="inlineStr">
        <is>
          <t>64.1%</t>
        </is>
      </c>
      <c r="M55" t="inlineStr">
        <is>
          <t>sale_only</t>
        </is>
      </c>
      <c r="N55" t="inlineStr">
        <is>
          <t>no</t>
        </is>
      </c>
      <c r="O55" t="inlineStr">
        <is>
          <t>none</t>
        </is>
      </c>
      <c r="P55">
        <f>HYPERLINK("https://knru.ru/catalog/nab-voskresenskaya-d-4-1927414743/","ссылка")</f>
        <v/>
      </c>
      <c r="Q55">
        <f>HYPERLINK("https://app.worldcafe.ru/object/9867","ссылка")</f>
        <v/>
      </c>
      <c r="R55" t="inlineStr">
        <is>
          <t>По адресу есть, но площадь другая</t>
        </is>
      </c>
      <c r="S55" t="n">
        <v>2</v>
      </c>
      <c r="T55" t="inlineStr">
        <is>
          <t>Архив rent 60 м² 75 000 =HYPERLINK("https://app.worldcafe.ru/object/9215","ссылка") | Архив sale 519 м² 88 000 000 =HYPERLINK("https://app.worldcafe.ru/object/9867","ссылка")</t>
        </is>
      </c>
      <c r="U55" t="n">
        <v>426</v>
      </c>
      <c r="V55" t="n">
        <v>18</v>
      </c>
      <c r="W55" t="n">
        <v>18</v>
      </c>
      <c r="X55" t="n">
        <v>53630000</v>
      </c>
      <c r="Y55" t="n">
        <v>88000000</v>
      </c>
      <c r="Z55" t="n">
        <v>34370000</v>
      </c>
      <c r="AA55" t="inlineStr">
        <is>
          <t>https://knru.ru/catalog/nab-voskresenskaya-d-4-1927414743/</t>
        </is>
      </c>
    </row>
    <row r="56">
      <c r="A56" t="n">
        <v>1270</v>
      </c>
      <c r="B56" t="n">
        <v>53</v>
      </c>
      <c r="C56" t="n">
        <v>22</v>
      </c>
      <c r="D56" t="n">
        <v>2</v>
      </c>
      <c r="E56" t="inlineStr">
        <is>
          <t>Петроградский</t>
        </is>
      </c>
      <c r="F56" t="inlineStr">
        <is>
          <t>Большая Зеленина ул, 8к2</t>
        </is>
      </c>
      <c r="G56" t="n">
        <v>177</v>
      </c>
      <c r="H56" t="inlineStr">
        <is>
          <t>40 000 000</t>
        </is>
      </c>
      <c r="I56" t="inlineStr">
        <is>
          <t>71 011 500</t>
        </is>
      </c>
      <c r="J56" t="inlineStr">
        <is>
          <t>У нас дороже на 31 011 500 (77.5%)</t>
        </is>
      </c>
      <c r="K56" t="inlineStr">
        <is>
          <t>31 011 500</t>
        </is>
      </c>
      <c r="L56" t="inlineStr">
        <is>
          <t>77.5%</t>
        </is>
      </c>
      <c r="M56" t="inlineStr">
        <is>
          <t>sale_only</t>
        </is>
      </c>
      <c r="N56" t="inlineStr">
        <is>
          <t>no</t>
        </is>
      </c>
      <c r="O56" t="inlineStr">
        <is>
          <t>none</t>
        </is>
      </c>
      <c r="P56">
        <f>HYPERLINK("https://knru.ru/catalog/ul-bolshaya-zelenina-d-8-k-2/","ссылка")</f>
        <v/>
      </c>
      <c r="Q56">
        <f>HYPERLINK("https://app.worldcafe.ru/object/13358","ссылка")</f>
        <v/>
      </c>
      <c r="R56" t="inlineStr">
        <is>
          <t>По адресу есть, но площадь другая</t>
        </is>
      </c>
      <c r="S56" t="n">
        <v>1</v>
      </c>
      <c r="T56" t="inlineStr">
        <is>
          <t>Архив sale 306.2 м² 71 011 500 =HYPERLINK("https://app.worldcafe.ru/object/13358","ссылка")</t>
        </is>
      </c>
      <c r="U56" t="n">
        <v>1270</v>
      </c>
      <c r="V56" t="n">
        <v>53</v>
      </c>
      <c r="W56" t="n">
        <v>22</v>
      </c>
      <c r="X56" t="n">
        <v>40000000</v>
      </c>
      <c r="Y56" t="n">
        <v>71011500</v>
      </c>
      <c r="Z56" t="n">
        <v>31011500</v>
      </c>
      <c r="AA56" t="inlineStr">
        <is>
          <t>https://knru.ru/catalog/ul-bolshaya-zelenina-d-8-k-2/</t>
        </is>
      </c>
    </row>
    <row r="57">
      <c r="A57" t="n">
        <v>18</v>
      </c>
      <c r="B57" t="n">
        <v>1</v>
      </c>
      <c r="C57" t="n">
        <v>18</v>
      </c>
      <c r="D57" t="n">
        <v>20</v>
      </c>
      <c r="E57" t="inlineStr">
        <is>
          <t>Адмиралтейский</t>
        </is>
      </c>
      <c r="F57" t="inlineStr">
        <is>
          <t>Московский пр-кт, 20</t>
        </is>
      </c>
      <c r="G57" t="n">
        <v>48</v>
      </c>
      <c r="H57" t="inlineStr">
        <is>
          <t>10 500 000</t>
        </is>
      </c>
      <c r="I57" t="inlineStr">
        <is>
          <t>40 000 000</t>
        </is>
      </c>
      <c r="J57" t="inlineStr">
        <is>
          <t>У нас дороже на 29 500 000 (281.0%)</t>
        </is>
      </c>
      <c r="K57" t="inlineStr">
        <is>
          <t>29 500 000</t>
        </is>
      </c>
      <c r="L57" t="inlineStr">
        <is>
          <t>281.0%</t>
        </is>
      </c>
      <c r="M57" t="inlineStr">
        <is>
          <t>sale_only</t>
        </is>
      </c>
      <c r="N57" t="inlineStr">
        <is>
          <t>no</t>
        </is>
      </c>
      <c r="O57" t="inlineStr">
        <is>
          <t>none</t>
        </is>
      </c>
      <c r="P57">
        <f>HYPERLINK("https://knru.ru/catalog/moskovskiy-pr-d-20/","ссылка")</f>
        <v/>
      </c>
      <c r="Q57">
        <f>HYPERLINK("https://app.worldcafe.ru/object/18409","ссылка")</f>
        <v/>
      </c>
      <c r="R57" t="inlineStr">
        <is>
          <t>По адресу есть, но площадь другая</t>
        </is>
      </c>
      <c r="S57" t="n">
        <v>3</v>
      </c>
      <c r="T57" t="inlineStr">
        <is>
          <t>На сайте sale 143.7 м² 40 000 000 =HYPERLINK("https://app.worldcafe.ru/object/18409","ссылка") | Архив rent 146 м² 300 000 =HYPERLINK("https://app.worldcafe.ru/object/18875","ссылка") | На сайте business_sale 146 м² 2 599 739 =HYPERLINK("https://app.worldcafe.ru/object/18875","ссылка")</t>
        </is>
      </c>
      <c r="U57" t="n">
        <v>18</v>
      </c>
      <c r="V57" t="n">
        <v>1</v>
      </c>
      <c r="W57" t="n">
        <v>18</v>
      </c>
      <c r="X57" t="n">
        <v>10500000</v>
      </c>
      <c r="Y57" t="n">
        <v>40000000</v>
      </c>
      <c r="Z57" t="n">
        <v>29500000</v>
      </c>
      <c r="AA57" t="inlineStr">
        <is>
          <t>https://knru.ru/catalog/moskovskiy-pr-d-20/</t>
        </is>
      </c>
    </row>
    <row r="58">
      <c r="A58" t="n">
        <v>782</v>
      </c>
      <c r="B58" t="n">
        <v>33</v>
      </c>
      <c r="C58" t="n">
        <v>14</v>
      </c>
      <c r="D58" t="n">
        <v>42</v>
      </c>
      <c r="E58" t="inlineStr">
        <is>
          <t>Петроградский</t>
        </is>
      </c>
      <c r="F58" t="inlineStr">
        <is>
          <t>Зверинская ул, 42</t>
        </is>
      </c>
      <c r="G58" t="n">
        <v>118</v>
      </c>
      <c r="H58" t="inlineStr">
        <is>
          <t>16 500 000</t>
        </is>
      </c>
      <c r="I58" t="inlineStr">
        <is>
          <t>45 000 000</t>
        </is>
      </c>
      <c r="J58" t="inlineStr">
        <is>
          <t>У нас дороже на 28 500 000 (172.7%)</t>
        </is>
      </c>
      <c r="K58" t="inlineStr">
        <is>
          <t>28 500 000</t>
        </is>
      </c>
      <c r="L58" t="inlineStr">
        <is>
          <t>172.7%</t>
        </is>
      </c>
      <c r="M58" t="inlineStr">
        <is>
          <t>sale_only</t>
        </is>
      </c>
      <c r="N58" t="inlineStr">
        <is>
          <t>no</t>
        </is>
      </c>
      <c r="O58" t="inlineStr">
        <is>
          <t>none</t>
        </is>
      </c>
      <c r="P58">
        <f>HYPERLINK("https://knru.ru/catalog/zverinskaya-ul-d-42/","ссылка")</f>
        <v/>
      </c>
      <c r="Q58">
        <f>HYPERLINK("https://app.worldcafe.ru/object/15561","ссылка")</f>
        <v/>
      </c>
      <c r="R58" t="inlineStr">
        <is>
          <t>По адресу есть, но площадь другая</t>
        </is>
      </c>
      <c r="S58" t="n">
        <v>2</v>
      </c>
      <c r="T58" t="inlineStr">
        <is>
          <t>Архив rent 155 м² 330 000 =HYPERLINK("https://app.worldcafe.ru/object/15561","ссылка") | На сайте sale 155 м² 45 000 000 =HYPERLINK("https://app.worldcafe.ru/object/15561","ссылка")</t>
        </is>
      </c>
      <c r="U58" t="n">
        <v>782</v>
      </c>
      <c r="V58" t="n">
        <v>33</v>
      </c>
      <c r="W58" t="n">
        <v>14</v>
      </c>
      <c r="X58" t="n">
        <v>16500000</v>
      </c>
      <c r="Y58" t="n">
        <v>45000000</v>
      </c>
      <c r="Z58" t="n">
        <v>28500000</v>
      </c>
      <c r="AA58" t="inlineStr">
        <is>
          <t>https://knru.ru/catalog/zverinskaya-ul-d-42/</t>
        </is>
      </c>
    </row>
    <row r="59">
      <c r="A59" t="n">
        <v>432</v>
      </c>
      <c r="B59" t="n">
        <v>18</v>
      </c>
      <c r="C59" t="n">
        <v>24</v>
      </c>
      <c r="D59" t="n">
        <v>11</v>
      </c>
      <c r="E59" t="inlineStr">
        <is>
          <t>Центральный</t>
        </is>
      </c>
      <c r="F59" t="inlineStr">
        <is>
          <t>Садовая ул, 7-9-11</t>
        </is>
      </c>
      <c r="G59" t="n">
        <v>26</v>
      </c>
      <c r="H59" t="inlineStr">
        <is>
          <t>5 700 000</t>
        </is>
      </c>
      <c r="I59" t="inlineStr">
        <is>
          <t>26 500 000</t>
        </is>
      </c>
      <c r="J59" t="inlineStr">
        <is>
          <t>У нас дороже на 20 800 000 (364.9%)</t>
        </is>
      </c>
      <c r="K59" t="inlineStr">
        <is>
          <t>20 800 000</t>
        </is>
      </c>
      <c r="L59" t="inlineStr">
        <is>
          <t>364.9%</t>
        </is>
      </c>
      <c r="M59" t="inlineStr">
        <is>
          <t>sale_only</t>
        </is>
      </c>
      <c r="N59" t="inlineStr">
        <is>
          <t>no</t>
        </is>
      </c>
      <c r="O59" t="inlineStr">
        <is>
          <t>none</t>
        </is>
      </c>
      <c r="P59">
        <f>HYPERLINK("https://knru.ru/catalog/sadovaya-ul-7-9-11/","ссылка")</f>
        <v/>
      </c>
      <c r="Q59">
        <f>HYPERLINK("https://app.worldcafe.ru/object/11867","ссылка")</f>
        <v/>
      </c>
      <c r="R59" t="inlineStr">
        <is>
          <t>По адресу есть, но площадь другая</t>
        </is>
      </c>
      <c r="S59" t="n">
        <v>10</v>
      </c>
      <c r="T59" t="inlineStr">
        <is>
          <t>Архив rent 60 м² 490 000 =HYPERLINK("https://app.worldcafe.ru/object/10993","ссылка") | Архив rent 75 м² 175 000 =HYPERLINK("https://app.worldcafe.ru/object/9335","ссылка") | Архив rent 120 м² 300 000 =HYPERLINK("https://app.worldcafe.ru/object/8102","ссылка") | Без сделки no_deal 166 м² =HYPERLINK("https://app.worldcafe.ru/object/14214","ссылка") | Архив sale 175 м² 26 500 000 =HYPERLINK("https://app.worldcafe.ru/object/11867","ссылка") | Архив rent 356.4 м² 400 000 =HYPERLINK("https://app.worldcafe.ru/object/8350","ссылка") | Архив sale 356.4 м² 59 999 530 =HYPERLINK("https://app.worldcafe.ru/object/8350","ссылка") | Архив rent 380 м² 1 500 000 =HYPERLINK("https://app.worldcafe.ru/object/11456","ссылка") | Архив sale 380 м² 148 000 000 =HYPERLINK("https://app.worldcafe.ru/object/11456","ссылка") | Архив sale 380.8 м² 169 000 000 =HYPERLINK("https://app.worldcafe.ru/object/11297","ссылка")</t>
        </is>
      </c>
      <c r="U59" t="n">
        <v>432</v>
      </c>
      <c r="V59" t="n">
        <v>18</v>
      </c>
      <c r="W59" t="n">
        <v>24</v>
      </c>
      <c r="X59" t="n">
        <v>5700000</v>
      </c>
      <c r="Y59" t="n">
        <v>26500000</v>
      </c>
      <c r="Z59" t="n">
        <v>20800000</v>
      </c>
      <c r="AA59" t="inlineStr">
        <is>
          <t>https://knru.ru/catalog/sadovaya-ul-7-9-11/</t>
        </is>
      </c>
    </row>
    <row r="60">
      <c r="A60" t="n">
        <v>1256</v>
      </c>
      <c r="B60" t="n">
        <v>53</v>
      </c>
      <c r="C60" t="n">
        <v>8</v>
      </c>
      <c r="D60" t="n">
        <v>2</v>
      </c>
      <c r="E60" t="inlineStr">
        <is>
          <t>Выборгский</t>
        </is>
      </c>
      <c r="F60" t="inlineStr">
        <is>
          <t>Литовская ул, 8к2 А</t>
        </is>
      </c>
      <c r="G60" t="n">
        <v>1088</v>
      </c>
      <c r="H60" t="inlineStr">
        <is>
          <t>79 999 990</t>
        </is>
      </c>
      <c r="I60" t="inlineStr">
        <is>
          <t>100 000 000</t>
        </is>
      </c>
      <c r="J60" t="inlineStr">
        <is>
          <t>У нас дороже на 20 000 010 (25.0%)</t>
        </is>
      </c>
      <c r="K60" t="inlineStr">
        <is>
          <t>20 000 010</t>
        </is>
      </c>
      <c r="L60" t="inlineStr">
        <is>
          <t>25.0%</t>
        </is>
      </c>
      <c r="M60" t="inlineStr">
        <is>
          <t>sale_only</t>
        </is>
      </c>
      <c r="N60" t="inlineStr">
        <is>
          <t>no</t>
        </is>
      </c>
      <c r="O60" t="inlineStr">
        <is>
          <t>none</t>
        </is>
      </c>
      <c r="P60">
        <f>HYPERLINK("https://knru.ru/catalog/ul-litovskaya-d-8-k-2/","ссылка")</f>
        <v/>
      </c>
      <c r="Q60">
        <f>HYPERLINK("https://app.worldcafe.ru/object/13712","ссылка")</f>
        <v/>
      </c>
      <c r="R60" t="inlineStr">
        <is>
          <t>По адресу есть, но площадь другая</t>
        </is>
      </c>
      <c r="S60" t="n">
        <v>3</v>
      </c>
      <c r="T60" t="inlineStr">
        <is>
          <t>Архив rent 129 м² 200 000 =HYPERLINK("https://app.worldcafe.ru/object/13712","ссылка") | Архив sale 129 м² 100 000 000 =HYPERLINK("https://app.worldcafe.ru/object/13712","ссылка") | Архив rent 68.7 м² 0 =HYPERLINK("https://app.worldcafe.ru/object/19275","ссылка")</t>
        </is>
      </c>
      <c r="U60" t="n">
        <v>1256</v>
      </c>
      <c r="V60" t="n">
        <v>53</v>
      </c>
      <c r="W60" t="n">
        <v>8</v>
      </c>
      <c r="X60" t="n">
        <v>79999990</v>
      </c>
      <c r="Y60" t="n">
        <v>100000000</v>
      </c>
      <c r="Z60" t="n">
        <v>20000010</v>
      </c>
      <c r="AA60" t="inlineStr">
        <is>
          <t>https://knru.ru/catalog/ul-litovskaya-d-8-k-2/</t>
        </is>
      </c>
    </row>
    <row r="61">
      <c r="A61" t="n">
        <v>977</v>
      </c>
      <c r="B61" t="n">
        <v>41</v>
      </c>
      <c r="C61" t="n">
        <v>17</v>
      </c>
      <c r="D61" t="n">
        <v>551996</v>
      </c>
      <c r="E61" t="inlineStr">
        <is>
          <t>Калининский</t>
        </is>
      </c>
      <c r="F61" t="inlineStr">
        <is>
          <t>Светлановский пр-кт, 85</t>
        </is>
      </c>
      <c r="G61" t="n">
        <v>95.5</v>
      </c>
      <c r="H61" t="inlineStr">
        <is>
          <t>22 000 000</t>
        </is>
      </c>
      <c r="I61" t="inlineStr">
        <is>
          <t>40 988 800</t>
        </is>
      </c>
      <c r="J61" t="inlineStr">
        <is>
          <t>У нас дороже на 18 988 800 (86.3%)</t>
        </is>
      </c>
      <c r="K61" t="inlineStr">
        <is>
          <t>18 988 800</t>
        </is>
      </c>
      <c r="L61" t="inlineStr">
        <is>
          <t>86.3%</t>
        </is>
      </c>
      <c r="M61" t="inlineStr">
        <is>
          <t>sale_only</t>
        </is>
      </c>
      <c r="N61" t="inlineStr">
        <is>
          <t>no</t>
        </is>
      </c>
      <c r="O61" t="inlineStr">
        <is>
          <t>none</t>
        </is>
      </c>
      <c r="P61">
        <f>HYPERLINK("https://knru.ru/catalog/svetlanovskij-pr-d-85-551996/","ссылка")</f>
        <v/>
      </c>
      <c r="Q61">
        <f>HYPERLINK("https://app.worldcafe.ru/object/15547","ссылка")</f>
        <v/>
      </c>
      <c r="R61" t="inlineStr">
        <is>
          <t>По адресу есть, но площадь другая</t>
        </is>
      </c>
      <c r="S61" t="n">
        <v>1</v>
      </c>
      <c r="T61" t="inlineStr">
        <is>
          <t>На сайте sale 128.1 м² 40 988 800 =HYPERLINK("https://app.worldcafe.ru/object/15547","ссылка")</t>
        </is>
      </c>
      <c r="U61" t="n">
        <v>977</v>
      </c>
      <c r="V61" t="n">
        <v>41</v>
      </c>
      <c r="W61" t="n">
        <v>17</v>
      </c>
      <c r="X61" t="n">
        <v>22000000</v>
      </c>
      <c r="Y61" t="n">
        <v>40988800</v>
      </c>
      <c r="Z61" t="n">
        <v>18988800</v>
      </c>
      <c r="AA61" t="inlineStr">
        <is>
          <t>https://knru.ru/catalog/svetlanovskij-pr-d-85-551996/</t>
        </is>
      </c>
    </row>
    <row r="62">
      <c r="A62" t="n">
        <v>788</v>
      </c>
      <c r="B62" t="n">
        <v>33</v>
      </c>
      <c r="C62" t="n">
        <v>20</v>
      </c>
      <c r="D62" t="n">
        <v>198</v>
      </c>
      <c r="E62" t="inlineStr">
        <is>
          <t>Красносельский</t>
        </is>
      </c>
      <c r="F62" t="inlineStr">
        <is>
          <t>Ветеранов пр-кт, 198</t>
        </is>
      </c>
      <c r="G62" t="n">
        <v>139.6</v>
      </c>
      <c r="H62" t="inlineStr">
        <is>
          <t>234 152</t>
        </is>
      </c>
      <c r="I62" t="inlineStr">
        <is>
          <t>16 500 000</t>
        </is>
      </c>
      <c r="J62" t="inlineStr">
        <is>
          <t>У нас дороже на 16 265 848 (6946.7%)</t>
        </is>
      </c>
      <c r="K62" t="inlineStr">
        <is>
          <t>16 265 848</t>
        </is>
      </c>
      <c r="L62" t="inlineStr">
        <is>
          <t>6946.7%</t>
        </is>
      </c>
      <c r="M62" t="inlineStr">
        <is>
          <t>sale_only</t>
        </is>
      </c>
      <c r="N62" t="inlineStr">
        <is>
          <t>no</t>
        </is>
      </c>
      <c r="O62" t="inlineStr">
        <is>
          <t>none</t>
        </is>
      </c>
      <c r="P62">
        <f>HYPERLINK("https://knru.ru/catalog/pr-veteranov-d-198/","ссылка")</f>
        <v/>
      </c>
      <c r="Q62">
        <f>HYPERLINK("https://app.worldcafe.ru/object/18003","ссылка")</f>
        <v/>
      </c>
      <c r="R62" t="inlineStr">
        <is>
          <t>По адресу есть, но площадь другая</t>
        </is>
      </c>
      <c r="S62" t="n">
        <v>2</v>
      </c>
      <c r="T62" t="inlineStr">
        <is>
          <t>На сайте rent 25 м² 90 000 =HYPERLINK("https://app.worldcafe.ru/object/18003","ссылка") | На сайте sale 25 м² 16 500 000 =HYPERLINK("https://app.worldcafe.ru/object/18003","ссылка")</t>
        </is>
      </c>
      <c r="U62" t="n">
        <v>788</v>
      </c>
      <c r="V62" t="n">
        <v>33</v>
      </c>
      <c r="W62" t="n">
        <v>20</v>
      </c>
      <c r="X62" t="n">
        <v>234152</v>
      </c>
      <c r="Y62" t="n">
        <v>16500000</v>
      </c>
      <c r="Z62" t="n">
        <v>16265848</v>
      </c>
      <c r="AA62" t="inlineStr">
        <is>
          <t>https://knru.ru/catalog/pr-veteranov-d-198/</t>
        </is>
      </c>
    </row>
    <row r="63">
      <c r="A63" t="n">
        <v>355</v>
      </c>
      <c r="B63" t="n">
        <v>15</v>
      </c>
      <c r="C63" t="n">
        <v>19</v>
      </c>
      <c r="D63" t="n">
        <v>1221429310</v>
      </c>
      <c r="E63" t="inlineStr">
        <is>
          <t>Выборгский</t>
        </is>
      </c>
      <c r="F63" t="inlineStr">
        <is>
          <t>Руднева ул., д. 16/1</t>
        </is>
      </c>
      <c r="G63" t="n">
        <v>369.3</v>
      </c>
      <c r="H63" t="inlineStr">
        <is>
          <t>60 588 687</t>
        </is>
      </c>
      <c r="I63" t="inlineStr">
        <is>
          <t>76 000 000</t>
        </is>
      </c>
      <c r="J63" t="inlineStr">
        <is>
          <t>У нас дороже на 15 411 313 (25.4%)</t>
        </is>
      </c>
      <c r="K63" t="inlineStr">
        <is>
          <t>15 411 313</t>
        </is>
      </c>
      <c r="L63" t="inlineStr">
        <is>
          <t>25.4%</t>
        </is>
      </c>
      <c r="M63" t="inlineStr">
        <is>
          <t>sale_only</t>
        </is>
      </c>
      <c r="N63" t="inlineStr">
        <is>
          <t>no</t>
        </is>
      </c>
      <c r="O63" t="inlineStr">
        <is>
          <t>none</t>
        </is>
      </c>
      <c r="P63">
        <f>HYPERLINK("https://knru.ru/catalog/rudneva-ul-d-16-1-1221429310/","ссылка")</f>
        <v/>
      </c>
      <c r="Q63">
        <f>HYPERLINK("https://app.worldcafe.ru/object/19466","ссылка")</f>
        <v/>
      </c>
      <c r="R63" t="inlineStr">
        <is>
          <t>По адресу есть, но площадь другая</t>
        </is>
      </c>
      <c r="S63" t="n">
        <v>1</v>
      </c>
      <c r="T63" t="inlineStr">
        <is>
          <t>Архив sale 280 м² 76 000 000 =HYPERLINK("https://app.worldcafe.ru/object/19466","ссылка")</t>
        </is>
      </c>
      <c r="U63" t="n">
        <v>355</v>
      </c>
      <c r="V63" t="n">
        <v>15</v>
      </c>
      <c r="W63" t="n">
        <v>19</v>
      </c>
      <c r="X63" t="n">
        <v>60588687</v>
      </c>
      <c r="Y63" t="n">
        <v>76000000</v>
      </c>
      <c r="Z63" t="n">
        <v>15411313</v>
      </c>
      <c r="AA63" t="inlineStr">
        <is>
          <t>https://knru.ru/catalog/rudneva-ul-d-16-1-1221429310/</t>
        </is>
      </c>
    </row>
    <row r="64">
      <c r="A64" t="n">
        <v>488</v>
      </c>
      <c r="B64" t="n">
        <v>21</v>
      </c>
      <c r="C64" t="n">
        <v>8</v>
      </c>
      <c r="D64" t="n">
        <v>24</v>
      </c>
      <c r="E64" t="inlineStr">
        <is>
          <t>Кировский</t>
        </is>
      </c>
      <c r="F64" t="inlineStr">
        <is>
          <t>Нарвский пр-кт, 24 А</t>
        </is>
      </c>
      <c r="G64" t="n">
        <v>305</v>
      </c>
      <c r="H64" t="inlineStr">
        <is>
          <t>120 000 000</t>
        </is>
      </c>
      <c r="I64" t="inlineStr">
        <is>
          <t>135 000 000</t>
        </is>
      </c>
      <c r="J64" t="inlineStr">
        <is>
          <t>У нас дороже на 15 000 000 (12.5%)</t>
        </is>
      </c>
      <c r="K64" t="inlineStr">
        <is>
          <t>15 000 000</t>
        </is>
      </c>
      <c r="L64" t="inlineStr">
        <is>
          <t>12.5%</t>
        </is>
      </c>
      <c r="M64" t="inlineStr">
        <is>
          <t>sale_only</t>
        </is>
      </c>
      <c r="N64" t="inlineStr">
        <is>
          <t>no</t>
        </is>
      </c>
      <c r="O64" t="inlineStr">
        <is>
          <t>none</t>
        </is>
      </c>
      <c r="P64">
        <f>HYPERLINK("https://knru.ru/catalog/narvskiy-pr-d-24/","ссылка")</f>
        <v/>
      </c>
      <c r="Q64">
        <f>HYPERLINK("https://app.worldcafe.ru/object/19706","ссылка")</f>
        <v/>
      </c>
      <c r="R64" t="inlineStr">
        <is>
          <t>По адресу есть, но площадь другая</t>
        </is>
      </c>
      <c r="S64" t="n">
        <v>1</v>
      </c>
      <c r="T64" t="inlineStr">
        <is>
          <t>На сайте sale 316 м² 135 000 000 =HYPERLINK("https://app.worldcafe.ru/object/19706","ссылка")</t>
        </is>
      </c>
      <c r="U64" t="n">
        <v>488</v>
      </c>
      <c r="V64" t="n">
        <v>21</v>
      </c>
      <c r="W64" t="n">
        <v>8</v>
      </c>
      <c r="X64" t="n">
        <v>120000000</v>
      </c>
      <c r="Y64" t="n">
        <v>135000000</v>
      </c>
      <c r="Z64" t="n">
        <v>15000000</v>
      </c>
      <c r="AA64" t="inlineStr">
        <is>
          <t>https://knru.ru/catalog/narvskiy-pr-d-24/</t>
        </is>
      </c>
    </row>
    <row r="65">
      <c r="A65" t="n">
        <v>427</v>
      </c>
      <c r="B65" t="n">
        <v>18</v>
      </c>
      <c r="C65" t="n">
        <v>19</v>
      </c>
      <c r="D65" t="n">
        <v>534048350</v>
      </c>
      <c r="E65" t="inlineStr">
        <is>
          <t>Калининский</t>
        </is>
      </c>
      <c r="F65" t="inlineStr">
        <is>
          <t>Светлановский пр-кт, 85</t>
        </is>
      </c>
      <c r="G65" t="n">
        <v>101.5</v>
      </c>
      <c r="H65" t="inlineStr">
        <is>
          <t>27 706 770</t>
        </is>
      </c>
      <c r="I65" t="inlineStr">
        <is>
          <t>40 988 800</t>
        </is>
      </c>
      <c r="J65" t="inlineStr">
        <is>
          <t>У нас дороже на 13 282 030 (47.9%)</t>
        </is>
      </c>
      <c r="K65" t="inlineStr">
        <is>
          <t>13 282 030</t>
        </is>
      </c>
      <c r="L65" t="inlineStr">
        <is>
          <t>47.9%</t>
        </is>
      </c>
      <c r="M65" t="inlineStr">
        <is>
          <t>sale_only</t>
        </is>
      </c>
      <c r="N65" t="inlineStr">
        <is>
          <t>no</t>
        </is>
      </c>
      <c r="O65" t="inlineStr">
        <is>
          <t>none</t>
        </is>
      </c>
      <c r="P65">
        <f>HYPERLINK("https://knru.ru/catalog/svetlanovskiy-pr-d-85-534048350/","ссылка")</f>
        <v/>
      </c>
      <c r="Q65">
        <f>HYPERLINK("https://app.worldcafe.ru/object/15547","ссылка")</f>
        <v/>
      </c>
      <c r="R65" t="inlineStr">
        <is>
          <t>По адресу есть, но площадь другая</t>
        </is>
      </c>
      <c r="S65" t="n">
        <v>1</v>
      </c>
      <c r="T65" t="inlineStr">
        <is>
          <t>На сайте sale 128.1 м² 40 988 800 =HYPERLINK("https://app.worldcafe.ru/object/15547","ссылка")</t>
        </is>
      </c>
      <c r="U65" t="n">
        <v>427</v>
      </c>
      <c r="V65" t="n">
        <v>18</v>
      </c>
      <c r="W65" t="n">
        <v>19</v>
      </c>
      <c r="X65" t="n">
        <v>27706770</v>
      </c>
      <c r="Y65" t="n">
        <v>40988800</v>
      </c>
      <c r="Z65" t="n">
        <v>13282030</v>
      </c>
      <c r="AA65" t="inlineStr">
        <is>
          <t>https://knru.ru/catalog/svetlanovskiy-pr-d-85-534048350/</t>
        </is>
      </c>
    </row>
    <row r="66">
      <c r="A66" t="n">
        <v>5</v>
      </c>
      <c r="B66" t="n">
        <v>1</v>
      </c>
      <c r="C66" t="n">
        <v>5</v>
      </c>
      <c r="D66" t="n">
        <v>38</v>
      </c>
      <c r="E66" t="inlineStr">
        <is>
          <t>Московский</t>
        </is>
      </c>
      <c r="F66" t="inlineStr">
        <is>
          <t>Костюшко ул, 38</t>
        </is>
      </c>
      <c r="G66" t="n">
        <v>56</v>
      </c>
      <c r="H66" t="inlineStr">
        <is>
          <t>16 900 000</t>
        </is>
      </c>
      <c r="I66" t="inlineStr">
        <is>
          <t>30 000 000</t>
        </is>
      </c>
      <c r="J66" t="inlineStr">
        <is>
          <t>У нас дороже на 13 100 000 (77.5%)</t>
        </is>
      </c>
      <c r="K66" t="inlineStr">
        <is>
          <t>13 100 000</t>
        </is>
      </c>
      <c r="L66" t="inlineStr">
        <is>
          <t>77.5%</t>
        </is>
      </c>
      <c r="M66" t="inlineStr">
        <is>
          <t>sale_only</t>
        </is>
      </c>
      <c r="N66" t="inlineStr">
        <is>
          <t>no</t>
        </is>
      </c>
      <c r="O66" t="inlineStr">
        <is>
          <t>none</t>
        </is>
      </c>
      <c r="P66">
        <f>HYPERLINK("https://knru.ru/catalog/kostyushko-ul-38/","ссылка")</f>
        <v/>
      </c>
      <c r="Q66">
        <f>HYPERLINK("https://app.worldcafe.ru/object/19797","ссылка")</f>
        <v/>
      </c>
      <c r="R66" t="inlineStr">
        <is>
          <t>По адресу есть, но площадь другая</t>
        </is>
      </c>
      <c r="S66" t="n">
        <v>1</v>
      </c>
      <c r="T66" t="inlineStr">
        <is>
          <t>На сайте sale 140 м² 30 000 000 =HYPERLINK("https://app.worldcafe.ru/object/19797","ссылка")</t>
        </is>
      </c>
      <c r="U66" t="n">
        <v>5</v>
      </c>
      <c r="V66" t="n">
        <v>1</v>
      </c>
      <c r="W66" t="n">
        <v>5</v>
      </c>
      <c r="X66" t="n">
        <v>16900000</v>
      </c>
      <c r="Y66" t="n">
        <v>30000000</v>
      </c>
      <c r="Z66" t="n">
        <v>13100000</v>
      </c>
      <c r="AA66" t="inlineStr">
        <is>
          <t>https://knru.ru/catalog/kostyushko-ul-38/</t>
        </is>
      </c>
    </row>
    <row r="67">
      <c r="A67" t="n">
        <v>914</v>
      </c>
      <c r="B67" t="n">
        <v>39</v>
      </c>
      <c r="C67" t="n">
        <v>2</v>
      </c>
      <c r="D67" t="n">
        <v>561337</v>
      </c>
      <c r="E67" t="inlineStr">
        <is>
          <t>Московский</t>
        </is>
      </c>
      <c r="F67" t="inlineStr">
        <is>
          <t>Московский пр-кт, 72к2</t>
        </is>
      </c>
      <c r="G67" t="n">
        <v>50.9</v>
      </c>
      <c r="H67" t="inlineStr">
        <is>
          <t>18 002 196</t>
        </is>
      </c>
      <c r="I67" t="inlineStr">
        <is>
          <t>30 400 000</t>
        </is>
      </c>
      <c r="J67" t="inlineStr">
        <is>
          <t>У нас дороже на 12 397 804 (68.9%)</t>
        </is>
      </c>
      <c r="K67" t="inlineStr">
        <is>
          <t>12 397 804</t>
        </is>
      </c>
      <c r="L67" t="inlineStr">
        <is>
          <t>68.9%</t>
        </is>
      </c>
      <c r="M67" t="inlineStr">
        <is>
          <t>sale_only</t>
        </is>
      </c>
      <c r="N67" t="inlineStr">
        <is>
          <t>no</t>
        </is>
      </c>
      <c r="O67" t="inlineStr">
        <is>
          <t>none</t>
        </is>
      </c>
      <c r="P67">
        <f>HYPERLINK("https://knru.ru/catalog/moskovskij-pr-d-72-k-2-561337/","ссылка")</f>
        <v/>
      </c>
      <c r="Q67">
        <f>HYPERLINK("https://app.worldcafe.ru/object/19722","ссылка")</f>
        <v/>
      </c>
      <c r="R67" t="inlineStr">
        <is>
          <t>По адресу есть, но площадь другая</t>
        </is>
      </c>
      <c r="S67" t="n">
        <v>1</v>
      </c>
      <c r="T67" t="inlineStr">
        <is>
          <t>Архив sale 98.4 м² 30 400 000 =HYPERLINK("https://app.worldcafe.ru/object/19722","ссылка")</t>
        </is>
      </c>
      <c r="U67" t="n">
        <v>914</v>
      </c>
      <c r="V67" t="n">
        <v>39</v>
      </c>
      <c r="W67" t="n">
        <v>2</v>
      </c>
      <c r="X67" t="n">
        <v>18002196</v>
      </c>
      <c r="Y67" t="n">
        <v>30400000</v>
      </c>
      <c r="Z67" t="n">
        <v>12397804</v>
      </c>
      <c r="AA67" t="inlineStr">
        <is>
          <t>https://knru.ru/catalog/moskovskij-pr-d-72-k-2-561337/</t>
        </is>
      </c>
    </row>
    <row r="68">
      <c r="A68" t="n">
        <v>915</v>
      </c>
      <c r="B68" t="n">
        <v>39</v>
      </c>
      <c r="C68" t="n">
        <v>3</v>
      </c>
      <c r="D68" t="n">
        <v>2</v>
      </c>
      <c r="E68" t="inlineStr">
        <is>
          <t>Московский</t>
        </is>
      </c>
      <c r="F68" t="inlineStr">
        <is>
          <t>Московский пр-кт, 72к2</t>
        </is>
      </c>
      <c r="G68" t="n">
        <v>48.4</v>
      </c>
      <c r="H68" t="inlineStr">
        <is>
          <t>18 098 260</t>
        </is>
      </c>
      <c r="I68" t="inlineStr">
        <is>
          <t>30 400 000</t>
        </is>
      </c>
      <c r="J68" t="inlineStr">
        <is>
          <t>У нас дороже на 12 301 740 (68.0%)</t>
        </is>
      </c>
      <c r="K68" t="inlineStr">
        <is>
          <t>12 301 740</t>
        </is>
      </c>
      <c r="L68" t="inlineStr">
        <is>
          <t>68.0%</t>
        </is>
      </c>
      <c r="M68" t="inlineStr">
        <is>
          <t>sale_only</t>
        </is>
      </c>
      <c r="N68" t="inlineStr">
        <is>
          <t>no</t>
        </is>
      </c>
      <c r="O68" t="inlineStr">
        <is>
          <t>none</t>
        </is>
      </c>
      <c r="P68">
        <f>HYPERLINK("https://knru.ru/catalog/moskovskij-pr-d-72-k-2/","ссылка")</f>
        <v/>
      </c>
      <c r="Q68">
        <f>HYPERLINK("https://app.worldcafe.ru/object/19722","ссылка")</f>
        <v/>
      </c>
      <c r="R68" t="inlineStr">
        <is>
          <t>По адресу есть, но площадь другая</t>
        </is>
      </c>
      <c r="S68" t="n">
        <v>1</v>
      </c>
      <c r="T68" t="inlineStr">
        <is>
          <t>Архив sale 98.4 м² 30 400 000 =HYPERLINK("https://app.worldcafe.ru/object/19722","ссылка")</t>
        </is>
      </c>
      <c r="U68" t="n">
        <v>915</v>
      </c>
      <c r="V68" t="n">
        <v>39</v>
      </c>
      <c r="W68" t="n">
        <v>3</v>
      </c>
      <c r="X68" t="n">
        <v>18098260</v>
      </c>
      <c r="Y68" t="n">
        <v>30400000</v>
      </c>
      <c r="Z68" t="n">
        <v>12301740</v>
      </c>
      <c r="AA68" t="inlineStr">
        <is>
          <t>https://knru.ru/catalog/moskovskij-pr-d-72-k-2/</t>
        </is>
      </c>
    </row>
    <row r="69">
      <c r="A69" t="n">
        <v>978</v>
      </c>
      <c r="B69" t="n">
        <v>41</v>
      </c>
      <c r="C69" t="n">
        <v>18</v>
      </c>
      <c r="D69" t="n">
        <v>551989</v>
      </c>
      <c r="E69" t="inlineStr">
        <is>
          <t>Красносельский</t>
        </is>
      </c>
      <c r="F69" t="inlineStr">
        <is>
          <t>Восстановления ул, 19</t>
        </is>
      </c>
      <c r="G69" t="n">
        <v>34.1</v>
      </c>
      <c r="H69" t="inlineStr">
        <is>
          <t>6 095 775</t>
        </is>
      </c>
      <c r="I69" t="inlineStr">
        <is>
          <t>17 813 400</t>
        </is>
      </c>
      <c r="J69" t="inlineStr">
        <is>
          <t>У нас дороже на 11 717 625 (192.2%)</t>
        </is>
      </c>
      <c r="K69" t="inlineStr">
        <is>
          <t>11 717 625</t>
        </is>
      </c>
      <c r="L69" t="inlineStr">
        <is>
          <t>192.2%</t>
        </is>
      </c>
      <c r="M69" t="inlineStr">
        <is>
          <t>sale_only</t>
        </is>
      </c>
      <c r="N69" t="inlineStr">
        <is>
          <t>no</t>
        </is>
      </c>
      <c r="O69" t="inlineStr">
        <is>
          <t>none</t>
        </is>
      </c>
      <c r="P69">
        <f>HYPERLINK("https://knru.ru/catalog/ul-vosstanovleniya-d-19-551989/","ссылка")</f>
        <v/>
      </c>
      <c r="Q69">
        <f>HYPERLINK("https://app.worldcafe.ru/object/15625","ссылка")</f>
        <v/>
      </c>
      <c r="R69" t="inlineStr">
        <is>
          <t>По адресу есть, но площадь другая</t>
        </is>
      </c>
      <c r="S69" t="n">
        <v>2</v>
      </c>
      <c r="T69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69" t="n">
        <v>978</v>
      </c>
      <c r="V69" t="n">
        <v>41</v>
      </c>
      <c r="W69" t="n">
        <v>18</v>
      </c>
      <c r="X69" t="n">
        <v>6095775</v>
      </c>
      <c r="Y69" t="n">
        <v>17813400</v>
      </c>
      <c r="Z69" t="n">
        <v>11717625</v>
      </c>
      <c r="AA69" t="inlineStr">
        <is>
          <t>https://knru.ru/catalog/ul-vosstanovleniya-d-19-551989/</t>
        </is>
      </c>
    </row>
    <row r="70">
      <c r="A70" t="n">
        <v>852</v>
      </c>
      <c r="B70" t="n">
        <v>36</v>
      </c>
      <c r="C70" t="n">
        <v>12</v>
      </c>
      <c r="D70" t="n">
        <v>5</v>
      </c>
      <c r="E70" t="inlineStr">
        <is>
          <t>Адмиралтейский</t>
        </is>
      </c>
      <c r="F70" t="inlineStr">
        <is>
          <t>Декабристов ул, 5 А</t>
        </is>
      </c>
      <c r="G70" t="n">
        <v>149</v>
      </c>
      <c r="H70" t="inlineStr">
        <is>
          <t>43 000 000</t>
        </is>
      </c>
      <c r="I70" t="inlineStr">
        <is>
          <t>54 000 000</t>
        </is>
      </c>
      <c r="J70" t="inlineStr">
        <is>
          <t>У нас дороже на 11 000 000 (25.6%)</t>
        </is>
      </c>
      <c r="K70" t="inlineStr">
        <is>
          <t>11 000 000</t>
        </is>
      </c>
      <c r="L70" t="inlineStr">
        <is>
          <t>25.6%</t>
        </is>
      </c>
      <c r="M70" t="inlineStr">
        <is>
          <t>sale_only</t>
        </is>
      </c>
      <c r="N70" t="inlineStr">
        <is>
          <t>no</t>
        </is>
      </c>
      <c r="O70" t="inlineStr">
        <is>
          <t>none</t>
        </is>
      </c>
      <c r="P70">
        <f>HYPERLINK("https://knru.ru/catalog/ul-dekabristov-d-5/","ссылка")</f>
        <v/>
      </c>
      <c r="Q70">
        <f>HYPERLINK("https://app.worldcafe.ru/object/13775","ссылка")</f>
        <v/>
      </c>
      <c r="R70" t="inlineStr">
        <is>
          <t>По адресу есть, но площадь другая</t>
        </is>
      </c>
      <c r="S70" t="n">
        <v>1</v>
      </c>
      <c r="T70" t="inlineStr">
        <is>
          <t>Архив sale 2876 м² 54 000 000 =HYPERLINK("https://app.worldcafe.ru/object/13775","ссылка")</t>
        </is>
      </c>
      <c r="U70" t="n">
        <v>852</v>
      </c>
      <c r="V70" t="n">
        <v>36</v>
      </c>
      <c r="W70" t="n">
        <v>12</v>
      </c>
      <c r="X70" t="n">
        <v>43000000</v>
      </c>
      <c r="Y70" t="n">
        <v>54000000</v>
      </c>
      <c r="Z70" t="n">
        <v>11000000</v>
      </c>
      <c r="AA70" t="inlineStr">
        <is>
          <t>https://knru.ru/catalog/ul-dekabristov-d-5/</t>
        </is>
      </c>
    </row>
    <row r="71">
      <c r="A71" t="n">
        <v>453</v>
      </c>
      <c r="B71" t="n">
        <v>19</v>
      </c>
      <c r="C71" t="n">
        <v>21</v>
      </c>
      <c r="D71" t="n">
        <v>2045129821</v>
      </c>
      <c r="E71" t="inlineStr">
        <is>
          <t>Выборгский</t>
        </is>
      </c>
      <c r="F71" t="inlineStr">
        <is>
          <t>Выборгское ш, 17к1</t>
        </is>
      </c>
      <c r="G71" t="n">
        <v>325.5</v>
      </c>
      <c r="H71" t="inlineStr">
        <is>
          <t>86 500 000</t>
        </is>
      </c>
      <c r="I71" t="inlineStr">
        <is>
          <t>95 000 000</t>
        </is>
      </c>
      <c r="J71" t="inlineStr">
        <is>
          <t>У нас дороже на 8 500 000 (9.8%)</t>
        </is>
      </c>
      <c r="K71" t="inlineStr">
        <is>
          <t>8 500 000</t>
        </is>
      </c>
      <c r="L71" t="inlineStr">
        <is>
          <t>9.8%</t>
        </is>
      </c>
      <c r="M71" t="inlineStr">
        <is>
          <t>sale_only</t>
        </is>
      </c>
      <c r="N71" t="inlineStr">
        <is>
          <t>no</t>
        </is>
      </c>
      <c r="O71" t="inlineStr">
        <is>
          <t>none</t>
        </is>
      </c>
      <c r="P71">
        <f>HYPERLINK("https://knru.ru/catalog/vyborgskoe-shosse-d-17-k-1-2045129821/","ссылка")</f>
        <v/>
      </c>
      <c r="Q71">
        <f>HYPERLINK("https://app.worldcafe.ru/object/16272","ссылка")</f>
        <v/>
      </c>
      <c r="R71" t="inlineStr">
        <is>
          <t>Совпало</t>
        </is>
      </c>
      <c r="S71" t="n">
        <v>2</v>
      </c>
      <c r="T71" t="inlineStr">
        <is>
          <t>На сайте rent 325.5 м² 689 999 =HYPERLINK("https://app.worldcafe.ru/object/16272","ссылка") | Архив sale 325.5 м² 95 000 000 =HYPERLINK("https://app.worldcafe.ru/object/16272","ссылка")</t>
        </is>
      </c>
      <c r="U71" t="n">
        <v>453</v>
      </c>
      <c r="V71" t="n">
        <v>19</v>
      </c>
      <c r="W71" t="n">
        <v>21</v>
      </c>
      <c r="X71" t="n">
        <v>86500000</v>
      </c>
      <c r="Y71" t="n">
        <v>95000000</v>
      </c>
      <c r="Z71" t="n">
        <v>8500000</v>
      </c>
      <c r="AA71" t="inlineStr">
        <is>
          <t>https://knru.ru/catalog/vyborgskoe-shosse-d-17-k-1-2045129821/</t>
        </is>
      </c>
    </row>
    <row r="72">
      <c r="A72" t="n">
        <v>980</v>
      </c>
      <c r="B72" t="n">
        <v>41</v>
      </c>
      <c r="C72" t="n">
        <v>20</v>
      </c>
      <c r="D72" t="n">
        <v>551748</v>
      </c>
      <c r="E72" t="inlineStr">
        <is>
          <t>Калининский</t>
        </is>
      </c>
      <c r="F72" t="inlineStr">
        <is>
          <t>Светлановский пр-кт, 85</t>
        </is>
      </c>
      <c r="G72" t="n">
        <v>96.40000000000001</v>
      </c>
      <c r="H72" t="inlineStr">
        <is>
          <t>33 750 500</t>
        </is>
      </c>
      <c r="I72" t="inlineStr">
        <is>
          <t>40 988 800</t>
        </is>
      </c>
      <c r="J72" t="inlineStr">
        <is>
          <t>У нас дороже на 7 238 300 (21.4%)</t>
        </is>
      </c>
      <c r="K72" t="inlineStr">
        <is>
          <t>7 238 300</t>
        </is>
      </c>
      <c r="L72" t="inlineStr">
        <is>
          <t>21.4%</t>
        </is>
      </c>
      <c r="M72" t="inlineStr">
        <is>
          <t>sale_only</t>
        </is>
      </c>
      <c r="N72" t="inlineStr">
        <is>
          <t>no</t>
        </is>
      </c>
      <c r="O72" t="inlineStr">
        <is>
          <t>none</t>
        </is>
      </c>
      <c r="P72">
        <f>HYPERLINK("https://knru.ru/catalog/svetlanovskij-pr-d-85-551748/","ссылка")</f>
        <v/>
      </c>
      <c r="Q72">
        <f>HYPERLINK("https://app.worldcafe.ru/object/15547","ссылка")</f>
        <v/>
      </c>
      <c r="R72" t="inlineStr">
        <is>
          <t>По адресу есть, но площадь другая</t>
        </is>
      </c>
      <c r="S72" t="n">
        <v>1</v>
      </c>
      <c r="T72" t="inlineStr">
        <is>
          <t>На сайте sale 128.1 м² 40 988 800 =HYPERLINK("https://app.worldcafe.ru/object/15547","ссылка")</t>
        </is>
      </c>
      <c r="U72" t="n">
        <v>980</v>
      </c>
      <c r="V72" t="n">
        <v>41</v>
      </c>
      <c r="W72" t="n">
        <v>20</v>
      </c>
      <c r="X72" t="n">
        <v>33750500</v>
      </c>
      <c r="Y72" t="n">
        <v>40988800</v>
      </c>
      <c r="Z72" t="n">
        <v>7238300</v>
      </c>
      <c r="AA72" t="inlineStr">
        <is>
          <t>https://knru.ru/catalog/svetlanovskij-pr-d-85-551748/</t>
        </is>
      </c>
    </row>
    <row r="73">
      <c r="A73" t="n">
        <v>913</v>
      </c>
      <c r="B73" t="n">
        <v>39</v>
      </c>
      <c r="C73" t="n">
        <v>1</v>
      </c>
      <c r="D73" t="n">
        <v>561338</v>
      </c>
      <c r="E73" t="inlineStr">
        <is>
          <t>Московский</t>
        </is>
      </c>
      <c r="F73" t="inlineStr">
        <is>
          <t>Московский пр-кт, 72к2</t>
        </is>
      </c>
      <c r="G73" t="n">
        <v>64.5</v>
      </c>
      <c r="H73" t="inlineStr">
        <is>
          <t>23 771 014</t>
        </is>
      </c>
      <c r="I73" t="inlineStr">
        <is>
          <t>30 400 000</t>
        </is>
      </c>
      <c r="J73" t="inlineStr">
        <is>
          <t>У нас дороже на 6 628 986 (27.9%)</t>
        </is>
      </c>
      <c r="K73" t="inlineStr">
        <is>
          <t>6 628 986</t>
        </is>
      </c>
      <c r="L73" t="inlineStr">
        <is>
          <t>27.9%</t>
        </is>
      </c>
      <c r="M73" t="inlineStr">
        <is>
          <t>sale_only</t>
        </is>
      </c>
      <c r="N73" t="inlineStr">
        <is>
          <t>no</t>
        </is>
      </c>
      <c r="O73" t="inlineStr">
        <is>
          <t>none</t>
        </is>
      </c>
      <c r="P73">
        <f>HYPERLINK("https://knru.ru/catalog/moskovskij-pr-d-72-k-2-561338/","ссылка")</f>
        <v/>
      </c>
      <c r="Q73">
        <f>HYPERLINK("https://app.worldcafe.ru/object/19722","ссылка")</f>
        <v/>
      </c>
      <c r="R73" t="inlineStr">
        <is>
          <t>По адресу есть, но площадь другая</t>
        </is>
      </c>
      <c r="S73" t="n">
        <v>1</v>
      </c>
      <c r="T73" t="inlineStr">
        <is>
          <t>Архив sale 98.4 м² 30 400 000 =HYPERLINK("https://app.worldcafe.ru/object/19722","ссылка")</t>
        </is>
      </c>
      <c r="U73" t="n">
        <v>913</v>
      </c>
      <c r="V73" t="n">
        <v>39</v>
      </c>
      <c r="W73" t="n">
        <v>1</v>
      </c>
      <c r="X73" t="n">
        <v>23771014</v>
      </c>
      <c r="Y73" t="n">
        <v>30400000</v>
      </c>
      <c r="Z73" t="n">
        <v>6628986</v>
      </c>
      <c r="AA73" t="inlineStr">
        <is>
          <t>https://knru.ru/catalog/moskovskij-pr-d-72-k-2-561338/</t>
        </is>
      </c>
    </row>
    <row r="74">
      <c r="A74" t="n">
        <v>1266</v>
      </c>
      <c r="B74" t="n">
        <v>53</v>
      </c>
      <c r="C74" t="n">
        <v>18</v>
      </c>
      <c r="D74" t="n">
        <v>8</v>
      </c>
      <c r="E74" t="inlineStr">
        <is>
          <t>Фрунзенский</t>
        </is>
      </c>
      <c r="F74" t="inlineStr">
        <is>
          <t>Ярослава Гашека ул, 8</t>
        </is>
      </c>
      <c r="G74" t="n">
        <v>28</v>
      </c>
      <c r="H74" t="inlineStr">
        <is>
          <t>13 600 000</t>
        </is>
      </c>
      <c r="I74" t="inlineStr">
        <is>
          <t>19 900 000</t>
        </is>
      </c>
      <c r="J74" t="inlineStr">
        <is>
          <t>У нас дороже на 6 300 000 (46.3%)</t>
        </is>
      </c>
      <c r="K74" t="inlineStr">
        <is>
          <t>6 300 000</t>
        </is>
      </c>
      <c r="L74" t="inlineStr">
        <is>
          <t>46.3%</t>
        </is>
      </c>
      <c r="M74" t="inlineStr">
        <is>
          <t>sale_only</t>
        </is>
      </c>
      <c r="N74" t="inlineStr">
        <is>
          <t>no</t>
        </is>
      </c>
      <c r="O74" t="inlineStr">
        <is>
          <t>none</t>
        </is>
      </c>
      <c r="P74">
        <f>HYPERLINK("https://knru.ru/catalog/ul-yaroslava-gasheka-d-8/","ссылка")</f>
        <v/>
      </c>
      <c r="Q74">
        <f>HYPERLINK("https://app.worldcafe.ru/object/12026","ссылка")</f>
        <v/>
      </c>
      <c r="R74" t="inlineStr">
        <is>
          <t>По адресу есть, но площадь другая</t>
        </is>
      </c>
      <c r="S74" t="n">
        <v>1</v>
      </c>
      <c r="T74" t="inlineStr">
        <is>
          <t>Архив sale 60 м² 19 900 000 =HYPERLINK("https://app.worldcafe.ru/object/12026","ссылка")</t>
        </is>
      </c>
      <c r="U74" t="n">
        <v>1266</v>
      </c>
      <c r="V74" t="n">
        <v>53</v>
      </c>
      <c r="W74" t="n">
        <v>18</v>
      </c>
      <c r="X74" t="n">
        <v>13600000</v>
      </c>
      <c r="Y74" t="n">
        <v>19900000</v>
      </c>
      <c r="Z74" t="n">
        <v>6300000</v>
      </c>
      <c r="AA74" t="inlineStr">
        <is>
          <t>https://knru.ru/catalog/ul-yaroslava-gasheka-d-8/</t>
        </is>
      </c>
    </row>
    <row r="75">
      <c r="A75" t="n">
        <v>66</v>
      </c>
      <c r="B75" t="n">
        <v>3</v>
      </c>
      <c r="C75" t="n">
        <v>18</v>
      </c>
      <c r="D75" t="n">
        <v>289175580</v>
      </c>
      <c r="E75" t="inlineStr">
        <is>
          <t>Адмиралтейский</t>
        </is>
      </c>
      <c r="F75" t="inlineStr">
        <is>
          <t>Гороховая ул, 27</t>
        </is>
      </c>
      <c r="G75" t="n">
        <v>55</v>
      </c>
      <c r="H75" t="inlineStr">
        <is>
          <t>22 000 000</t>
        </is>
      </c>
      <c r="I75" t="inlineStr">
        <is>
          <t>28 000 000</t>
        </is>
      </c>
      <c r="J75" t="inlineStr">
        <is>
          <t>У нас дороже на 6 000 000 (27.3%)</t>
        </is>
      </c>
      <c r="K75" t="inlineStr">
        <is>
          <t>6 000 000</t>
        </is>
      </c>
      <c r="L75" t="inlineStr">
        <is>
          <t>27.3%</t>
        </is>
      </c>
      <c r="M75" t="inlineStr">
        <is>
          <t>sale_only</t>
        </is>
      </c>
      <c r="N75" t="inlineStr">
        <is>
          <t>no</t>
        </is>
      </c>
      <c r="O75" t="inlineStr">
        <is>
          <t>none</t>
        </is>
      </c>
      <c r="P75">
        <f>HYPERLINK("https://knru.ru/catalog/gorokhovaya-ul-27-289175580/","ссылка")</f>
        <v/>
      </c>
      <c r="Q75">
        <f>HYPERLINK("https://app.worldcafe.ru/object/19833","ссылка")</f>
        <v/>
      </c>
      <c r="R75" t="inlineStr">
        <is>
          <t>Совпало</t>
        </is>
      </c>
      <c r="S75" t="n">
        <v>1</v>
      </c>
      <c r="T75" t="inlineStr">
        <is>
          <t>На сайте sale 55.3 м² 28 000 000 =HYPERLINK("https://app.worldcafe.ru/object/19833","ссылка")</t>
        </is>
      </c>
      <c r="U75" t="n">
        <v>66</v>
      </c>
      <c r="V75" t="n">
        <v>3</v>
      </c>
      <c r="W75" t="n">
        <v>18</v>
      </c>
      <c r="X75" t="n">
        <v>22000000</v>
      </c>
      <c r="Y75" t="n">
        <v>28000000</v>
      </c>
      <c r="Z75" t="n">
        <v>6000000</v>
      </c>
      <c r="AA75" t="inlineStr">
        <is>
          <t>https://knru.ru/catalog/gorokhovaya-ul-27-289175580/</t>
        </is>
      </c>
    </row>
    <row r="76">
      <c r="A76" t="n">
        <v>721</v>
      </c>
      <c r="B76" t="n">
        <v>31</v>
      </c>
      <c r="C76" t="n">
        <v>1</v>
      </c>
      <c r="D76" t="n">
        <v>43987853</v>
      </c>
      <c r="E76" t="inlineStr">
        <is>
          <t>Красносельский</t>
        </is>
      </c>
      <c r="F76" t="inlineStr">
        <is>
          <t>Восстановления ул, 19</t>
        </is>
      </c>
      <c r="G76" t="n">
        <v>75.8</v>
      </c>
      <c r="H76" t="inlineStr">
        <is>
          <t>12 734 400</t>
        </is>
      </c>
      <c r="I76" t="inlineStr">
        <is>
          <t>17 813 400</t>
        </is>
      </c>
      <c r="J76" t="inlineStr">
        <is>
          <t>У нас дороже на 5 079 000 (39.9%)</t>
        </is>
      </c>
      <c r="K76" t="inlineStr">
        <is>
          <t>5 079 000</t>
        </is>
      </c>
      <c r="L76" t="inlineStr">
        <is>
          <t>39.9%</t>
        </is>
      </c>
      <c r="M76" t="inlineStr">
        <is>
          <t>sale_only</t>
        </is>
      </c>
      <c r="N76" t="inlineStr">
        <is>
          <t>no</t>
        </is>
      </c>
      <c r="O76" t="inlineStr">
        <is>
          <t>none</t>
        </is>
      </c>
      <c r="P76">
        <f>HYPERLINK("https://knru.ru/catalog/ul-vosstanovleniya-d-19-43987853/","ссылка")</f>
        <v/>
      </c>
      <c r="Q76">
        <f>HYPERLINK("https://app.worldcafe.ru/object/15625","ссылка")</f>
        <v/>
      </c>
      <c r="R76" t="inlineStr">
        <is>
          <t>По адресу есть, но площадь другая</t>
        </is>
      </c>
      <c r="S76" t="n">
        <v>2</v>
      </c>
      <c r="T76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76" t="n">
        <v>721</v>
      </c>
      <c r="V76" t="n">
        <v>31</v>
      </c>
      <c r="W76" t="n">
        <v>1</v>
      </c>
      <c r="X76" t="n">
        <v>12734400</v>
      </c>
      <c r="Y76" t="n">
        <v>17813400</v>
      </c>
      <c r="Z76" t="n">
        <v>5079000</v>
      </c>
      <c r="AA76" t="inlineStr">
        <is>
          <t>https://knru.ru/catalog/ul-vosstanovleniya-d-19-43987853/</t>
        </is>
      </c>
    </row>
    <row r="77">
      <c r="A77" t="n">
        <v>510</v>
      </c>
      <c r="B77" t="n">
        <v>22</v>
      </c>
      <c r="C77" t="n">
        <v>6</v>
      </c>
      <c r="D77" t="n">
        <v>170</v>
      </c>
      <c r="E77" t="inlineStr">
        <is>
          <t>Кировский</t>
        </is>
      </c>
      <c r="F77" t="inlineStr">
        <is>
          <t>Стачек пр-кт, 170</t>
        </is>
      </c>
      <c r="G77" t="n">
        <v>607</v>
      </c>
      <c r="H77" t="inlineStr">
        <is>
          <t>125 000 000</t>
        </is>
      </c>
      <c r="I77" t="inlineStr">
        <is>
          <t>130 000 000</t>
        </is>
      </c>
      <c r="J77" t="inlineStr">
        <is>
          <t>У нас дороже на 5 000 000 (4.0%)</t>
        </is>
      </c>
      <c r="K77" t="inlineStr">
        <is>
          <t>5 000 000</t>
        </is>
      </c>
      <c r="L77" t="inlineStr">
        <is>
          <t>4.0%</t>
        </is>
      </c>
      <c r="M77" t="inlineStr">
        <is>
          <t>sale_only</t>
        </is>
      </c>
      <c r="N77" t="inlineStr">
        <is>
          <t>no</t>
        </is>
      </c>
      <c r="O77" t="inlineStr">
        <is>
          <t>none</t>
        </is>
      </c>
      <c r="P77">
        <f>HYPERLINK("https://knru.ru/catalog/pr-stachek-d-170/","ссылка")</f>
        <v/>
      </c>
      <c r="Q77">
        <f>HYPERLINK("https://app.worldcafe.ru/object/20217","ссылка")</f>
        <v/>
      </c>
      <c r="R77" t="inlineStr">
        <is>
          <t>Совпало</t>
        </is>
      </c>
      <c r="S77" t="n">
        <v>1</v>
      </c>
      <c r="T77" t="inlineStr">
        <is>
          <t>На сайте sale 607 м² 130 000 000 =HYPERLINK("https://app.worldcafe.ru/object/20217","ссылка")</t>
        </is>
      </c>
      <c r="U77" t="n">
        <v>510</v>
      </c>
      <c r="V77" t="n">
        <v>22</v>
      </c>
      <c r="W77" t="n">
        <v>6</v>
      </c>
      <c r="X77" t="n">
        <v>125000000</v>
      </c>
      <c r="Y77" t="n">
        <v>130000000</v>
      </c>
      <c r="Z77" t="n">
        <v>5000000</v>
      </c>
      <c r="AA77" t="inlineStr">
        <is>
          <t>https://knru.ru/catalog/pr-stachek-d-170/</t>
        </is>
      </c>
    </row>
    <row r="78">
      <c r="A78" t="n">
        <v>141</v>
      </c>
      <c r="B78" t="n">
        <v>6</v>
      </c>
      <c r="C78" t="n">
        <v>21</v>
      </c>
      <c r="D78" t="n">
        <v>1040836863</v>
      </c>
      <c r="E78" t="inlineStr"/>
      <c r="F78" t="inlineStr">
        <is>
          <t>Мира ул., д. 9/1</t>
        </is>
      </c>
      <c r="G78" t="n">
        <v>35.3</v>
      </c>
      <c r="H78" t="inlineStr">
        <is>
          <t>5 955 110</t>
        </is>
      </c>
      <c r="I78" t="inlineStr">
        <is>
          <t>10 684 890</t>
        </is>
      </c>
      <c r="J78" t="inlineStr">
        <is>
          <t>У нас дороже на 4 729 780 (79.4%)</t>
        </is>
      </c>
      <c r="K78" t="inlineStr">
        <is>
          <t>4 729 780</t>
        </is>
      </c>
      <c r="L78" t="inlineStr">
        <is>
          <t>79.4%</t>
        </is>
      </c>
      <c r="M78" t="inlineStr">
        <is>
          <t>sale_only</t>
        </is>
      </c>
      <c r="N78" t="inlineStr">
        <is>
          <t>yes</t>
        </is>
      </c>
      <c r="O78" t="inlineStr">
        <is>
          <t>pixel_heuristic</t>
        </is>
      </c>
      <c r="P78">
        <f>HYPERLINK("https://knru.ru/catalog/mira-ul-d-9-1-1040836863/","ссылка")</f>
        <v/>
      </c>
      <c r="Q78">
        <f>HYPERLINK("https://app.worldcafe.ru/object/20169","ссылка")</f>
        <v/>
      </c>
      <c r="R78" t="inlineStr">
        <is>
          <t>По адресу есть, но площадь другая</t>
        </is>
      </c>
      <c r="S78" t="n">
        <v>3</v>
      </c>
      <c r="T78" t="inlineStr">
        <is>
          <t>Архив sale 68.3 м² 10 684 890 =HYPERLINK("https://app.worldcafe.ru/object/20169","ссылка") | Архив sale 77.9 м² 11 865 700 =HYPERLINK("https://app.worldcafe.ru/object/20168","ссылка") | Архив sale 82.1 м² 12 362 880 =HYPERLINK("https://app.worldcafe.ru/object/20166","ссылка")</t>
        </is>
      </c>
      <c r="U78" t="n">
        <v>141</v>
      </c>
      <c r="V78" t="n">
        <v>6</v>
      </c>
      <c r="W78" t="n">
        <v>21</v>
      </c>
      <c r="X78" t="n">
        <v>5955110</v>
      </c>
      <c r="Y78" t="n">
        <v>10684890</v>
      </c>
      <c r="Z78" t="n">
        <v>4729780</v>
      </c>
      <c r="AA78" t="inlineStr">
        <is>
          <t>https://knru.ru/catalog/mira-ul-d-9-1-1040836863/</t>
        </is>
      </c>
    </row>
    <row r="79">
      <c r="A79" t="n">
        <v>67</v>
      </c>
      <c r="B79" t="n">
        <v>3</v>
      </c>
      <c r="C79" t="n">
        <v>19</v>
      </c>
      <c r="D79" t="n">
        <v>27</v>
      </c>
      <c r="E79" t="inlineStr">
        <is>
          <t>Адмиралтейский</t>
        </is>
      </c>
      <c r="F79" t="inlineStr">
        <is>
          <t>Гороховая ул, 27</t>
        </is>
      </c>
      <c r="G79" t="n">
        <v>50</v>
      </c>
      <c r="H79" t="inlineStr">
        <is>
          <t>24 000 000</t>
        </is>
      </c>
      <c r="I79" t="inlineStr">
        <is>
          <t>28 000 000</t>
        </is>
      </c>
      <c r="J79" t="inlineStr">
        <is>
          <t>У нас дороже на 4 000 000 (16.7%)</t>
        </is>
      </c>
      <c r="K79" t="inlineStr">
        <is>
          <t>4 000 000</t>
        </is>
      </c>
      <c r="L79" t="inlineStr">
        <is>
          <t>16.7%</t>
        </is>
      </c>
      <c r="M79" t="inlineStr">
        <is>
          <t>sale_only</t>
        </is>
      </c>
      <c r="N79" t="inlineStr">
        <is>
          <t>no</t>
        </is>
      </c>
      <c r="O79" t="inlineStr">
        <is>
          <t>none</t>
        </is>
      </c>
      <c r="P79">
        <f>HYPERLINK("https://knru.ru/catalog/gorokhovaya-ul-27/","ссылка")</f>
        <v/>
      </c>
      <c r="Q79">
        <f>HYPERLINK("https://app.worldcafe.ru/object/19833","ссылка")</f>
        <v/>
      </c>
      <c r="R79" t="inlineStr">
        <is>
          <t>По адресу есть, но площадь другая</t>
        </is>
      </c>
      <c r="S79" t="n">
        <v>1</v>
      </c>
      <c r="T79" t="inlineStr">
        <is>
          <t>На сайте sale 55.3 м² 28 000 000 =HYPERLINK("https://app.worldcafe.ru/object/19833","ссылка")</t>
        </is>
      </c>
      <c r="U79" t="n">
        <v>67</v>
      </c>
      <c r="V79" t="n">
        <v>3</v>
      </c>
      <c r="W79" t="n">
        <v>19</v>
      </c>
      <c r="X79" t="n">
        <v>24000000</v>
      </c>
      <c r="Y79" t="n">
        <v>28000000</v>
      </c>
      <c r="Z79" t="n">
        <v>4000000</v>
      </c>
      <c r="AA79" t="inlineStr">
        <is>
          <t>https://knru.ru/catalog/gorokhovaya-ul-27/</t>
        </is>
      </c>
    </row>
    <row r="80">
      <c r="A80" t="n">
        <v>677</v>
      </c>
      <c r="B80" t="n">
        <v>29</v>
      </c>
      <c r="C80" t="n">
        <v>5</v>
      </c>
      <c r="D80" t="n">
        <v>9</v>
      </c>
      <c r="E80" t="inlineStr">
        <is>
          <t>Всеволожский</t>
        </is>
      </c>
      <c r="F80" t="inlineStr">
        <is>
          <t>Мира ул, 9</t>
        </is>
      </c>
      <c r="G80" t="n">
        <v>73</v>
      </c>
      <c r="H80" t="inlineStr">
        <is>
          <t>7 300 000</t>
        </is>
      </c>
      <c r="I80" t="inlineStr">
        <is>
          <t>10 684 890</t>
        </is>
      </c>
      <c r="J80" t="inlineStr">
        <is>
          <t>У нас дороже на 3 384 890 (46.4%)</t>
        </is>
      </c>
      <c r="K80" t="inlineStr">
        <is>
          <t>3 384 890</t>
        </is>
      </c>
      <c r="L80" t="inlineStr">
        <is>
          <t>46.4%</t>
        </is>
      </c>
      <c r="M80" t="inlineStr">
        <is>
          <t>sale_only</t>
        </is>
      </c>
      <c r="N80" t="inlineStr">
        <is>
          <t>no</t>
        </is>
      </c>
      <c r="O80" t="inlineStr">
        <is>
          <t>none</t>
        </is>
      </c>
      <c r="P80">
        <f>HYPERLINK("https://knru.ru/catalog/d-koltushi-ul-mira-d-9/","ссылка")</f>
        <v/>
      </c>
      <c r="Q80">
        <f>HYPERLINK("https://app.worldcafe.ru/object/20169","ссылка")</f>
        <v/>
      </c>
      <c r="R80" t="inlineStr">
        <is>
          <t>Совпало</t>
        </is>
      </c>
      <c r="S80" t="n">
        <v>2</v>
      </c>
      <c r="T80" t="inlineStr">
        <is>
          <t>Архив sale 68.3 м² 10 684 890 =HYPERLINK("https://app.worldcafe.ru/object/20169","ссылка") | Архив sale 77.9 м² 11 865 700 =HYPERLINK("https://app.worldcafe.ru/object/20168","ссылка")</t>
        </is>
      </c>
      <c r="U80" t="n">
        <v>677</v>
      </c>
      <c r="V80" t="n">
        <v>29</v>
      </c>
      <c r="W80" t="n">
        <v>5</v>
      </c>
      <c r="X80" t="n">
        <v>7300000</v>
      </c>
      <c r="Y80" t="n">
        <v>10684890</v>
      </c>
      <c r="Z80" t="n">
        <v>3384890</v>
      </c>
      <c r="AA80" t="inlineStr">
        <is>
          <t>https://knru.ru/catalog/d-koltushi-ul-mira-d-9/</t>
        </is>
      </c>
    </row>
    <row r="81">
      <c r="A81" t="n">
        <v>586</v>
      </c>
      <c r="B81" t="n">
        <v>25</v>
      </c>
      <c r="C81" t="n">
        <v>10</v>
      </c>
      <c r="D81" t="n">
        <v>4</v>
      </c>
      <c r="E81" t="inlineStr">
        <is>
          <t>Невский</t>
        </is>
      </c>
      <c r="F81" t="inlineStr">
        <is>
          <t>Прибрежная ул, 4</t>
        </is>
      </c>
      <c r="G81" t="n">
        <v>60</v>
      </c>
      <c r="H81" t="inlineStr">
        <is>
          <t>15 000 000</t>
        </is>
      </c>
      <c r="I81" t="inlineStr">
        <is>
          <t>18 000 000</t>
        </is>
      </c>
      <c r="J81" t="inlineStr">
        <is>
          <t>У нас дороже на 3 000 000 (20.0%)</t>
        </is>
      </c>
      <c r="K81" t="inlineStr">
        <is>
          <t>3 000 000</t>
        </is>
      </c>
      <c r="L81" t="inlineStr">
        <is>
          <t>20.0%</t>
        </is>
      </c>
      <c r="M81" t="inlineStr">
        <is>
          <t>sale_only</t>
        </is>
      </c>
      <c r="N81" t="inlineStr">
        <is>
          <t>no</t>
        </is>
      </c>
      <c r="O81" t="inlineStr">
        <is>
          <t>none</t>
        </is>
      </c>
      <c r="P81">
        <f>HYPERLINK("https://knru.ru/catalog/pribrezhnaya-ul-d-4/","ссылка")</f>
        <v/>
      </c>
      <c r="Q81">
        <f>HYPERLINK("https://app.worldcafe.ru/object/18610","ссылка")</f>
        <v/>
      </c>
      <c r="R81" t="inlineStr">
        <is>
          <t>Совпало</t>
        </is>
      </c>
      <c r="S81" t="n">
        <v>1</v>
      </c>
      <c r="T81" t="inlineStr">
        <is>
          <t>На сайте sale 60 м² 18 000 000 =HYPERLINK("https://app.worldcafe.ru/object/18610","ссылка")</t>
        </is>
      </c>
      <c r="U81" t="n">
        <v>586</v>
      </c>
      <c r="V81" t="n">
        <v>25</v>
      </c>
      <c r="W81" t="n">
        <v>10</v>
      </c>
      <c r="X81" t="n">
        <v>15000000</v>
      </c>
      <c r="Y81" t="n">
        <v>18000000</v>
      </c>
      <c r="Z81" t="n">
        <v>3000000</v>
      </c>
      <c r="AA81" t="inlineStr">
        <is>
          <t>https://knru.ru/catalog/pribrezhnaya-ul-d-4/</t>
        </is>
      </c>
    </row>
    <row r="82">
      <c r="A82" t="n">
        <v>431</v>
      </c>
      <c r="B82" t="n">
        <v>18</v>
      </c>
      <c r="C82" t="n">
        <v>23</v>
      </c>
      <c r="D82" t="n">
        <v>69</v>
      </c>
      <c r="E82" t="inlineStr">
        <is>
          <t>Красногвардейский</t>
        </is>
      </c>
      <c r="F82" t="inlineStr">
        <is>
          <t>Революции ш, 69</t>
        </is>
      </c>
      <c r="G82" t="n">
        <v>270.5</v>
      </c>
      <c r="H82" t="inlineStr">
        <is>
          <t>37 900 000</t>
        </is>
      </c>
      <c r="I82" t="inlineStr">
        <is>
          <t>40 500 000</t>
        </is>
      </c>
      <c r="J82" t="inlineStr">
        <is>
          <t>У нас дороже на 2 600 000 (6.9%)</t>
        </is>
      </c>
      <c r="K82" t="inlineStr">
        <is>
          <t>2 600 000</t>
        </is>
      </c>
      <c r="L82" t="inlineStr">
        <is>
          <t>6.9%</t>
        </is>
      </c>
      <c r="M82" t="inlineStr">
        <is>
          <t>sale_only</t>
        </is>
      </c>
      <c r="N82" t="inlineStr">
        <is>
          <t>no</t>
        </is>
      </c>
      <c r="O82" t="inlineStr">
        <is>
          <t>none</t>
        </is>
      </c>
      <c r="P82">
        <f>HYPERLINK("https://knru.ru/catalog/revolyutsii-sh-69/","ссылка")</f>
        <v/>
      </c>
      <c r="Q82">
        <f>HYPERLINK("https://app.worldcafe.ru/object/19346","ссылка")</f>
        <v/>
      </c>
      <c r="R82" t="inlineStr">
        <is>
          <t>Совпало</t>
        </is>
      </c>
      <c r="S82" t="n">
        <v>1</v>
      </c>
      <c r="T82" t="inlineStr">
        <is>
          <t>На сайте sale 270 м² 40 500 000 =HYPERLINK("https://app.worldcafe.ru/object/19346","ссылка")</t>
        </is>
      </c>
      <c r="U82" t="n">
        <v>431</v>
      </c>
      <c r="V82" t="n">
        <v>18</v>
      </c>
      <c r="W82" t="n">
        <v>23</v>
      </c>
      <c r="X82" t="n">
        <v>37900000</v>
      </c>
      <c r="Y82" t="n">
        <v>40500000</v>
      </c>
      <c r="Z82" t="n">
        <v>2600000</v>
      </c>
      <c r="AA82" t="inlineStr">
        <is>
          <t>https://knru.ru/catalog/revolyutsii-sh-69/</t>
        </is>
      </c>
    </row>
    <row r="83">
      <c r="A83" t="n">
        <v>975</v>
      </c>
      <c r="B83" t="n">
        <v>41</v>
      </c>
      <c r="C83" t="n">
        <v>15</v>
      </c>
      <c r="D83" t="n">
        <v>561003</v>
      </c>
      <c r="E83" t="inlineStr">
        <is>
          <t>Красносельский</t>
        </is>
      </c>
      <c r="F83" t="inlineStr">
        <is>
          <t>Восстановления ул, 19</t>
        </is>
      </c>
      <c r="G83" t="n">
        <v>107.9</v>
      </c>
      <c r="H83" t="inlineStr">
        <is>
          <t>15 296 243</t>
        </is>
      </c>
      <c r="I83" t="inlineStr">
        <is>
          <t>17 813 400</t>
        </is>
      </c>
      <c r="J83" t="inlineStr">
        <is>
          <t>У нас дороже на 2 517 157 (16.5%)</t>
        </is>
      </c>
      <c r="K83" t="inlineStr">
        <is>
          <t>2 517 157</t>
        </is>
      </c>
      <c r="L83" t="inlineStr">
        <is>
          <t>16.5%</t>
        </is>
      </c>
      <c r="M83" t="inlineStr">
        <is>
          <t>sale_only</t>
        </is>
      </c>
      <c r="N83" t="inlineStr">
        <is>
          <t>no</t>
        </is>
      </c>
      <c r="O83" t="inlineStr">
        <is>
          <t>none</t>
        </is>
      </c>
      <c r="P83">
        <f>HYPERLINK("https://knru.ru/catalog/ul-vosstanovleniya-d-19-561003/","ссылка")</f>
        <v/>
      </c>
      <c r="Q83">
        <f>HYPERLINK("https://app.worldcafe.ru/object/15625","ссылка")</f>
        <v/>
      </c>
      <c r="R83" t="inlineStr">
        <is>
          <t>Совпало</t>
        </is>
      </c>
      <c r="S83" t="n">
        <v>1</v>
      </c>
      <c r="T83" t="inlineStr">
        <is>
          <t>На сайте sale 108 м² 17 813 400 =HYPERLINK("https://app.worldcafe.ru/object/15625","ссылка")</t>
        </is>
      </c>
      <c r="U83" t="n">
        <v>975</v>
      </c>
      <c r="V83" t="n">
        <v>41</v>
      </c>
      <c r="W83" t="n">
        <v>15</v>
      </c>
      <c r="X83" t="n">
        <v>15296243</v>
      </c>
      <c r="Y83" t="n">
        <v>17813400</v>
      </c>
      <c r="Z83" t="n">
        <v>2517157</v>
      </c>
      <c r="AA83" t="inlineStr">
        <is>
          <t>https://knru.ru/catalog/ul-vosstanovleniya-d-19-561003/</t>
        </is>
      </c>
    </row>
    <row r="84">
      <c r="A84" t="n">
        <v>786</v>
      </c>
      <c r="B84" t="n">
        <v>33</v>
      </c>
      <c r="C84" t="n">
        <v>18</v>
      </c>
      <c r="D84" t="n">
        <v>2046365849</v>
      </c>
      <c r="E84" t="inlineStr">
        <is>
          <t>Красносельский</t>
        </is>
      </c>
      <c r="F84" t="inlineStr">
        <is>
          <t>Ветеранов пр-кт, 198</t>
        </is>
      </c>
      <c r="G84" t="n">
        <v>54.3</v>
      </c>
      <c r="H84" t="inlineStr">
        <is>
          <t>14 211 668</t>
        </is>
      </c>
      <c r="I84" t="inlineStr">
        <is>
          <t>16 500 000</t>
        </is>
      </c>
      <c r="J84" t="inlineStr">
        <is>
          <t>У нас дороже на 2 288 332 (16.1%)</t>
        </is>
      </c>
      <c r="K84" t="inlineStr">
        <is>
          <t>2 288 332</t>
        </is>
      </c>
      <c r="L84" t="inlineStr">
        <is>
          <t>16.1%</t>
        </is>
      </c>
      <c r="M84" t="inlineStr">
        <is>
          <t>sale_only</t>
        </is>
      </c>
      <c r="N84" t="inlineStr">
        <is>
          <t>no</t>
        </is>
      </c>
      <c r="O84" t="inlineStr">
        <is>
          <t>none</t>
        </is>
      </c>
      <c r="P84">
        <f>HYPERLINK("https://knru.ru/catalog/pr-veteranov-d-198-2046365849/","ссылка")</f>
        <v/>
      </c>
      <c r="Q84">
        <f>HYPERLINK("https://app.worldcafe.ru/object/18003","ссылка")</f>
        <v/>
      </c>
      <c r="R84" t="inlineStr">
        <is>
          <t>По адресу есть, но площадь другая</t>
        </is>
      </c>
      <c r="S84" t="n">
        <v>2</v>
      </c>
      <c r="T84" t="inlineStr">
        <is>
          <t>На сайте rent 25 м² 90 000 =HYPERLINK("https://app.worldcafe.ru/object/18003","ссылка") | На сайте sale 25 м² 16 500 000 =HYPERLINK("https://app.worldcafe.ru/object/18003","ссылка")</t>
        </is>
      </c>
      <c r="U84" t="n">
        <v>786</v>
      </c>
      <c r="V84" t="n">
        <v>33</v>
      </c>
      <c r="W84" t="n">
        <v>18</v>
      </c>
      <c r="X84" t="n">
        <v>14211668</v>
      </c>
      <c r="Y84" t="n">
        <v>16500000</v>
      </c>
      <c r="Z84" t="n">
        <v>2288332</v>
      </c>
      <c r="AA84" t="inlineStr">
        <is>
          <t>https://knru.ru/catalog/pr-veteranov-d-198-2046365849/</t>
        </is>
      </c>
    </row>
    <row r="85">
      <c r="A85" t="n">
        <v>625</v>
      </c>
      <c r="B85" t="n">
        <v>27</v>
      </c>
      <c r="C85" t="n">
        <v>1</v>
      </c>
      <c r="D85" t="n">
        <v>1408109374</v>
      </c>
      <c r="E85" t="inlineStr">
        <is>
          <t>Московский</t>
        </is>
      </c>
      <c r="F85" t="inlineStr">
        <is>
          <t>Лиговский, 19</t>
        </is>
      </c>
      <c r="G85" t="n">
        <v>92</v>
      </c>
      <c r="H85" t="inlineStr">
        <is>
          <t>50 000 000</t>
        </is>
      </c>
      <c r="I85" t="inlineStr">
        <is>
          <t>52 000 000</t>
        </is>
      </c>
      <c r="J85" t="inlineStr">
        <is>
          <t>У нас дороже на 2 000 000 (4.0%)</t>
        </is>
      </c>
      <c r="K85" t="inlineStr">
        <is>
          <t>2 000 000</t>
        </is>
      </c>
      <c r="L85" t="inlineStr">
        <is>
          <t>4.0%</t>
        </is>
      </c>
      <c r="M85" t="inlineStr">
        <is>
          <t>sale_only</t>
        </is>
      </c>
      <c r="N85" t="inlineStr">
        <is>
          <t>no</t>
        </is>
      </c>
      <c r="O85" t="inlineStr">
        <is>
          <t>none</t>
        </is>
      </c>
      <c r="P85">
        <f>HYPERLINK("https://knru.ru/catalog/ligovskiy-pr-kt-d-19-1408109374/","ссылка")</f>
        <v/>
      </c>
      <c r="Q85">
        <f>HYPERLINK("https://app.worldcafe.ru/object/18689","ссылка")</f>
        <v/>
      </c>
      <c r="R85" t="inlineStr">
        <is>
          <t>Совпало</t>
        </is>
      </c>
      <c r="S85" t="n">
        <v>3</v>
      </c>
      <c r="T85" t="inlineStr">
        <is>
          <t>Архив rent 92.4 м² 300 000 =HYPERLINK("https://app.worldcafe.ru/object/18689","ссылка") | На сайте sale 92.4 м² 52 000 000 =HYPERLINK("https://app.worldcafe.ru/object/18689","ссылка") | Архив rent 96 м² 240 000 =HYPERLINK("https://app.worldcafe.ru/object/11117","ссылка")</t>
        </is>
      </c>
      <c r="U85" t="n">
        <v>625</v>
      </c>
      <c r="V85" t="n">
        <v>27</v>
      </c>
      <c r="W85" t="n">
        <v>1</v>
      </c>
      <c r="X85" t="n">
        <v>50000000</v>
      </c>
      <c r="Y85" t="n">
        <v>52000000</v>
      </c>
      <c r="Z85" t="n">
        <v>2000000</v>
      </c>
      <c r="AA85" t="inlineStr">
        <is>
          <t>https://knru.ru/catalog/ligovskiy-pr-kt-d-19-1408109374/</t>
        </is>
      </c>
    </row>
    <row r="86">
      <c r="A86" t="n">
        <v>1277</v>
      </c>
      <c r="B86" t="n">
        <v>54</v>
      </c>
      <c r="C86" t="n">
        <v>5</v>
      </c>
      <c r="D86" t="n">
        <v>198</v>
      </c>
      <c r="E86" t="inlineStr">
        <is>
          <t>Московский</t>
        </is>
      </c>
      <c r="F86" t="inlineStr">
        <is>
          <t>Московский, 198</t>
        </is>
      </c>
      <c r="G86" t="n">
        <v>70</v>
      </c>
      <c r="H86" t="inlineStr">
        <is>
          <t>24 800 000</t>
        </is>
      </c>
      <c r="I86" t="inlineStr">
        <is>
          <t>26 790 000</t>
        </is>
      </c>
      <c r="J86" t="inlineStr">
        <is>
          <t>У нас дороже на 1 990 000 (8.0%)</t>
        </is>
      </c>
      <c r="K86" t="inlineStr">
        <is>
          <t>1 990 000</t>
        </is>
      </c>
      <c r="L86" t="inlineStr">
        <is>
          <t>8.0%</t>
        </is>
      </c>
      <c r="M86" t="inlineStr">
        <is>
          <t>sale_only</t>
        </is>
      </c>
      <c r="N86" t="inlineStr">
        <is>
          <t>no</t>
        </is>
      </c>
      <c r="O86" t="inlineStr">
        <is>
          <t>none</t>
        </is>
      </c>
      <c r="P86">
        <f>HYPERLINK("https://knru.ru/catalog/moskovskij-prospekt-d-198/","ссылка")</f>
        <v/>
      </c>
      <c r="Q86">
        <f>HYPERLINK("https://app.worldcafe.ru/object/13014","ссылка")</f>
        <v/>
      </c>
      <c r="R86" t="inlineStr">
        <is>
          <t>По адресу есть, но площадь другая</t>
        </is>
      </c>
      <c r="S86" t="n">
        <v>4</v>
      </c>
      <c r="T86" t="inlineStr">
        <is>
          <t>Архив rent 60 м² 130 000 =HYPERLINK("https://app.worldcafe.ru/object/13014","ссылка") | На сайте sale 60 м² 26 790 000 =HYPERLINK("https://app.worldcafe.ru/object/13014","ссылка") | Архив sale 281.4 м² 59 000 000 =HYPERLINK("https://app.worldcafe.ru/object/12909","ссылка") | Архив rent 380 м² 380 000 =HYPERLINK("https://app.worldcafe.ru/object/11490","ссылка")</t>
        </is>
      </c>
      <c r="U86" t="n">
        <v>1277</v>
      </c>
      <c r="V86" t="n">
        <v>54</v>
      </c>
      <c r="W86" t="n">
        <v>5</v>
      </c>
      <c r="X86" t="n">
        <v>24800000</v>
      </c>
      <c r="Y86" t="n">
        <v>26790000</v>
      </c>
      <c r="Z86" t="n">
        <v>1990000</v>
      </c>
      <c r="AA86" t="inlineStr">
        <is>
          <t>https://knru.ru/catalog/moskovskij-prospekt-d-198/</t>
        </is>
      </c>
    </row>
    <row r="87">
      <c r="A87" t="n">
        <v>145</v>
      </c>
      <c r="B87" t="n">
        <v>7</v>
      </c>
      <c r="C87" t="n">
        <v>1</v>
      </c>
      <c r="D87" t="n">
        <v>147775537</v>
      </c>
      <c r="E87" t="inlineStr"/>
      <c r="F87" t="inlineStr">
        <is>
          <t>Мира ул., д. 9/1</t>
        </is>
      </c>
      <c r="G87" t="n">
        <v>54</v>
      </c>
      <c r="H87" t="inlineStr">
        <is>
          <t>8 726 400</t>
        </is>
      </c>
      <c r="I87" t="inlineStr">
        <is>
          <t>10 684 890</t>
        </is>
      </c>
      <c r="J87" t="inlineStr">
        <is>
          <t>У нас дороже на 1 958 490 (22.4%)</t>
        </is>
      </c>
      <c r="K87" t="inlineStr">
        <is>
          <t>1 958 490</t>
        </is>
      </c>
      <c r="L87" t="inlineStr">
        <is>
          <t>22.4%</t>
        </is>
      </c>
      <c r="M87" t="inlineStr">
        <is>
          <t>sale_only</t>
        </is>
      </c>
      <c r="N87" t="inlineStr">
        <is>
          <t>yes</t>
        </is>
      </c>
      <c r="O87" t="inlineStr">
        <is>
          <t>pixel_heuristic</t>
        </is>
      </c>
      <c r="P87">
        <f>HYPERLINK("https://knru.ru/catalog/mira-ul-d-9-1-147775537/","ссылка")</f>
        <v/>
      </c>
      <c r="Q87">
        <f>HYPERLINK("https://app.worldcafe.ru/object/20169","ссылка")</f>
        <v/>
      </c>
      <c r="R87" t="inlineStr">
        <is>
          <t>По адресу есть, но площадь другая</t>
        </is>
      </c>
      <c r="S87" t="n">
        <v>3</v>
      </c>
      <c r="T87" t="inlineStr">
        <is>
          <t>Архив sale 68.3 м² 10 684 890 =HYPERLINK("https://app.worldcafe.ru/object/20169","ссылка") | Архив sale 77.9 м² 11 865 700 =HYPERLINK("https://app.worldcafe.ru/object/20168","ссылка") | Архив sale 82.1 м² 12 362 880 =HYPERLINK("https://app.worldcafe.ru/object/20166","ссылка")</t>
        </is>
      </c>
      <c r="U87" t="n">
        <v>145</v>
      </c>
      <c r="V87" t="n">
        <v>7</v>
      </c>
      <c r="W87" t="n">
        <v>1</v>
      </c>
      <c r="X87" t="n">
        <v>8726400</v>
      </c>
      <c r="Y87" t="n">
        <v>10684890</v>
      </c>
      <c r="Z87" t="n">
        <v>1958490</v>
      </c>
      <c r="AA87" t="inlineStr">
        <is>
          <t>https://knru.ru/catalog/mira-ul-d-9-1-147775537/</t>
        </is>
      </c>
    </row>
    <row r="88">
      <c r="A88" t="n">
        <v>972</v>
      </c>
      <c r="B88" t="n">
        <v>41</v>
      </c>
      <c r="C88" t="n">
        <v>12</v>
      </c>
      <c r="D88" t="n">
        <v>561005</v>
      </c>
      <c r="E88" t="inlineStr">
        <is>
          <t>Красносельский</t>
        </is>
      </c>
      <c r="F88" t="inlineStr">
        <is>
          <t>Восстановления ул, 19</t>
        </is>
      </c>
      <c r="G88" t="n">
        <v>162.8</v>
      </c>
      <c r="H88" t="inlineStr">
        <is>
          <t>20 348 750</t>
        </is>
      </c>
      <c r="I88" t="inlineStr">
        <is>
          <t>22 060 350</t>
        </is>
      </c>
      <c r="J88" t="inlineStr">
        <is>
          <t>У нас дороже на 1 711 600 (8.4%)</t>
        </is>
      </c>
      <c r="K88" t="inlineStr">
        <is>
          <t>1 711 600</t>
        </is>
      </c>
      <c r="L88" t="inlineStr">
        <is>
          <t>8.4%</t>
        </is>
      </c>
      <c r="M88" t="inlineStr">
        <is>
          <t>sale_only</t>
        </is>
      </c>
      <c r="N88" t="inlineStr">
        <is>
          <t>no</t>
        </is>
      </c>
      <c r="O88" t="inlineStr">
        <is>
          <t>none</t>
        </is>
      </c>
      <c r="P88">
        <f>HYPERLINK("https://knru.ru/catalog/ul-vosstanovleniya-d-19-561005/","ссылка")</f>
        <v/>
      </c>
      <c r="Q88">
        <f>HYPERLINK("https://app.worldcafe.ru/object/15626","ссылка")</f>
        <v/>
      </c>
      <c r="R88" t="inlineStr">
        <is>
          <t>Совпало</t>
        </is>
      </c>
      <c r="S88" t="n">
        <v>1</v>
      </c>
      <c r="T88" t="inlineStr">
        <is>
          <t>На сайте sale 163.4 м² 22 060 350 =HYPERLINK("https://app.worldcafe.ru/object/15626","ссылка")</t>
        </is>
      </c>
      <c r="U88" t="n">
        <v>972</v>
      </c>
      <c r="V88" t="n">
        <v>41</v>
      </c>
      <c r="W88" t="n">
        <v>12</v>
      </c>
      <c r="X88" t="n">
        <v>20348750</v>
      </c>
      <c r="Y88" t="n">
        <v>22060350</v>
      </c>
      <c r="Z88" t="n">
        <v>1711600</v>
      </c>
      <c r="AA88" t="inlineStr">
        <is>
          <t>https://knru.ru/catalog/ul-vosstanovleniya-d-19-561005/</t>
        </is>
      </c>
    </row>
    <row r="89">
      <c r="A89" t="n">
        <v>971</v>
      </c>
      <c r="B89" t="n">
        <v>41</v>
      </c>
      <c r="C89" t="n">
        <v>11</v>
      </c>
      <c r="D89" t="n">
        <v>561006</v>
      </c>
      <c r="E89" t="inlineStr">
        <is>
          <t>Красносельский</t>
        </is>
      </c>
      <c r="F89" t="inlineStr">
        <is>
          <t>Восстановления ул, 19</t>
        </is>
      </c>
      <c r="G89" t="n">
        <v>123</v>
      </c>
      <c r="H89" t="inlineStr">
        <is>
          <t>16 605 000</t>
        </is>
      </c>
      <c r="I89" t="inlineStr">
        <is>
          <t>17 813 400</t>
        </is>
      </c>
      <c r="J89" t="inlineStr">
        <is>
          <t>У нас дороже на 1 208 400 (7.3%)</t>
        </is>
      </c>
      <c r="K89" t="inlineStr">
        <is>
          <t>1 208 400</t>
        </is>
      </c>
      <c r="L89" t="inlineStr">
        <is>
          <t>7.3%</t>
        </is>
      </c>
      <c r="M89" t="inlineStr">
        <is>
          <t>sale_only</t>
        </is>
      </c>
      <c r="N89" t="inlineStr">
        <is>
          <t>no</t>
        </is>
      </c>
      <c r="O89" t="inlineStr">
        <is>
          <t>none</t>
        </is>
      </c>
      <c r="P89">
        <f>HYPERLINK("https://knru.ru/catalog/ul-vosstanovleniya-d-19-561006/","ссылка")</f>
        <v/>
      </c>
      <c r="Q89">
        <f>HYPERLINK("https://app.worldcafe.ru/object/15625","ссылка")</f>
        <v/>
      </c>
      <c r="R89" t="inlineStr">
        <is>
          <t>По адресу есть, но площадь другая</t>
        </is>
      </c>
      <c r="S89" t="n">
        <v>2</v>
      </c>
      <c r="T89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89" t="n">
        <v>971</v>
      </c>
      <c r="V89" t="n">
        <v>41</v>
      </c>
      <c r="W89" t="n">
        <v>11</v>
      </c>
      <c r="X89" t="n">
        <v>16605000</v>
      </c>
      <c r="Y89" t="n">
        <v>17813400</v>
      </c>
      <c r="Z89" t="n">
        <v>1208400</v>
      </c>
      <c r="AA89" t="inlineStr">
        <is>
          <t>https://knru.ru/catalog/ul-vosstanovleniya-d-19-561006/</t>
        </is>
      </c>
    </row>
    <row r="90">
      <c r="A90" t="n">
        <v>1189</v>
      </c>
      <c r="B90" t="n">
        <v>50</v>
      </c>
      <c r="C90" t="n">
        <v>13</v>
      </c>
      <c r="D90" t="n">
        <v>20</v>
      </c>
      <c r="E90" t="inlineStr"/>
      <c r="F90" t="inlineStr">
        <is>
          <t>Ольгинская дорога, 3/20</t>
        </is>
      </c>
      <c r="G90" t="n">
        <v>62.8</v>
      </c>
      <c r="H90" t="inlineStr">
        <is>
          <t>13 838 000</t>
        </is>
      </c>
      <c r="I90" t="inlineStr">
        <is>
          <t>14 762 000</t>
        </is>
      </c>
      <c r="J90" t="inlineStr">
        <is>
          <t>У нас дороже на 924 000 (6.7%)</t>
        </is>
      </c>
      <c r="K90" t="inlineStr">
        <is>
          <t>924 000</t>
        </is>
      </c>
      <c r="L90" t="inlineStr">
        <is>
          <t>6.7%</t>
        </is>
      </c>
      <c r="M90" t="inlineStr">
        <is>
          <t>sale_only</t>
        </is>
      </c>
      <c r="N90" t="inlineStr">
        <is>
          <t>no</t>
        </is>
      </c>
      <c r="O90" t="inlineStr">
        <is>
          <t>none</t>
        </is>
      </c>
      <c r="P90">
        <f>HYPERLINK("https://knru.ru/catalog/olginskaya-doroga-d-3-k-20/","ссылка")</f>
        <v/>
      </c>
      <c r="Q90">
        <f>HYPERLINK("https://app.worldcafe.ru/object/20187","ссылка")</f>
        <v/>
      </c>
      <c r="R90" t="inlineStr">
        <is>
          <t>По адресу есть, но площадь другая</t>
        </is>
      </c>
      <c r="S90" t="n">
        <v>2</v>
      </c>
      <c r="T90" t="inlineStr">
        <is>
          <t>На сайте sale 68 м² 14 762 000 =HYPERLINK("https://app.worldcafe.ru/object/20187","ссылка") | На сайте sale 128 м² 28 182 000 =HYPERLINK("https://app.worldcafe.ru/object/20186","ссылка")</t>
        </is>
      </c>
      <c r="U90" t="n">
        <v>1189</v>
      </c>
      <c r="V90" t="n">
        <v>50</v>
      </c>
      <c r="W90" t="n">
        <v>13</v>
      </c>
      <c r="X90" t="n">
        <v>13838000</v>
      </c>
      <c r="Y90" t="n">
        <v>14762000</v>
      </c>
      <c r="Z90" t="n">
        <v>924000</v>
      </c>
      <c r="AA90" t="inlineStr">
        <is>
          <t>https://knru.ru/catalog/olginskaya-doroga-d-3-k-20/</t>
        </is>
      </c>
    </row>
    <row r="91">
      <c r="A91" t="n">
        <v>868</v>
      </c>
      <c r="B91" t="n">
        <v>37</v>
      </c>
      <c r="C91" t="n">
        <v>4</v>
      </c>
      <c r="D91" t="n">
        <v>70</v>
      </c>
      <c r="E91" t="inlineStr">
        <is>
          <t>Красносельский</t>
        </is>
      </c>
      <c r="F91" t="inlineStr">
        <is>
          <t>Маршала Казакова, 70</t>
        </is>
      </c>
      <c r="G91" t="n">
        <v>162</v>
      </c>
      <c r="H91" t="inlineStr">
        <is>
          <t>32 500 000</t>
        </is>
      </c>
      <c r="I91" t="inlineStr">
        <is>
          <t>33 000 000</t>
        </is>
      </c>
      <c r="J91" t="inlineStr">
        <is>
          <t>У нас дороже на 500 000 (1.5%)</t>
        </is>
      </c>
      <c r="K91" t="inlineStr">
        <is>
          <t>500 000</t>
        </is>
      </c>
      <c r="L91" t="inlineStr">
        <is>
          <t>1.5%</t>
        </is>
      </c>
      <c r="M91" t="inlineStr">
        <is>
          <t>sale_only</t>
        </is>
      </c>
      <c r="N91" t="inlineStr">
        <is>
          <t>no</t>
        </is>
      </c>
      <c r="O91" t="inlineStr">
        <is>
          <t>none</t>
        </is>
      </c>
      <c r="P91">
        <f>HYPERLINK("https://knru.ru/catalog/marshala-kazakova-ul-d-70/","ссылка")</f>
        <v/>
      </c>
      <c r="Q91">
        <f>HYPERLINK("https://app.worldcafe.ru/object/13689","ссылка")</f>
        <v/>
      </c>
      <c r="R91" t="inlineStr">
        <is>
          <t>Совпало</t>
        </is>
      </c>
      <c r="S91" t="n">
        <v>1</v>
      </c>
      <c r="T91" t="inlineStr">
        <is>
          <t>Архив sale 163 м² 33 000 000 =HYPERLINK("https://app.worldcafe.ru/object/13689","ссылка")</t>
        </is>
      </c>
      <c r="U91" t="n">
        <v>868</v>
      </c>
      <c r="V91" t="n">
        <v>37</v>
      </c>
      <c r="W91" t="n">
        <v>4</v>
      </c>
      <c r="X91" t="n">
        <v>32500000</v>
      </c>
      <c r="Y91" t="n">
        <v>33000000</v>
      </c>
      <c r="Z91" t="n">
        <v>500000</v>
      </c>
      <c r="AA91" t="inlineStr">
        <is>
          <t>https://knru.ru/catalog/marshala-kazakova-ul-d-70/</t>
        </is>
      </c>
    </row>
    <row r="92">
      <c r="A92" t="n">
        <v>40</v>
      </c>
      <c r="B92" t="n">
        <v>2</v>
      </c>
      <c r="C92" t="n">
        <v>16</v>
      </c>
      <c r="D92" t="n">
        <v>59</v>
      </c>
      <c r="E92" t="inlineStr">
        <is>
          <t>Адмиралтейский</t>
        </is>
      </c>
      <c r="F92" t="inlineStr">
        <is>
          <t>Канала Грибоедова наб, 59</t>
        </is>
      </c>
      <c r="G92" t="n">
        <v>80</v>
      </c>
      <c r="H92" t="inlineStr">
        <is>
          <t>2 500 000</t>
        </is>
      </c>
      <c r="I92" t="inlineStr">
        <is>
          <t>2 990 000</t>
        </is>
      </c>
      <c r="J92" t="inlineStr">
        <is>
          <t>У нас дороже на 490 000 (19.6%)</t>
        </is>
      </c>
      <c r="K92" t="inlineStr">
        <is>
          <t>490 000</t>
        </is>
      </c>
      <c r="L92" t="inlineStr">
        <is>
          <t>19.6%</t>
        </is>
      </c>
      <c r="M92" t="inlineStr">
        <is>
          <t>any_type</t>
        </is>
      </c>
      <c r="N92" t="inlineStr">
        <is>
          <t>no</t>
        </is>
      </c>
      <c r="O92" t="inlineStr">
        <is>
          <t>none</t>
        </is>
      </c>
      <c r="P92">
        <f>HYPERLINK("https://knru.ru/catalog/kanala-griboedova-nab-59/","ссылка")</f>
        <v/>
      </c>
      <c r="Q92">
        <f>HYPERLINK("https://app.worldcafe.ru/object/14694","ссылка")</f>
        <v/>
      </c>
      <c r="R92" t="inlineStr">
        <is>
          <t>По адресу есть, но площадь другая</t>
        </is>
      </c>
      <c r="S92" t="n">
        <v>1</v>
      </c>
      <c r="T92" t="inlineStr">
        <is>
          <t>Архив business_sale 86.2 м² 2 990 000 =HYPERLINK("https://app.worldcafe.ru/object/14694","ссылка")</t>
        </is>
      </c>
      <c r="U92" t="n">
        <v>40</v>
      </c>
      <c r="V92" t="n">
        <v>2</v>
      </c>
      <c r="W92" t="n">
        <v>16</v>
      </c>
      <c r="X92" t="n">
        <v>2500000</v>
      </c>
      <c r="Y92" t="n">
        <v>2990000</v>
      </c>
      <c r="Z92" t="n">
        <v>490000</v>
      </c>
      <c r="AA92" t="inlineStr">
        <is>
          <t>https://knru.ru/catalog/kanala-griboedova-nab-59/</t>
        </is>
      </c>
    </row>
    <row r="93">
      <c r="A93" t="n">
        <v>142</v>
      </c>
      <c r="B93" t="n">
        <v>6</v>
      </c>
      <c r="C93" t="n">
        <v>22</v>
      </c>
      <c r="D93" t="n">
        <v>695790508</v>
      </c>
      <c r="E93" t="inlineStr"/>
      <c r="F93" t="inlineStr">
        <is>
          <t>Мира ул., д. 9/1</t>
        </is>
      </c>
      <c r="G93" t="n">
        <v>74.90000000000001</v>
      </c>
      <c r="H93" t="inlineStr">
        <is>
          <t>11 414 760</t>
        </is>
      </c>
      <c r="I93" t="inlineStr">
        <is>
          <t>11 865 700</t>
        </is>
      </c>
      <c r="J93" t="inlineStr">
        <is>
          <t>У нас дороже на 450 940 (4.0%)</t>
        </is>
      </c>
      <c r="K93" t="inlineStr">
        <is>
          <t>450 940</t>
        </is>
      </c>
      <c r="L93" t="inlineStr">
        <is>
          <t>4.0%</t>
        </is>
      </c>
      <c r="M93" t="inlineStr">
        <is>
          <t>sale_only</t>
        </is>
      </c>
      <c r="N93" t="inlineStr">
        <is>
          <t>yes</t>
        </is>
      </c>
      <c r="O93" t="inlineStr">
        <is>
          <t>pixel_heuristic</t>
        </is>
      </c>
      <c r="P93">
        <f>HYPERLINK("https://knru.ru/catalog/mira-ul-d-9-1-695790508/","ссылка")</f>
        <v/>
      </c>
      <c r="Q93">
        <f>HYPERLINK("https://app.worldcafe.ru/object/20168","ссылка")</f>
        <v/>
      </c>
      <c r="R93" t="inlineStr">
        <is>
          <t>Совпало</t>
        </is>
      </c>
      <c r="S93" t="n">
        <v>1</v>
      </c>
      <c r="T93" t="inlineStr">
        <is>
          <t>Архив sale 77.9 м² 11 865 700 =HYPERLINK("https://app.worldcafe.ru/object/20168","ссылка")</t>
        </is>
      </c>
      <c r="U93" t="n">
        <v>142</v>
      </c>
      <c r="V93" t="n">
        <v>6</v>
      </c>
      <c r="W93" t="n">
        <v>22</v>
      </c>
      <c r="X93" t="n">
        <v>11414760</v>
      </c>
      <c r="Y93" t="n">
        <v>11865700</v>
      </c>
      <c r="Z93" t="n">
        <v>450940</v>
      </c>
      <c r="AA93" t="inlineStr">
        <is>
          <t>https://knru.ru/catalog/mira-ul-d-9-1-695790508/</t>
        </is>
      </c>
    </row>
    <row r="94">
      <c r="A94" t="n">
        <v>1182</v>
      </c>
      <c r="B94" t="n">
        <v>50</v>
      </c>
      <c r="C94" t="n">
        <v>6</v>
      </c>
      <c r="D94" t="n">
        <v>559232</v>
      </c>
      <c r="E94" t="inlineStr">
        <is>
          <t>Приморский</t>
        </is>
      </c>
      <c r="F94" t="inlineStr">
        <is>
          <t>Академика Константинова ул, 1к1</t>
        </is>
      </c>
      <c r="G94" t="n">
        <v>96</v>
      </c>
      <c r="H94" t="inlineStr">
        <is>
          <t>30 745 600</t>
        </is>
      </c>
      <c r="I94" t="inlineStr">
        <is>
          <t>30 746 000</t>
        </is>
      </c>
      <c r="J94" t="inlineStr">
        <is>
          <t>У нас дороже на 400 (0.0%)</t>
        </is>
      </c>
      <c r="K94" t="inlineStr">
        <is>
          <t>400</t>
        </is>
      </c>
      <c r="L94" t="inlineStr">
        <is>
          <t>0.0%</t>
        </is>
      </c>
      <c r="M94" t="inlineStr">
        <is>
          <t>sale_only</t>
        </is>
      </c>
      <c r="N94" t="inlineStr">
        <is>
          <t>no</t>
        </is>
      </c>
      <c r="O94" t="inlineStr">
        <is>
          <t>none</t>
        </is>
      </c>
      <c r="P94">
        <f>HYPERLINK("https://knru.ru/catalog/ul-akademika-konstantinova-559232/","ссылка")</f>
        <v/>
      </c>
      <c r="Q94">
        <f>HYPERLINK("https://app.worldcafe.ru/object/19511","ссылка")</f>
        <v/>
      </c>
      <c r="R94" t="inlineStr">
        <is>
          <t>Совпало</t>
        </is>
      </c>
      <c r="S94" t="n">
        <v>1</v>
      </c>
      <c r="T94" t="inlineStr">
        <is>
          <t>На сайте sale 96.1 м² 30 746 000 =HYPERLINK("https://app.worldcafe.ru/object/19511","ссылка")</t>
        </is>
      </c>
      <c r="U94" t="n">
        <v>1182</v>
      </c>
      <c r="V94" t="n">
        <v>50</v>
      </c>
      <c r="W94" t="n">
        <v>6</v>
      </c>
      <c r="X94" t="n">
        <v>30745600</v>
      </c>
      <c r="Y94" t="n">
        <v>30746000</v>
      </c>
      <c r="Z94" t="n">
        <v>400</v>
      </c>
      <c r="AA94" t="inlineStr">
        <is>
          <t>https://knru.ru/catalog/ul-akademika-konstantinova-559232/</t>
        </is>
      </c>
    </row>
    <row r="95">
      <c r="A95" t="n">
        <v>1183</v>
      </c>
      <c r="B95" t="n">
        <v>50</v>
      </c>
      <c r="C95" t="n">
        <v>7</v>
      </c>
      <c r="D95" t="n">
        <v>559218</v>
      </c>
      <c r="E95" t="inlineStr">
        <is>
          <t>Красногвардейский</t>
        </is>
      </c>
      <c r="F95" t="inlineStr">
        <is>
          <t>Академика Константинова ул, 1к1</t>
        </is>
      </c>
      <c r="G95" t="n">
        <v>96</v>
      </c>
      <c r="H95" t="inlineStr">
        <is>
          <t>30 745 600</t>
        </is>
      </c>
      <c r="I95" t="inlineStr">
        <is>
          <t>30 746 000</t>
        </is>
      </c>
      <c r="J95" t="inlineStr">
        <is>
          <t>У нас дороже на 400 (0.0%)</t>
        </is>
      </c>
      <c r="K95" t="inlineStr">
        <is>
          <t>400</t>
        </is>
      </c>
      <c r="L95" t="inlineStr">
        <is>
          <t>0.0%</t>
        </is>
      </c>
      <c r="M95" t="inlineStr">
        <is>
          <t>sale_only</t>
        </is>
      </c>
      <c r="N95" t="inlineStr">
        <is>
          <t>no</t>
        </is>
      </c>
      <c r="O95" t="inlineStr">
        <is>
          <t>none</t>
        </is>
      </c>
      <c r="P95">
        <f>HYPERLINK("https://knru.ru/catalog/ul-akademika-konstantinova-559218/","ссылка")</f>
        <v/>
      </c>
      <c r="Q95">
        <f>HYPERLINK("https://app.worldcafe.ru/object/19511","ссылка")</f>
        <v/>
      </c>
      <c r="R95" t="inlineStr">
        <is>
          <t>Совпало</t>
        </is>
      </c>
      <c r="S95" t="n">
        <v>1</v>
      </c>
      <c r="T95" t="inlineStr">
        <is>
          <t>На сайте sale 96.1 м² 30 746 000 =HYPERLINK("https://app.worldcafe.ru/object/19511","ссылка")</t>
        </is>
      </c>
      <c r="U95" t="n">
        <v>1183</v>
      </c>
      <c r="V95" t="n">
        <v>50</v>
      </c>
      <c r="W95" t="n">
        <v>7</v>
      </c>
      <c r="X95" t="n">
        <v>30745600</v>
      </c>
      <c r="Y95" t="n">
        <v>30746000</v>
      </c>
      <c r="Z95" t="n">
        <v>400</v>
      </c>
      <c r="AA95" t="inlineStr">
        <is>
          <t>https://knru.ru/catalog/ul-akademika-konstantinova-559218/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position_global</t>
        </is>
      </c>
      <c r="B1" t="inlineStr">
        <is>
          <t>page_num</t>
        </is>
      </c>
      <c r="C1" t="inlineStr">
        <is>
          <t>page_pos</t>
        </is>
      </c>
      <c r="D1" t="inlineStr">
        <is>
          <t>competitor_listing_id</t>
        </is>
      </c>
      <c r="E1" t="inlineStr">
        <is>
          <t>district</t>
        </is>
      </c>
      <c r="F1" t="inlineStr">
        <is>
          <t>address</t>
        </is>
      </c>
      <c r="G1" t="inlineStr">
        <is>
          <t>area_m2</t>
        </is>
      </c>
      <c r="H1" t="inlineStr">
        <is>
          <t>price_rub</t>
        </is>
      </c>
      <c r="I1" t="inlineStr">
        <is>
          <t>our_best_price_rub</t>
        </is>
      </c>
      <c r="J1" t="inlineStr">
        <is>
          <t>price_alert</t>
        </is>
      </c>
      <c r="K1" t="inlineStr">
        <is>
          <t>price_diff_rub</t>
        </is>
      </c>
      <c r="L1" t="inlineStr">
        <is>
          <t>price_diff_pct</t>
        </is>
      </c>
      <c r="M1" t="inlineStr">
        <is>
          <t>price_scope</t>
        </is>
      </c>
      <c r="N1" t="inlineStr">
        <is>
          <t>pro_mark</t>
        </is>
      </c>
      <c r="O1" t="inlineStr">
        <is>
          <t>pro_note</t>
        </is>
      </c>
      <c r="P1" t="inlineStr">
        <is>
          <t>competitor_link</t>
        </is>
      </c>
      <c r="Q1" t="inlineStr">
        <is>
          <t>our_best_link</t>
        </is>
      </c>
      <c r="R1" t="inlineStr">
        <is>
          <t>result</t>
        </is>
      </c>
      <c r="S1" t="inlineStr">
        <is>
          <t>matched_count</t>
        </is>
      </c>
      <c r="T1" t="inlineStr">
        <is>
          <t>reason</t>
        </is>
      </c>
      <c r="U1" t="inlineStr">
        <is>
          <t>position_global_num</t>
        </is>
      </c>
      <c r="V1" t="inlineStr">
        <is>
          <t>page_num_num</t>
        </is>
      </c>
      <c r="W1" t="inlineStr">
        <is>
          <t>page_pos_num</t>
        </is>
      </c>
      <c r="X1" t="inlineStr">
        <is>
          <t>competitor_price_num</t>
        </is>
      </c>
      <c r="Y1" t="inlineStr">
        <is>
          <t>our_price_num</t>
        </is>
      </c>
      <c r="Z1" t="inlineStr">
        <is>
          <t>price_diff_num</t>
        </is>
      </c>
      <c r="AA1" t="inlineStr">
        <is>
          <t>competitor_url</t>
        </is>
      </c>
    </row>
    <row r="2">
      <c r="A2" t="n">
        <v>2</v>
      </c>
      <c r="B2" t="n">
        <v>1</v>
      </c>
      <c r="C2" t="n">
        <v>2</v>
      </c>
      <c r="D2" t="inlineStr"/>
      <c r="E2" t="inlineStr">
        <is>
          <t>Красногвардейский</t>
        </is>
      </c>
      <c r="F2" t="inlineStr">
        <is>
          <t>Северный пр-кт, 115</t>
        </is>
      </c>
      <c r="G2" t="n">
        <v>91.2</v>
      </c>
      <c r="H2" t="inlineStr">
        <is>
          <t>29 900 000</t>
        </is>
      </c>
      <c r="I2" t="inlineStr">
        <is>
          <t>10 800 000</t>
        </is>
      </c>
      <c r="J2" t="inlineStr">
        <is>
          <t>У нас дешевле на 19 100 000 (63.9%)</t>
        </is>
      </c>
      <c r="K2" t="inlineStr">
        <is>
          <t>-19 100 000</t>
        </is>
      </c>
      <c r="L2" t="inlineStr">
        <is>
          <t>-63.9%</t>
        </is>
      </c>
      <c r="M2" t="inlineStr">
        <is>
          <t>sale_only</t>
        </is>
      </c>
      <c r="N2" t="inlineStr">
        <is>
          <t>no</t>
        </is>
      </c>
      <c r="O2" t="inlineStr">
        <is>
          <t>none</t>
        </is>
      </c>
      <c r="P2">
        <f>HYPERLINK("https://knru.ru/catalog/severnyy-pr-ruchi/","ссылка")</f>
        <v/>
      </c>
      <c r="Q2">
        <f>HYPERLINK("https://app.worldcafe.ru/object/18918","ссылка")</f>
        <v/>
      </c>
      <c r="R2" t="inlineStr">
        <is>
          <t>По адресу есть, но площадь другая</t>
        </is>
      </c>
      <c r="S2" t="n">
        <v>4</v>
      </c>
      <c r="T2" t="inlineStr">
        <is>
          <t>Архив rent 50 м² 90 000 =HYPERLINK("https://app.worldcafe.ru/object/18964","ссылка") | Архив sale 144 м² 31 500 000 =HYPERLINK("https://app.worldcafe.ru/object/19421","ссылка") | На сайте sale 17.9 м² 10 800 000 =HYPERLINK("https://app.worldcafe.ru/object/18918","ссылка") | Архив sale 260 м² 63 000 000 =HYPERLINK("https://app.worldcafe.ru/object/18902","ссылка")</t>
        </is>
      </c>
      <c r="U2" t="n">
        <v>2</v>
      </c>
      <c r="V2" t="n">
        <v>1</v>
      </c>
      <c r="W2" t="n">
        <v>2</v>
      </c>
      <c r="X2" t="n">
        <v>29900000</v>
      </c>
      <c r="Y2" t="n">
        <v>10800000</v>
      </c>
      <c r="Z2" t="n">
        <v>-19100000</v>
      </c>
      <c r="AA2" t="inlineStr">
        <is>
          <t>https://knru.ru/catalog/severnyy-pr-ruchi/</t>
        </is>
      </c>
    </row>
    <row r="3">
      <c r="A3" t="n">
        <v>4</v>
      </c>
      <c r="B3" t="n">
        <v>1</v>
      </c>
      <c r="C3" t="n">
        <v>4</v>
      </c>
      <c r="D3" t="n">
        <v>1</v>
      </c>
      <c r="E3" t="inlineStr">
        <is>
          <t>Выборгский</t>
        </is>
      </c>
      <c r="F3" t="inlineStr">
        <is>
          <t>Фёдора Абрамова, 18к1</t>
        </is>
      </c>
      <c r="G3" t="n">
        <v>20</v>
      </c>
      <c r="H3" t="inlineStr">
        <is>
          <t>10 450 000</t>
        </is>
      </c>
      <c r="I3" t="inlineStr">
        <is>
          <t>45 000 000</t>
        </is>
      </c>
      <c r="J3" t="inlineStr">
        <is>
          <t>У нас дороже на 34 550 000 (330.6%)</t>
        </is>
      </c>
      <c r="K3" t="inlineStr">
        <is>
          <t>34 550 000</t>
        </is>
      </c>
      <c r="L3" t="inlineStr">
        <is>
          <t>330.6%</t>
        </is>
      </c>
      <c r="M3" t="inlineStr">
        <is>
          <t>sale_only</t>
        </is>
      </c>
      <c r="N3" t="inlineStr">
        <is>
          <t>no</t>
        </is>
      </c>
      <c r="O3" t="inlineStr">
        <is>
          <t>none</t>
        </is>
      </c>
      <c r="P3">
        <f>HYPERLINK("https://knru.ru/catalog/ul-fedora-abramova-d-18-k-1/","ссылка")</f>
        <v/>
      </c>
      <c r="Q3">
        <f>HYPERLINK("https://app.worldcafe.ru/object/14858","ссылка")</f>
        <v/>
      </c>
      <c r="R3" t="inlineStr">
        <is>
          <t>По адресу есть, но площадь другая</t>
        </is>
      </c>
      <c r="S3" t="n">
        <v>1</v>
      </c>
      <c r="T3" t="inlineStr">
        <is>
          <t>Архив sale 107.3 м² 45 000 000 =HYPERLINK("https://app.worldcafe.ru/object/14858","ссылка")</t>
        </is>
      </c>
      <c r="U3" t="n">
        <v>4</v>
      </c>
      <c r="V3" t="n">
        <v>1</v>
      </c>
      <c r="W3" t="n">
        <v>4</v>
      </c>
      <c r="X3" t="n">
        <v>10450000</v>
      </c>
      <c r="Y3" t="n">
        <v>45000000</v>
      </c>
      <c r="Z3" t="n">
        <v>34550000</v>
      </c>
      <c r="AA3" t="inlineStr">
        <is>
          <t>https://knru.ru/catalog/ul-fedora-abramova-d-18-k-1/</t>
        </is>
      </c>
    </row>
    <row r="4">
      <c r="A4" t="n">
        <v>5</v>
      </c>
      <c r="B4" t="n">
        <v>1</v>
      </c>
      <c r="C4" t="n">
        <v>5</v>
      </c>
      <c r="D4" t="n">
        <v>38</v>
      </c>
      <c r="E4" t="inlineStr">
        <is>
          <t>Московский</t>
        </is>
      </c>
      <c r="F4" t="inlineStr">
        <is>
          <t>Костюшко ул, 38</t>
        </is>
      </c>
      <c r="G4" t="n">
        <v>56</v>
      </c>
      <c r="H4" t="inlineStr">
        <is>
          <t>16 900 000</t>
        </is>
      </c>
      <c r="I4" t="inlineStr">
        <is>
          <t>30 000 000</t>
        </is>
      </c>
      <c r="J4" t="inlineStr">
        <is>
          <t>У нас дороже на 13 100 000 (77.5%)</t>
        </is>
      </c>
      <c r="K4" t="inlineStr">
        <is>
          <t>13 100 000</t>
        </is>
      </c>
      <c r="L4" t="inlineStr">
        <is>
          <t>77.5%</t>
        </is>
      </c>
      <c r="M4" t="inlineStr">
        <is>
          <t>sale_only</t>
        </is>
      </c>
      <c r="N4" t="inlineStr">
        <is>
          <t>no</t>
        </is>
      </c>
      <c r="O4" t="inlineStr">
        <is>
          <t>none</t>
        </is>
      </c>
      <c r="P4">
        <f>HYPERLINK("https://knru.ru/catalog/kostyushko-ul-38/","ссылка")</f>
        <v/>
      </c>
      <c r="Q4">
        <f>HYPERLINK("https://app.worldcafe.ru/object/19797","ссылка")</f>
        <v/>
      </c>
      <c r="R4" t="inlineStr">
        <is>
          <t>По адресу есть, но площадь другая</t>
        </is>
      </c>
      <c r="S4" t="n">
        <v>1</v>
      </c>
      <c r="T4" t="inlineStr">
        <is>
          <t>На сайте sale 140 м² 30 000 000 =HYPERLINK("https://app.worldcafe.ru/object/19797","ссылка")</t>
        </is>
      </c>
      <c r="U4" t="n">
        <v>5</v>
      </c>
      <c r="V4" t="n">
        <v>1</v>
      </c>
      <c r="W4" t="n">
        <v>5</v>
      </c>
      <c r="X4" t="n">
        <v>16900000</v>
      </c>
      <c r="Y4" t="n">
        <v>30000000</v>
      </c>
      <c r="Z4" t="n">
        <v>13100000</v>
      </c>
      <c r="AA4" t="inlineStr">
        <is>
          <t>https://knru.ru/catalog/kostyushko-ul-38/</t>
        </is>
      </c>
    </row>
    <row r="5">
      <c r="A5" t="n">
        <v>13</v>
      </c>
      <c r="B5" t="n">
        <v>1</v>
      </c>
      <c r="C5" t="n">
        <v>13</v>
      </c>
      <c r="D5" t="inlineStr"/>
      <c r="E5" t="inlineStr">
        <is>
          <t>Выборгский</t>
        </is>
      </c>
      <c r="F5" t="inlineStr">
        <is>
          <t>Есенина ул, 8к1</t>
        </is>
      </c>
      <c r="G5" t="n">
        <v>27</v>
      </c>
      <c r="H5" t="inlineStr">
        <is>
          <t>10 000 000</t>
        </is>
      </c>
      <c r="I5" t="inlineStr">
        <is>
          <t>70 000</t>
        </is>
      </c>
      <c r="J5" t="inlineStr">
        <is>
          <t>У нас дешевле на 9 930 000 (99.3%)</t>
        </is>
      </c>
      <c r="K5" t="inlineStr">
        <is>
          <t>-9 930 000</t>
        </is>
      </c>
      <c r="L5" t="inlineStr">
        <is>
          <t>-99.3%</t>
        </is>
      </c>
      <c r="M5" t="inlineStr">
        <is>
          <t>any_type</t>
        </is>
      </c>
      <c r="N5" t="inlineStr">
        <is>
          <t>no</t>
        </is>
      </c>
      <c r="O5" t="inlineStr">
        <is>
          <t>none</t>
        </is>
      </c>
      <c r="P5">
        <f>HYPERLINK("https://knru.ru/catalog/esenina-ul-8k1/","ссылка")</f>
        <v/>
      </c>
      <c r="Q5">
        <f>HYPERLINK("https://app.worldcafe.ru/object/13163","ссылка")</f>
        <v/>
      </c>
      <c r="R5" t="inlineStr">
        <is>
          <t>По адресу есть, но площадь другая</t>
        </is>
      </c>
      <c r="S5" t="n">
        <v>1</v>
      </c>
      <c r="T5" t="inlineStr">
        <is>
          <t>Архив rent 35 м² 70 000 =HYPERLINK("https://app.worldcafe.ru/object/13163","ссылка")</t>
        </is>
      </c>
      <c r="U5" t="n">
        <v>13</v>
      </c>
      <c r="V5" t="n">
        <v>1</v>
      </c>
      <c r="W5" t="n">
        <v>13</v>
      </c>
      <c r="X5" t="n">
        <v>10000000</v>
      </c>
      <c r="Y5" t="n">
        <v>70000</v>
      </c>
      <c r="Z5" t="n">
        <v>-9930000</v>
      </c>
      <c r="AA5" t="inlineStr">
        <is>
          <t>https://knru.ru/catalog/esenina-ul-8k1/</t>
        </is>
      </c>
    </row>
    <row r="6">
      <c r="A6" t="n">
        <v>18</v>
      </c>
      <c r="B6" t="n">
        <v>1</v>
      </c>
      <c r="C6" t="n">
        <v>18</v>
      </c>
      <c r="D6" t="n">
        <v>20</v>
      </c>
      <c r="E6" t="inlineStr">
        <is>
          <t>Адмиралтейский</t>
        </is>
      </c>
      <c r="F6" t="inlineStr">
        <is>
          <t>Московский пр-кт, 20</t>
        </is>
      </c>
      <c r="G6" t="n">
        <v>48</v>
      </c>
      <c r="H6" t="inlineStr">
        <is>
          <t>10 500 000</t>
        </is>
      </c>
      <c r="I6" t="inlineStr">
        <is>
          <t>40 000 000</t>
        </is>
      </c>
      <c r="J6" t="inlineStr">
        <is>
          <t>У нас дороже на 29 500 000 (281.0%)</t>
        </is>
      </c>
      <c r="K6" t="inlineStr">
        <is>
          <t>29 500 000</t>
        </is>
      </c>
      <c r="L6" t="inlineStr">
        <is>
          <t>281.0%</t>
        </is>
      </c>
      <c r="M6" t="inlineStr">
        <is>
          <t>sale_only</t>
        </is>
      </c>
      <c r="N6" t="inlineStr">
        <is>
          <t>no</t>
        </is>
      </c>
      <c r="O6" t="inlineStr">
        <is>
          <t>none</t>
        </is>
      </c>
      <c r="P6">
        <f>HYPERLINK("https://knru.ru/catalog/moskovskiy-pr-d-20/","ссылка")</f>
        <v/>
      </c>
      <c r="Q6">
        <f>HYPERLINK("https://app.worldcafe.ru/object/18409","ссылка")</f>
        <v/>
      </c>
      <c r="R6" t="inlineStr">
        <is>
          <t>По адресу есть, но площадь другая</t>
        </is>
      </c>
      <c r="S6" t="n">
        <v>3</v>
      </c>
      <c r="T6" t="inlineStr">
        <is>
          <t>На сайте sale 143.7 м² 40 000 000 =HYPERLINK("https://app.worldcafe.ru/object/18409","ссылка") | Архив rent 146 м² 300 000 =HYPERLINK("https://app.worldcafe.ru/object/18875","ссылка") | На сайте business_sale 146 м² 2 599 739 =HYPERLINK("https://app.worldcafe.ru/object/18875","ссылка")</t>
        </is>
      </c>
      <c r="U6" t="n">
        <v>18</v>
      </c>
      <c r="V6" t="n">
        <v>1</v>
      </c>
      <c r="W6" t="n">
        <v>18</v>
      </c>
      <c r="X6" t="n">
        <v>10500000</v>
      </c>
      <c r="Y6" t="n">
        <v>40000000</v>
      </c>
      <c r="Z6" t="n">
        <v>29500000</v>
      </c>
      <c r="AA6" t="inlineStr">
        <is>
          <t>https://knru.ru/catalog/moskovskiy-pr-d-20/</t>
        </is>
      </c>
    </row>
    <row r="7">
      <c r="A7" t="n">
        <v>20</v>
      </c>
      <c r="B7" t="n">
        <v>1</v>
      </c>
      <c r="C7" t="n">
        <v>20</v>
      </c>
      <c r="D7" t="n">
        <v>1951564805</v>
      </c>
      <c r="E7" t="inlineStr">
        <is>
          <t>Калининский</t>
        </is>
      </c>
      <c r="F7" t="inlineStr">
        <is>
          <t>Гражданский пр-кт, 113к3</t>
        </is>
      </c>
      <c r="G7" t="n">
        <v>73.90000000000001</v>
      </c>
      <c r="H7" t="inlineStr">
        <is>
          <t>24 500 000</t>
        </is>
      </c>
      <c r="I7" t="inlineStr">
        <is>
          <t>270 000</t>
        </is>
      </c>
      <c r="J7" t="inlineStr">
        <is>
          <t>У нас дешевле на 24 230 000 (98.9%)</t>
        </is>
      </c>
      <c r="K7" t="inlineStr">
        <is>
          <t>-24 230 000</t>
        </is>
      </c>
      <c r="L7" t="inlineStr">
        <is>
          <t>-98.9%</t>
        </is>
      </c>
      <c r="M7" t="inlineStr">
        <is>
          <t>any_type</t>
        </is>
      </c>
      <c r="N7" t="inlineStr">
        <is>
          <t>no</t>
        </is>
      </c>
      <c r="O7" t="inlineStr">
        <is>
          <t>none</t>
        </is>
      </c>
      <c r="P7">
        <f>HYPERLINK("https://knru.ru/catalog/grazhdanskiy-pr-kt-113k3-1951564805/","ссылка")</f>
        <v/>
      </c>
      <c r="Q7">
        <f>HYPERLINK("https://app.worldcafe.ru/object/9119","ссылка")</f>
        <v/>
      </c>
      <c r="R7" t="inlineStr">
        <is>
          <t>По адресу есть, но площадь другая</t>
        </is>
      </c>
      <c r="S7" t="n">
        <v>1</v>
      </c>
      <c r="T7" t="inlineStr">
        <is>
          <t>Архив rent 206 м² 270 000 =HYPERLINK("https://app.worldcafe.ru/object/9119","ссылка")</t>
        </is>
      </c>
      <c r="U7" t="n">
        <v>20</v>
      </c>
      <c r="V7" t="n">
        <v>1</v>
      </c>
      <c r="W7" t="n">
        <v>20</v>
      </c>
      <c r="X7" t="n">
        <v>24500000</v>
      </c>
      <c r="Y7" t="n">
        <v>270000</v>
      </c>
      <c r="Z7" t="n">
        <v>-24230000</v>
      </c>
      <c r="AA7" t="inlineStr">
        <is>
          <t>https://knru.ru/catalog/grazhdanskiy-pr-kt-113k3-1951564805/</t>
        </is>
      </c>
    </row>
    <row r="8">
      <c r="A8" t="n">
        <v>21</v>
      </c>
      <c r="B8" t="n">
        <v>1</v>
      </c>
      <c r="C8" t="n">
        <v>21</v>
      </c>
      <c r="D8" t="n">
        <v>1322926956</v>
      </c>
      <c r="E8" t="inlineStr">
        <is>
          <t>Калининский</t>
        </is>
      </c>
      <c r="F8" t="inlineStr">
        <is>
          <t>Гражданский пр-кт, 113к3</t>
        </is>
      </c>
      <c r="G8" t="n">
        <v>48.4</v>
      </c>
      <c r="H8" t="inlineStr">
        <is>
          <t>15 400 000</t>
        </is>
      </c>
      <c r="I8" t="inlineStr">
        <is>
          <t>270 000</t>
        </is>
      </c>
      <c r="J8" t="inlineStr">
        <is>
          <t>У нас дешевле на 15 130 000 (98.2%)</t>
        </is>
      </c>
      <c r="K8" t="inlineStr">
        <is>
          <t>-15 130 000</t>
        </is>
      </c>
      <c r="L8" t="inlineStr">
        <is>
          <t>-98.2%</t>
        </is>
      </c>
      <c r="M8" t="inlineStr">
        <is>
          <t>any_type</t>
        </is>
      </c>
      <c r="N8" t="inlineStr">
        <is>
          <t>no</t>
        </is>
      </c>
      <c r="O8" t="inlineStr">
        <is>
          <t>none</t>
        </is>
      </c>
      <c r="P8">
        <f>HYPERLINK("https://knru.ru/catalog/grazhdanskiy-pr-kt-113k3-1322926956/","ссылка")</f>
        <v/>
      </c>
      <c r="Q8">
        <f>HYPERLINK("https://app.worldcafe.ru/object/9119","ссылка")</f>
        <v/>
      </c>
      <c r="R8" t="inlineStr">
        <is>
          <t>По адресу есть, но площадь другая</t>
        </is>
      </c>
      <c r="S8" t="n">
        <v>1</v>
      </c>
      <c r="T8" t="inlineStr">
        <is>
          <t>Архив rent 206 м² 270 000 =HYPERLINK("https://app.worldcafe.ru/object/9119","ссылка")</t>
        </is>
      </c>
      <c r="U8" t="n">
        <v>21</v>
      </c>
      <c r="V8" t="n">
        <v>1</v>
      </c>
      <c r="W8" t="n">
        <v>21</v>
      </c>
      <c r="X8" t="n">
        <v>15400000</v>
      </c>
      <c r="Y8" t="n">
        <v>270000</v>
      </c>
      <c r="Z8" t="n">
        <v>-15130000</v>
      </c>
      <c r="AA8" t="inlineStr">
        <is>
          <t>https://knru.ru/catalog/grazhdanskiy-pr-kt-113k3-1322926956/</t>
        </is>
      </c>
    </row>
    <row r="9">
      <c r="A9" t="n">
        <v>22</v>
      </c>
      <c r="B9" t="n">
        <v>1</v>
      </c>
      <c r="C9" t="n">
        <v>22</v>
      </c>
      <c r="D9" t="n">
        <v>1720420455</v>
      </c>
      <c r="E9" t="inlineStr">
        <is>
          <t>Калининский</t>
        </is>
      </c>
      <c r="F9" t="inlineStr">
        <is>
          <t>Гражданский пр-кт, 113к3</t>
        </is>
      </c>
      <c r="G9" t="n">
        <v>24</v>
      </c>
      <c r="H9" t="inlineStr">
        <is>
          <t>10 300 000</t>
        </is>
      </c>
      <c r="I9" t="inlineStr">
        <is>
          <t>270 000</t>
        </is>
      </c>
      <c r="J9" t="inlineStr">
        <is>
          <t>У нас дешевле на 10 030 000 (97.4%)</t>
        </is>
      </c>
      <c r="K9" t="inlineStr">
        <is>
          <t>-10 030 000</t>
        </is>
      </c>
      <c r="L9" t="inlineStr">
        <is>
          <t>-97.4%</t>
        </is>
      </c>
      <c r="M9" t="inlineStr">
        <is>
          <t>any_type</t>
        </is>
      </c>
      <c r="N9" t="inlineStr">
        <is>
          <t>no</t>
        </is>
      </c>
      <c r="O9" t="inlineStr">
        <is>
          <t>none</t>
        </is>
      </c>
      <c r="P9">
        <f>HYPERLINK("https://knru.ru/catalog/grazhdanskiy-pr-kt-113k3-1720420455/","ссылка")</f>
        <v/>
      </c>
      <c r="Q9">
        <f>HYPERLINK("https://app.worldcafe.ru/object/9119","ссылка")</f>
        <v/>
      </c>
      <c r="R9" t="inlineStr">
        <is>
          <t>По адресу есть, но площадь другая</t>
        </is>
      </c>
      <c r="S9" t="n">
        <v>1</v>
      </c>
      <c r="T9" t="inlineStr">
        <is>
          <t>Архив rent 206 м² 270 000 =HYPERLINK("https://app.worldcafe.ru/object/9119","ссылка")</t>
        </is>
      </c>
      <c r="U9" t="n">
        <v>22</v>
      </c>
      <c r="V9" t="n">
        <v>1</v>
      </c>
      <c r="W9" t="n">
        <v>22</v>
      </c>
      <c r="X9" t="n">
        <v>10300000</v>
      </c>
      <c r="Y9" t="n">
        <v>270000</v>
      </c>
      <c r="Z9" t="n">
        <v>-10030000</v>
      </c>
      <c r="AA9" t="inlineStr">
        <is>
          <t>https://knru.ru/catalog/grazhdanskiy-pr-kt-113k3-1720420455/</t>
        </is>
      </c>
    </row>
    <row r="10">
      <c r="A10" t="n">
        <v>23</v>
      </c>
      <c r="B10" t="n">
        <v>1</v>
      </c>
      <c r="C10" t="n">
        <v>23</v>
      </c>
      <c r="D10" t="inlineStr"/>
      <c r="E10" t="inlineStr">
        <is>
          <t>Калининский</t>
        </is>
      </c>
      <c r="F10" t="inlineStr">
        <is>
          <t>Гражданский пр-кт, 113к3</t>
        </is>
      </c>
      <c r="G10" t="n">
        <v>25.5</v>
      </c>
      <c r="H10" t="inlineStr">
        <is>
          <t>10 300 000</t>
        </is>
      </c>
      <c r="I10" t="inlineStr">
        <is>
          <t>270 000</t>
        </is>
      </c>
      <c r="J10" t="inlineStr">
        <is>
          <t>У нас дешевле на 10 030 000 (97.4%)</t>
        </is>
      </c>
      <c r="K10" t="inlineStr">
        <is>
          <t>-10 030 000</t>
        </is>
      </c>
      <c r="L10" t="inlineStr">
        <is>
          <t>-97.4%</t>
        </is>
      </c>
      <c r="M10" t="inlineStr">
        <is>
          <t>any_type</t>
        </is>
      </c>
      <c r="N10" t="inlineStr">
        <is>
          <t>no</t>
        </is>
      </c>
      <c r="O10" t="inlineStr">
        <is>
          <t>none</t>
        </is>
      </c>
      <c r="P10">
        <f>HYPERLINK("https://knru.ru/catalog/grazhdanskiy-pr-kt-113k3/","ссылка")</f>
        <v/>
      </c>
      <c r="Q10">
        <f>HYPERLINK("https://app.worldcafe.ru/object/9119","ссылка")</f>
        <v/>
      </c>
      <c r="R10" t="inlineStr">
        <is>
          <t>По адресу есть, но площадь другая</t>
        </is>
      </c>
      <c r="S10" t="n">
        <v>1</v>
      </c>
      <c r="T10" t="inlineStr">
        <is>
          <t>Архив rent 206 м² 270 000 =HYPERLINK("https://app.worldcafe.ru/object/9119","ссылка")</t>
        </is>
      </c>
      <c r="U10" t="n">
        <v>23</v>
      </c>
      <c r="V10" t="n">
        <v>1</v>
      </c>
      <c r="W10" t="n">
        <v>23</v>
      </c>
      <c r="X10" t="n">
        <v>10300000</v>
      </c>
      <c r="Y10" t="n">
        <v>270000</v>
      </c>
      <c r="Z10" t="n">
        <v>-10030000</v>
      </c>
      <c r="AA10" t="inlineStr">
        <is>
          <t>https://knru.ru/catalog/grazhdanskiy-pr-kt-113k3/</t>
        </is>
      </c>
    </row>
    <row r="11">
      <c r="A11" t="n">
        <v>29</v>
      </c>
      <c r="B11" t="n">
        <v>2</v>
      </c>
      <c r="C11" t="n">
        <v>5</v>
      </c>
      <c r="D11" t="n">
        <v>1597765995</v>
      </c>
      <c r="E11" t="inlineStr">
        <is>
          <t>Приморский</t>
        </is>
      </c>
      <c r="F11" t="inlineStr">
        <is>
          <t>Комендантский пр-кт, 28к1</t>
        </is>
      </c>
      <c r="G11" t="n">
        <v>653</v>
      </c>
      <c r="H11" t="inlineStr">
        <is>
          <t>70 000 000</t>
        </is>
      </c>
      <c r="I11" t="inlineStr">
        <is>
          <t>200 000</t>
        </is>
      </c>
      <c r="J11" t="inlineStr">
        <is>
          <t>У нас дешевле на 69 800 000 (99.7%)</t>
        </is>
      </c>
      <c r="K11" t="inlineStr">
        <is>
          <t>-69 800 000</t>
        </is>
      </c>
      <c r="L11" t="inlineStr">
        <is>
          <t>-99.7%</t>
        </is>
      </c>
      <c r="M11" t="inlineStr">
        <is>
          <t>any_type</t>
        </is>
      </c>
      <c r="N11" t="inlineStr">
        <is>
          <t>no</t>
        </is>
      </c>
      <c r="O11" t="inlineStr">
        <is>
          <t>none</t>
        </is>
      </c>
      <c r="P11">
        <f>HYPERLINK("https://knru.ru/catalog/komendantskiy-pr-kt-28k1-1597765995/","ссылка")</f>
        <v/>
      </c>
      <c r="Q11">
        <f>HYPERLINK("https://app.worldcafe.ru/object/7957","ссылка")</f>
        <v/>
      </c>
      <c r="R11" t="inlineStr">
        <is>
          <t>По адресу есть, но площадь другая</t>
        </is>
      </c>
      <c r="S11" t="n">
        <v>1</v>
      </c>
      <c r="T11" t="inlineStr">
        <is>
          <t>Архив rent 310 м² 200 000 =HYPERLINK("https://app.worldcafe.ru/object/7957","ссылка")</t>
        </is>
      </c>
      <c r="U11" t="n">
        <v>29</v>
      </c>
      <c r="V11" t="n">
        <v>2</v>
      </c>
      <c r="W11" t="n">
        <v>5</v>
      </c>
      <c r="X11" t="n">
        <v>70000000</v>
      </c>
      <c r="Y11" t="n">
        <v>200000</v>
      </c>
      <c r="Z11" t="n">
        <v>-69800000</v>
      </c>
      <c r="AA11" t="inlineStr">
        <is>
          <t>https://knru.ru/catalog/komendantskiy-pr-kt-28k1-1597765995/</t>
        </is>
      </c>
    </row>
    <row r="12">
      <c r="A12" t="n">
        <v>31</v>
      </c>
      <c r="B12" t="n">
        <v>2</v>
      </c>
      <c r="C12" t="n">
        <v>7</v>
      </c>
      <c r="D12" t="n">
        <v>107</v>
      </c>
      <c r="E12" t="inlineStr">
        <is>
          <t>Московский</t>
        </is>
      </c>
      <c r="F12" t="inlineStr">
        <is>
          <t>Московский пр-кт, 105-107</t>
        </is>
      </c>
      <c r="G12" t="n">
        <v>856</v>
      </c>
      <c r="H12" t="inlineStr">
        <is>
          <t>200 000 000</t>
        </is>
      </c>
      <c r="I12" t="inlineStr">
        <is>
          <t>500 000</t>
        </is>
      </c>
      <c r="J12" t="inlineStr">
        <is>
          <t>У нас дешевле на 199 500 000 (99.8%)</t>
        </is>
      </c>
      <c r="K12" t="inlineStr">
        <is>
          <t>-199 500 000</t>
        </is>
      </c>
      <c r="L12" t="inlineStr">
        <is>
          <t>-99.8%</t>
        </is>
      </c>
      <c r="M12" t="inlineStr">
        <is>
          <t>any_type</t>
        </is>
      </c>
      <c r="N12" t="inlineStr">
        <is>
          <t>no</t>
        </is>
      </c>
      <c r="O12" t="inlineStr">
        <is>
          <t>none</t>
        </is>
      </c>
      <c r="P12">
        <f>HYPERLINK("https://knru.ru/catalog/moskovskiy-pr-kt-105-107/","ссылка")</f>
        <v/>
      </c>
      <c r="Q12">
        <f>HYPERLINK("https://app.worldcafe.ru/object/8407","ссылка")</f>
        <v/>
      </c>
      <c r="R12" t="inlineStr">
        <is>
          <t>По адресу есть, но площадь другая</t>
        </is>
      </c>
      <c r="S12" t="n">
        <v>3</v>
      </c>
      <c r="T12" t="inlineStr">
        <is>
          <t>Архив rent 467 м² 990 000 =HYPERLINK("https://app.worldcafe.ru/object/19038","ссылка") | Архив rent 168 м² 1 512 000 =HYPERLINK("https://app.worldcafe.ru/object/13524","ссылка") | Архив business_sale 82 м² 500 000 =HYPERLINK("https://app.worldcafe.ru/object/8407","ссылка")</t>
        </is>
      </c>
      <c r="U12" t="n">
        <v>31</v>
      </c>
      <c r="V12" t="n">
        <v>2</v>
      </c>
      <c r="W12" t="n">
        <v>7</v>
      </c>
      <c r="X12" t="n">
        <v>200000000</v>
      </c>
      <c r="Y12" t="n">
        <v>500000</v>
      </c>
      <c r="Z12" t="n">
        <v>-199500000</v>
      </c>
      <c r="AA12" t="inlineStr">
        <is>
          <t>https://knru.ru/catalog/moskovskiy-pr-kt-105-107/</t>
        </is>
      </c>
    </row>
    <row r="13">
      <c r="A13" t="n">
        <v>32</v>
      </c>
      <c r="B13" t="n">
        <v>2</v>
      </c>
      <c r="C13" t="n">
        <v>8</v>
      </c>
      <c r="D13" t="n">
        <v>1919600280</v>
      </c>
      <c r="E13" t="inlineStr">
        <is>
          <t>Петроградский</t>
        </is>
      </c>
      <c r="F13" t="inlineStr">
        <is>
          <t>Гатчинская ул, 31-33</t>
        </is>
      </c>
      <c r="G13" t="n">
        <v>160</v>
      </c>
      <c r="H13" t="inlineStr">
        <is>
          <t>75 000 000</t>
        </is>
      </c>
      <c r="I13" t="inlineStr">
        <is>
          <t>170 000</t>
        </is>
      </c>
      <c r="J13" t="inlineStr">
        <is>
          <t>У нас дешевле на 74 830 000 (99.8%)</t>
        </is>
      </c>
      <c r="K13" t="inlineStr">
        <is>
          <t>-74 830 000</t>
        </is>
      </c>
      <c r="L13" t="inlineStr">
        <is>
          <t>-99.8%</t>
        </is>
      </c>
      <c r="M13" t="inlineStr">
        <is>
          <t>any_type</t>
        </is>
      </c>
      <c r="N13" t="inlineStr">
        <is>
          <t>no</t>
        </is>
      </c>
      <c r="O13" t="inlineStr">
        <is>
          <t>none</t>
        </is>
      </c>
      <c r="P13">
        <f>HYPERLINK("https://knru.ru/catalog/gatchinskaya-ul-d-31-33-1919600280/","ссылка")</f>
        <v/>
      </c>
      <c r="Q13">
        <f>HYPERLINK("https://app.worldcafe.ru/object/13996","ссылка")</f>
        <v/>
      </c>
      <c r="R13" t="inlineStr">
        <is>
          <t>По адресу есть, но площадь другая</t>
        </is>
      </c>
      <c r="S13" t="n">
        <v>2</v>
      </c>
      <c r="T13" t="inlineStr">
        <is>
          <t>Архив rent 99.2 м² 170 000 =HYPERLINK("https://app.worldcafe.ru/object/13996","ссылка") | Архив rent 254 м² 470 000 =HYPERLINK("https://app.worldcafe.ru/object/18381","ссылка")</t>
        </is>
      </c>
      <c r="U13" t="n">
        <v>32</v>
      </c>
      <c r="V13" t="n">
        <v>2</v>
      </c>
      <c r="W13" t="n">
        <v>8</v>
      </c>
      <c r="X13" t="n">
        <v>75000000</v>
      </c>
      <c r="Y13" t="n">
        <v>170000</v>
      </c>
      <c r="Z13" t="n">
        <v>-74830000</v>
      </c>
      <c r="AA13" t="inlineStr">
        <is>
          <t>https://knru.ru/catalog/gatchinskaya-ul-d-31-33-1919600280/</t>
        </is>
      </c>
    </row>
    <row r="14">
      <c r="A14" t="n">
        <v>34</v>
      </c>
      <c r="B14" t="n">
        <v>2</v>
      </c>
      <c r="C14" t="n">
        <v>10</v>
      </c>
      <c r="D14" t="n">
        <v>8</v>
      </c>
      <c r="E14" t="inlineStr">
        <is>
          <t>Адмиралтейский</t>
        </is>
      </c>
      <c r="F14" t="inlineStr">
        <is>
          <t>Верейская ул, 8</t>
        </is>
      </c>
      <c r="G14" t="n">
        <v>57.7</v>
      </c>
      <c r="H14" t="inlineStr">
        <is>
          <t>12 000 000</t>
        </is>
      </c>
      <c r="I14" t="inlineStr">
        <is>
          <t>7 400 000</t>
        </is>
      </c>
      <c r="J14" t="inlineStr">
        <is>
          <t>У нас дешевле на 4 600 000 (38.3%)</t>
        </is>
      </c>
      <c r="K14" t="inlineStr">
        <is>
          <t>-4 600 000</t>
        </is>
      </c>
      <c r="L14" t="inlineStr">
        <is>
          <t>-38.3%</t>
        </is>
      </c>
      <c r="M14" t="inlineStr">
        <is>
          <t>sale_only</t>
        </is>
      </c>
      <c r="N14" t="inlineStr">
        <is>
          <t>no</t>
        </is>
      </c>
      <c r="O14" t="inlineStr">
        <is>
          <t>none</t>
        </is>
      </c>
      <c r="P14">
        <f>HYPERLINK("https://knru.ru/catalog/vereyskaya-ul-8/","ссылка")</f>
        <v/>
      </c>
      <c r="Q14">
        <f>HYPERLINK("https://app.worldcafe.ru/object/19322","ссылка")</f>
        <v/>
      </c>
      <c r="R14" t="inlineStr">
        <is>
          <t>По адресу есть, но площадь другая</t>
        </is>
      </c>
      <c r="S14" t="n">
        <v>1</v>
      </c>
      <c r="T14" t="inlineStr">
        <is>
          <t>На сайте sale 44.5 м² 7 400 000 =HYPERLINK("https://app.worldcafe.ru/object/19322","ссылка")</t>
        </is>
      </c>
      <c r="U14" t="n">
        <v>34</v>
      </c>
      <c r="V14" t="n">
        <v>2</v>
      </c>
      <c r="W14" t="n">
        <v>10</v>
      </c>
      <c r="X14" t="n">
        <v>12000000</v>
      </c>
      <c r="Y14" t="n">
        <v>7400000</v>
      </c>
      <c r="Z14" t="n">
        <v>-4600000</v>
      </c>
      <c r="AA14" t="inlineStr">
        <is>
          <t>https://knru.ru/catalog/vereyskaya-ul-8/</t>
        </is>
      </c>
    </row>
    <row r="15">
      <c r="A15" t="n">
        <v>37</v>
      </c>
      <c r="B15" t="n">
        <v>2</v>
      </c>
      <c r="C15" t="n">
        <v>13</v>
      </c>
      <c r="D15" t="n">
        <v>33</v>
      </c>
      <c r="E15" t="inlineStr">
        <is>
          <t>Центральный</t>
        </is>
      </c>
      <c r="F15" t="inlineStr">
        <is>
          <t>Восстания ул, 33</t>
        </is>
      </c>
      <c r="G15" t="n">
        <v>200</v>
      </c>
      <c r="H15" t="inlineStr">
        <is>
          <t>4 300 000</t>
        </is>
      </c>
      <c r="I15" t="inlineStr">
        <is>
          <t>1 500 000</t>
        </is>
      </c>
      <c r="J15" t="inlineStr">
        <is>
          <t>У нас дешевле на 2 800 000 (65.1%)</t>
        </is>
      </c>
      <c r="K15" t="inlineStr">
        <is>
          <t>-2 800 000</t>
        </is>
      </c>
      <c r="L15" t="inlineStr">
        <is>
          <t>-65.1%</t>
        </is>
      </c>
      <c r="M15" t="inlineStr">
        <is>
          <t>sale_only</t>
        </is>
      </c>
      <c r="N15" t="inlineStr">
        <is>
          <t>no</t>
        </is>
      </c>
      <c r="O15" t="inlineStr">
        <is>
          <t>none</t>
        </is>
      </c>
      <c r="P15">
        <f>HYPERLINK("https://knru.ru/catalog/vosstaniya-ul-d-33/","ссылка")</f>
        <v/>
      </c>
      <c r="Q15">
        <f>HYPERLINK("https://app.worldcafe.ru/object/8445","ссылка")</f>
        <v/>
      </c>
      <c r="R15" t="inlineStr">
        <is>
          <t>По адресу есть, но площадь другая</t>
        </is>
      </c>
      <c r="S15" t="n">
        <v>2</v>
      </c>
      <c r="T15" t="inlineStr">
        <is>
          <t>Архив rent 114 м² 270 000 =HYPERLINK("https://app.worldcafe.ru/object/8445","ссылка") | Архив sale 114 м² 1 500 000 =HYPERLINK("https://app.worldcafe.ru/object/8445","ссылка")</t>
        </is>
      </c>
      <c r="U15" t="n">
        <v>37</v>
      </c>
      <c r="V15" t="n">
        <v>2</v>
      </c>
      <c r="W15" t="n">
        <v>13</v>
      </c>
      <c r="X15" t="n">
        <v>4300000</v>
      </c>
      <c r="Y15" t="n">
        <v>1500000</v>
      </c>
      <c r="Z15" t="n">
        <v>-2800000</v>
      </c>
      <c r="AA15" t="inlineStr">
        <is>
          <t>https://knru.ru/catalog/vosstaniya-ul-d-33/</t>
        </is>
      </c>
    </row>
    <row r="16">
      <c r="A16" t="n">
        <v>38</v>
      </c>
      <c r="B16" t="n">
        <v>2</v>
      </c>
      <c r="C16" t="n">
        <v>14</v>
      </c>
      <c r="D16" t="n">
        <v>48</v>
      </c>
      <c r="E16" t="inlineStr">
        <is>
          <t>Невский</t>
        </is>
      </c>
      <c r="F16" t="inlineStr">
        <is>
          <t>Бабушкина, 48</t>
        </is>
      </c>
      <c r="G16" t="n">
        <v>59</v>
      </c>
      <c r="H16" t="inlineStr">
        <is>
          <t>14 500 000</t>
        </is>
      </c>
      <c r="I16" t="inlineStr">
        <is>
          <t>12 000 000</t>
        </is>
      </c>
      <c r="J16" t="inlineStr">
        <is>
          <t>У нас дешевле на 2 500 000 (17.2%)</t>
        </is>
      </c>
      <c r="K16" t="inlineStr">
        <is>
          <t>-2 500 000</t>
        </is>
      </c>
      <c r="L16" t="inlineStr">
        <is>
          <t>-17.2%</t>
        </is>
      </c>
      <c r="M16" t="inlineStr">
        <is>
          <t>sale_only</t>
        </is>
      </c>
      <c r="N16" t="inlineStr">
        <is>
          <t>no</t>
        </is>
      </c>
      <c r="O16" t="inlineStr">
        <is>
          <t>none</t>
        </is>
      </c>
      <c r="P16">
        <f>HYPERLINK("https://knru.ru/catalog/babushkina-ul-d-48/","ссылка")</f>
        <v/>
      </c>
      <c r="Q16">
        <f>HYPERLINK("https://app.worldcafe.ru/object/11474","ссылка")</f>
        <v/>
      </c>
      <c r="R16" t="inlineStr">
        <is>
          <t>По адресу есть, но площадь другая</t>
        </is>
      </c>
      <c r="S16" t="n">
        <v>3</v>
      </c>
      <c r="T16" t="inlineStr">
        <is>
          <t>Без сделки no_deal 82 м² =HYPERLINK("https://app.worldcafe.ru/object/11473","ссылка") | На сайте rent 84 м² 100 000 =HYPERLINK("https://app.worldcafe.ru/object/11474","ссылка") | На сайте sale 84 м² 12 000 000 =HYPERLINK("https://app.worldcafe.ru/object/11474","ссылка")</t>
        </is>
      </c>
      <c r="U16" t="n">
        <v>38</v>
      </c>
      <c r="V16" t="n">
        <v>2</v>
      </c>
      <c r="W16" t="n">
        <v>14</v>
      </c>
      <c r="X16" t="n">
        <v>14500000</v>
      </c>
      <c r="Y16" t="n">
        <v>12000000</v>
      </c>
      <c r="Z16" t="n">
        <v>-2500000</v>
      </c>
      <c r="AA16" t="inlineStr">
        <is>
          <t>https://knru.ru/catalog/babushkina-ul-d-48/</t>
        </is>
      </c>
    </row>
    <row r="17">
      <c r="A17" t="n">
        <v>39</v>
      </c>
      <c r="B17" t="n">
        <v>2</v>
      </c>
      <c r="C17" t="n">
        <v>15</v>
      </c>
      <c r="D17" t="inlineStr"/>
      <c r="E17" t="inlineStr">
        <is>
          <t>Калининский</t>
        </is>
      </c>
      <c r="F17" t="inlineStr">
        <is>
          <t>Кондратьевский пр-кт, 40к14</t>
        </is>
      </c>
      <c r="G17" t="n">
        <v>87.59999999999999</v>
      </c>
      <c r="H17" t="inlineStr">
        <is>
          <t>7 000 000</t>
        </is>
      </c>
      <c r="I17" t="inlineStr">
        <is>
          <t>310 000 000</t>
        </is>
      </c>
      <c r="J17" t="inlineStr">
        <is>
          <t>У нас дороже на 303 000 000 (4328.6%)</t>
        </is>
      </c>
      <c r="K17" t="inlineStr">
        <is>
          <t>303 000 000</t>
        </is>
      </c>
      <c r="L17" t="inlineStr">
        <is>
          <t>4328.6%</t>
        </is>
      </c>
      <c r="M17" t="inlineStr">
        <is>
          <t>sale_only</t>
        </is>
      </c>
      <c r="N17" t="inlineStr">
        <is>
          <t>no</t>
        </is>
      </c>
      <c r="O17" t="inlineStr">
        <is>
          <t>none</t>
        </is>
      </c>
      <c r="P17">
        <f>HYPERLINK("https://knru.ru/catalog/kondratevskiy-pr-kt-40k14/","ссылка")</f>
        <v/>
      </c>
      <c r="Q17">
        <f>HYPERLINK("https://app.worldcafe.ru/object/7631","ссылка")</f>
        <v/>
      </c>
      <c r="R17" t="inlineStr">
        <is>
          <t>По адресу есть, но площадь другая</t>
        </is>
      </c>
      <c r="S17" t="n">
        <v>1</v>
      </c>
      <c r="T17" t="inlineStr">
        <is>
          <t>Архив sale 2200 м² 310 000 000 =HYPERLINK("https://app.worldcafe.ru/object/7631","ссылка")</t>
        </is>
      </c>
      <c r="U17" t="n">
        <v>39</v>
      </c>
      <c r="V17" t="n">
        <v>2</v>
      </c>
      <c r="W17" t="n">
        <v>15</v>
      </c>
      <c r="X17" t="n">
        <v>7000000</v>
      </c>
      <c r="Y17" t="n">
        <v>310000000</v>
      </c>
      <c r="Z17" t="n">
        <v>303000000</v>
      </c>
      <c r="AA17" t="inlineStr">
        <is>
          <t>https://knru.ru/catalog/kondratevskiy-pr-kt-40k14/</t>
        </is>
      </c>
    </row>
    <row r="18">
      <c r="A18" t="n">
        <v>40</v>
      </c>
      <c r="B18" t="n">
        <v>2</v>
      </c>
      <c r="C18" t="n">
        <v>16</v>
      </c>
      <c r="D18" t="n">
        <v>59</v>
      </c>
      <c r="E18" t="inlineStr">
        <is>
          <t>Адмиралтейский</t>
        </is>
      </c>
      <c r="F18" t="inlineStr">
        <is>
          <t>Канала Грибоедова наб, 59</t>
        </is>
      </c>
      <c r="G18" t="n">
        <v>80</v>
      </c>
      <c r="H18" t="inlineStr">
        <is>
          <t>2 500 000</t>
        </is>
      </c>
      <c r="I18" t="inlineStr">
        <is>
          <t>2 990 000</t>
        </is>
      </c>
      <c r="J18" t="inlineStr">
        <is>
          <t>У нас дороже на 490 000 (19.6%)</t>
        </is>
      </c>
      <c r="K18" t="inlineStr">
        <is>
          <t>490 000</t>
        </is>
      </c>
      <c r="L18" t="inlineStr">
        <is>
          <t>19.6%</t>
        </is>
      </c>
      <c r="M18" t="inlineStr">
        <is>
          <t>any_type</t>
        </is>
      </c>
      <c r="N18" t="inlineStr">
        <is>
          <t>no</t>
        </is>
      </c>
      <c r="O18" t="inlineStr">
        <is>
          <t>none</t>
        </is>
      </c>
      <c r="P18">
        <f>HYPERLINK("https://knru.ru/catalog/kanala-griboedova-nab-59/","ссылка")</f>
        <v/>
      </c>
      <c r="Q18">
        <f>HYPERLINK("https://app.worldcafe.ru/object/14694","ссылка")</f>
        <v/>
      </c>
      <c r="R18" t="inlineStr">
        <is>
          <t>По адресу есть, но площадь другая</t>
        </is>
      </c>
      <c r="S18" t="n">
        <v>1</v>
      </c>
      <c r="T18" t="inlineStr">
        <is>
          <t>Архив business_sale 86.2 м² 2 990 000 =HYPERLINK("https://app.worldcafe.ru/object/14694","ссылка")</t>
        </is>
      </c>
      <c r="U18" t="n">
        <v>40</v>
      </c>
      <c r="V18" t="n">
        <v>2</v>
      </c>
      <c r="W18" t="n">
        <v>16</v>
      </c>
      <c r="X18" t="n">
        <v>2500000</v>
      </c>
      <c r="Y18" t="n">
        <v>2990000</v>
      </c>
      <c r="Z18" t="n">
        <v>490000</v>
      </c>
      <c r="AA18" t="inlineStr">
        <is>
          <t>https://knru.ru/catalog/kanala-griboedova-nab-59/</t>
        </is>
      </c>
    </row>
    <row r="19">
      <c r="A19" t="n">
        <v>47</v>
      </c>
      <c r="B19" t="n">
        <v>2</v>
      </c>
      <c r="C19" t="n">
        <v>23</v>
      </c>
      <c r="D19" t="n">
        <v>38</v>
      </c>
      <c r="E19" t="inlineStr">
        <is>
          <t>Петроградский</t>
        </is>
      </c>
      <c r="F19" t="inlineStr">
        <is>
          <t>Профессора Попова ул, 38</t>
        </is>
      </c>
      <c r="G19" t="n">
        <v>5992</v>
      </c>
      <c r="H19" t="inlineStr">
        <is>
          <t>2 454 409 000</t>
        </is>
      </c>
      <c r="I19" t="inlineStr">
        <is>
          <t>180 000 000</t>
        </is>
      </c>
      <c r="J19" t="inlineStr">
        <is>
          <t>У нас дешевле на 2 274 409 000 (92.7%)</t>
        </is>
      </c>
      <c r="K19" t="inlineStr">
        <is>
          <t>-2 274 409 000</t>
        </is>
      </c>
      <c r="L19" t="inlineStr">
        <is>
          <t>-92.7%</t>
        </is>
      </c>
      <c r="M19" t="inlineStr">
        <is>
          <t>sale_only</t>
        </is>
      </c>
      <c r="N19" t="inlineStr">
        <is>
          <t>no</t>
        </is>
      </c>
      <c r="O19" t="inlineStr">
        <is>
          <t>none</t>
        </is>
      </c>
      <c r="P19">
        <f>HYPERLINK("https://knru.ru/catalog/professora-popova-ul-38/","ссылка")</f>
        <v/>
      </c>
      <c r="Q19">
        <f>HYPERLINK("https://app.worldcafe.ru/object/13675","ссылка")</f>
        <v/>
      </c>
      <c r="R19" t="inlineStr">
        <is>
          <t>По адресу есть, но площадь другая</t>
        </is>
      </c>
      <c r="S19" t="n">
        <v>2</v>
      </c>
      <c r="T19" t="inlineStr">
        <is>
          <t>Архив rent 703 м² 999 000 =HYPERLINK("https://app.worldcafe.ru/object/13675","ссылка") | Архив sale 703 м² 180 000 000 =HYPERLINK("https://app.worldcafe.ru/object/13675","ссылка")</t>
        </is>
      </c>
      <c r="U19" t="n">
        <v>47</v>
      </c>
      <c r="V19" t="n">
        <v>2</v>
      </c>
      <c r="W19" t="n">
        <v>23</v>
      </c>
      <c r="X19" t="n">
        <v>2454409000</v>
      </c>
      <c r="Y19" t="n">
        <v>180000000</v>
      </c>
      <c r="Z19" t="n">
        <v>-2274409000</v>
      </c>
      <c r="AA19" t="inlineStr">
        <is>
          <t>https://knru.ru/catalog/professora-popova-ul-38/</t>
        </is>
      </c>
    </row>
    <row r="20">
      <c r="A20" t="n">
        <v>49</v>
      </c>
      <c r="B20" t="n">
        <v>3</v>
      </c>
      <c r="C20" t="n">
        <v>1</v>
      </c>
      <c r="D20" t="n">
        <v>18</v>
      </c>
      <c r="E20" t="inlineStr">
        <is>
          <t>Петроградский</t>
        </is>
      </c>
      <c r="F20" t="inlineStr">
        <is>
          <t>Большая Зеленина ул, 18</t>
        </is>
      </c>
      <c r="G20" t="n">
        <v>120</v>
      </c>
      <c r="H20" t="inlineStr">
        <is>
          <t>6 900 000</t>
        </is>
      </c>
      <c r="I20" t="inlineStr">
        <is>
          <t>499 000</t>
        </is>
      </c>
      <c r="J20" t="inlineStr">
        <is>
          <t>У нас дешевле на 6 401 000 (92.8%)</t>
        </is>
      </c>
      <c r="K20" t="inlineStr">
        <is>
          <t>-6 401 000</t>
        </is>
      </c>
      <c r="L20" t="inlineStr">
        <is>
          <t>-92.8%</t>
        </is>
      </c>
      <c r="M20" t="inlineStr">
        <is>
          <t>any_type</t>
        </is>
      </c>
      <c r="N20" t="inlineStr">
        <is>
          <t>no</t>
        </is>
      </c>
      <c r="O20" t="inlineStr">
        <is>
          <t>none</t>
        </is>
      </c>
      <c r="P20">
        <f>HYPERLINK("https://knru.ru/catalog/bolshaya-zelenina-ul-18/","ссылка")</f>
        <v/>
      </c>
      <c r="Q20">
        <f>HYPERLINK("https://app.worldcafe.ru/object/15531","ссылка")</f>
        <v/>
      </c>
      <c r="R20" t="inlineStr">
        <is>
          <t>По адресу есть, но площадь другая</t>
        </is>
      </c>
      <c r="S20" t="n">
        <v>1</v>
      </c>
      <c r="T20" t="inlineStr">
        <is>
          <t>Архив rent 147 м² 499 000 =HYPERLINK("https://app.worldcafe.ru/object/15531","ссылка")</t>
        </is>
      </c>
      <c r="U20" t="n">
        <v>49</v>
      </c>
      <c r="V20" t="n">
        <v>3</v>
      </c>
      <c r="W20" t="n">
        <v>1</v>
      </c>
      <c r="X20" t="n">
        <v>6900000</v>
      </c>
      <c r="Y20" t="n">
        <v>499000</v>
      </c>
      <c r="Z20" t="n">
        <v>-6401000</v>
      </c>
      <c r="AA20" t="inlineStr">
        <is>
          <t>https://knru.ru/catalog/bolshaya-zelenina-ul-18/</t>
        </is>
      </c>
    </row>
    <row r="21">
      <c r="A21" t="n">
        <v>51</v>
      </c>
      <c r="B21" t="n">
        <v>3</v>
      </c>
      <c r="C21" t="n">
        <v>3</v>
      </c>
      <c r="D21" t="n">
        <v>18</v>
      </c>
      <c r="E21" t="inlineStr">
        <is>
          <t>Адмиралтейский</t>
        </is>
      </c>
      <c r="F21" t="inlineStr">
        <is>
          <t>Пирогова пер, 18</t>
        </is>
      </c>
      <c r="G21" t="n">
        <v>750</v>
      </c>
      <c r="H21" t="inlineStr">
        <is>
          <t>20 000 000</t>
        </is>
      </c>
      <c r="I21" t="inlineStr">
        <is>
          <t>177 000</t>
        </is>
      </c>
      <c r="J21" t="inlineStr">
        <is>
          <t>У нас дешевле на 19 823 000 (99.1%)</t>
        </is>
      </c>
      <c r="K21" t="inlineStr">
        <is>
          <t>-19 823 000</t>
        </is>
      </c>
      <c r="L21" t="inlineStr">
        <is>
          <t>-99.1%</t>
        </is>
      </c>
      <c r="M21" t="inlineStr">
        <is>
          <t>any_type</t>
        </is>
      </c>
      <c r="N21" t="inlineStr">
        <is>
          <t>no</t>
        </is>
      </c>
      <c r="O21" t="inlineStr">
        <is>
          <t>none</t>
        </is>
      </c>
      <c r="P21">
        <f>HYPERLINK("https://knru.ru/catalog/pirogova-per-18/","ссылка")</f>
        <v/>
      </c>
      <c r="Q21">
        <f>HYPERLINK("https://app.worldcafe.ru/object/9137","ссылка")</f>
        <v/>
      </c>
      <c r="R21" t="inlineStr">
        <is>
          <t>По адресу есть, но площадь другая</t>
        </is>
      </c>
      <c r="S21" t="n">
        <v>1</v>
      </c>
      <c r="T21" t="inlineStr">
        <is>
          <t>Архив rent 187 м² 177 000 =HYPERLINK("https://app.worldcafe.ru/object/9137","ссылка")</t>
        </is>
      </c>
      <c r="U21" t="n">
        <v>51</v>
      </c>
      <c r="V21" t="n">
        <v>3</v>
      </c>
      <c r="W21" t="n">
        <v>3</v>
      </c>
      <c r="X21" t="n">
        <v>20000000</v>
      </c>
      <c r="Y21" t="n">
        <v>177000</v>
      </c>
      <c r="Z21" t="n">
        <v>-19823000</v>
      </c>
      <c r="AA21" t="inlineStr">
        <is>
          <t>https://knru.ru/catalog/pirogova-per-18/</t>
        </is>
      </c>
    </row>
    <row r="22">
      <c r="A22" t="n">
        <v>56</v>
      </c>
      <c r="B22" t="n">
        <v>3</v>
      </c>
      <c r="C22" t="n">
        <v>8</v>
      </c>
      <c r="D22" t="n">
        <v>1228210364</v>
      </c>
      <c r="E22" t="inlineStr">
        <is>
          <t>Выборгский</t>
        </is>
      </c>
      <c r="F22" t="inlineStr">
        <is>
          <t>Полюстровский пр-кт, 87</t>
        </is>
      </c>
      <c r="G22" t="n">
        <v>127.7</v>
      </c>
      <c r="H22" t="inlineStr">
        <is>
          <t>51 100 000</t>
        </is>
      </c>
      <c r="I22" t="inlineStr">
        <is>
          <t>70 000</t>
        </is>
      </c>
      <c r="J22" t="inlineStr">
        <is>
          <t>У нас дешевле на 51 030 000 (99.9%)</t>
        </is>
      </c>
      <c r="K22" t="inlineStr">
        <is>
          <t>-51 030 000</t>
        </is>
      </c>
      <c r="L22" t="inlineStr">
        <is>
          <t>-99.9%</t>
        </is>
      </c>
      <c r="M22" t="inlineStr">
        <is>
          <t>any_type</t>
        </is>
      </c>
      <c r="N22" t="inlineStr">
        <is>
          <t>no</t>
        </is>
      </c>
      <c r="O22" t="inlineStr">
        <is>
          <t>none</t>
        </is>
      </c>
      <c r="P22">
        <f>HYPERLINK("https://knru.ru/catalog/polyustrovskiy-pr-kt-87-1228210364/","ссылка")</f>
        <v/>
      </c>
      <c r="Q22">
        <f>HYPERLINK("https://app.worldcafe.ru/object/12589","ссылка")</f>
        <v/>
      </c>
      <c r="R22" t="inlineStr">
        <is>
          <t>По адресу есть, но площадь другая</t>
        </is>
      </c>
      <c r="S22" t="n">
        <v>1</v>
      </c>
      <c r="T22" t="inlineStr">
        <is>
          <t>Архив rent 120 м² 70 000 =HYPERLINK("https://app.worldcafe.ru/object/12589","ссылка")</t>
        </is>
      </c>
      <c r="U22" t="n">
        <v>56</v>
      </c>
      <c r="V22" t="n">
        <v>3</v>
      </c>
      <c r="W22" t="n">
        <v>8</v>
      </c>
      <c r="X22" t="n">
        <v>51100000</v>
      </c>
      <c r="Y22" t="n">
        <v>70000</v>
      </c>
      <c r="Z22" t="n">
        <v>-51030000</v>
      </c>
      <c r="AA22" t="inlineStr">
        <is>
          <t>https://knru.ru/catalog/polyustrovskiy-pr-kt-87-1228210364/</t>
        </is>
      </c>
    </row>
    <row r="23">
      <c r="A23" t="n">
        <v>57</v>
      </c>
      <c r="B23" t="n">
        <v>3</v>
      </c>
      <c r="C23" t="n">
        <v>9</v>
      </c>
      <c r="D23" t="n">
        <v>87</v>
      </c>
      <c r="E23" t="inlineStr">
        <is>
          <t>Выборгский</t>
        </is>
      </c>
      <c r="F23" t="inlineStr">
        <is>
          <t>Полюстровский пр-кт, 87</t>
        </is>
      </c>
      <c r="G23" t="n">
        <v>90.5</v>
      </c>
      <c r="H23" t="inlineStr">
        <is>
          <t>28 039 500</t>
        </is>
      </c>
      <c r="I23" t="inlineStr">
        <is>
          <t>70 000</t>
        </is>
      </c>
      <c r="J23" t="inlineStr">
        <is>
          <t>У нас дешевле на 27 969 500 (99.8%)</t>
        </is>
      </c>
      <c r="K23" t="inlineStr">
        <is>
          <t>-27 969 500</t>
        </is>
      </c>
      <c r="L23" t="inlineStr">
        <is>
          <t>-99.8%</t>
        </is>
      </c>
      <c r="M23" t="inlineStr">
        <is>
          <t>any_type</t>
        </is>
      </c>
      <c r="N23" t="inlineStr">
        <is>
          <t>no</t>
        </is>
      </c>
      <c r="O23" t="inlineStr">
        <is>
          <t>none</t>
        </is>
      </c>
      <c r="P23">
        <f>HYPERLINK("https://knru.ru/catalog/polyustrovskiy-pr-kt-87/","ссылка")</f>
        <v/>
      </c>
      <c r="Q23">
        <f>HYPERLINK("https://app.worldcafe.ru/object/12589","ссылка")</f>
        <v/>
      </c>
      <c r="R23" t="inlineStr">
        <is>
          <t>По адресу есть, но площадь другая</t>
        </is>
      </c>
      <c r="S23" t="n">
        <v>1</v>
      </c>
      <c r="T23" t="inlineStr">
        <is>
          <t>Архив rent 120 м² 70 000 =HYPERLINK("https://app.worldcafe.ru/object/12589","ссылка")</t>
        </is>
      </c>
      <c r="U23" t="n">
        <v>57</v>
      </c>
      <c r="V23" t="n">
        <v>3</v>
      </c>
      <c r="W23" t="n">
        <v>9</v>
      </c>
      <c r="X23" t="n">
        <v>28039500</v>
      </c>
      <c r="Y23" t="n">
        <v>70000</v>
      </c>
      <c r="Z23" t="n">
        <v>-27969500</v>
      </c>
      <c r="AA23" t="inlineStr">
        <is>
          <t>https://knru.ru/catalog/polyustrovskiy-pr-kt-87/</t>
        </is>
      </c>
    </row>
    <row r="24">
      <c r="A24" t="n">
        <v>59</v>
      </c>
      <c r="B24" t="n">
        <v>3</v>
      </c>
      <c r="C24" t="n">
        <v>11</v>
      </c>
      <c r="D24" t="n">
        <v>1700683247</v>
      </c>
      <c r="E24" t="inlineStr">
        <is>
          <t>Калининский</t>
        </is>
      </c>
      <c r="F24" t="inlineStr">
        <is>
          <t>Светлановский пр-кт, 85</t>
        </is>
      </c>
      <c r="G24" t="n">
        <v>141.4</v>
      </c>
      <c r="H24" t="inlineStr">
        <is>
          <t>53 017 500</t>
        </is>
      </c>
      <c r="I24" t="inlineStr">
        <is>
          <t>40 988 800</t>
        </is>
      </c>
      <c r="J24" t="inlineStr">
        <is>
          <t>У нас дешевле на 12 028 700 (22.7%)</t>
        </is>
      </c>
      <c r="K24" t="inlineStr">
        <is>
          <t>-12 028 700</t>
        </is>
      </c>
      <c r="L24" t="inlineStr">
        <is>
          <t>-22.7%</t>
        </is>
      </c>
      <c r="M24" t="inlineStr">
        <is>
          <t>sale_only</t>
        </is>
      </c>
      <c r="N24" t="inlineStr">
        <is>
          <t>no</t>
        </is>
      </c>
      <c r="O24" t="inlineStr">
        <is>
          <t>none</t>
        </is>
      </c>
      <c r="P24">
        <f>HYPERLINK("https://knru.ru/catalog/svetlanovskiy-pr-d-85-1700683247/","ссылка")</f>
        <v/>
      </c>
      <c r="Q24">
        <f>HYPERLINK("https://app.worldcafe.ru/object/15547","ссылка")</f>
        <v/>
      </c>
      <c r="R24" t="inlineStr">
        <is>
          <t>По адресу есть, но площадь другая</t>
        </is>
      </c>
      <c r="S24" t="n">
        <v>1</v>
      </c>
      <c r="T24" t="inlineStr">
        <is>
          <t>На сайте sale 128.1 м² 40 988 800 =HYPERLINK("https://app.worldcafe.ru/object/15547","ссылка")</t>
        </is>
      </c>
      <c r="U24" t="n">
        <v>59</v>
      </c>
      <c r="V24" t="n">
        <v>3</v>
      </c>
      <c r="W24" t="n">
        <v>11</v>
      </c>
      <c r="X24" t="n">
        <v>53017500</v>
      </c>
      <c r="Y24" t="n">
        <v>40988800</v>
      </c>
      <c r="Z24" t="n">
        <v>-12028700</v>
      </c>
      <c r="AA24" t="inlineStr">
        <is>
          <t>https://knru.ru/catalog/svetlanovskiy-pr-d-85-1700683247/</t>
        </is>
      </c>
    </row>
    <row r="25">
      <c r="A25" t="n">
        <v>61</v>
      </c>
      <c r="B25" t="n">
        <v>3</v>
      </c>
      <c r="C25" t="n">
        <v>13</v>
      </c>
      <c r="D25" t="inlineStr"/>
      <c r="E25" t="inlineStr">
        <is>
          <t>Всеволожский</t>
        </is>
      </c>
      <c r="F25" t="inlineStr">
        <is>
          <t>Шоссе в Лаврики ул, 78к1</t>
        </is>
      </c>
      <c r="G25" t="n">
        <v>127</v>
      </c>
      <c r="H25" t="inlineStr">
        <is>
          <t>30 500 000</t>
        </is>
      </c>
      <c r="I25" t="inlineStr">
        <is>
          <t>90 000</t>
        </is>
      </c>
      <c r="J25" t="inlineStr">
        <is>
          <t>У нас дешевле на 30 410 000 (99.7%)</t>
        </is>
      </c>
      <c r="K25" t="inlineStr">
        <is>
          <t>-30 410 000</t>
        </is>
      </c>
      <c r="L25" t="inlineStr">
        <is>
          <t>-99.7%</t>
        </is>
      </c>
      <c r="M25" t="inlineStr">
        <is>
          <t>any_type</t>
        </is>
      </c>
      <c r="N25" t="inlineStr">
        <is>
          <t>no</t>
        </is>
      </c>
      <c r="O25" t="inlineStr">
        <is>
          <t>none</t>
        </is>
      </c>
      <c r="P25">
        <f>HYPERLINK("https://knru.ru/catalog/shosse-v-lavriki-ul-78k1/","ссылка")</f>
        <v/>
      </c>
      <c r="Q25">
        <f>HYPERLINK("https://app.worldcafe.ru/object/18919","ссылка")</f>
        <v/>
      </c>
      <c r="R25" t="inlineStr">
        <is>
          <t>По адресу есть, но площадь другая</t>
        </is>
      </c>
      <c r="S25" t="n">
        <v>1</v>
      </c>
      <c r="T25" t="inlineStr">
        <is>
          <t>Архив rent 73 м² 90 000 =HYPERLINK("https://app.worldcafe.ru/object/18919","ссылка")</t>
        </is>
      </c>
      <c r="U25" t="n">
        <v>61</v>
      </c>
      <c r="V25" t="n">
        <v>3</v>
      </c>
      <c r="W25" t="n">
        <v>13</v>
      </c>
      <c r="X25" t="n">
        <v>30500000</v>
      </c>
      <c r="Y25" t="n">
        <v>90000</v>
      </c>
      <c r="Z25" t="n">
        <v>-30410000</v>
      </c>
      <c r="AA25" t="inlineStr">
        <is>
          <t>https://knru.ru/catalog/shosse-v-lavriki-ul-78k1/</t>
        </is>
      </c>
    </row>
    <row r="26">
      <c r="A26" t="n">
        <v>63</v>
      </c>
      <c r="B26" t="n">
        <v>3</v>
      </c>
      <c r="C26" t="n">
        <v>15</v>
      </c>
      <c r="D26" t="n">
        <v>1669898213</v>
      </c>
      <c r="E26" t="inlineStr">
        <is>
          <t>Красносельский</t>
        </is>
      </c>
      <c r="F26" t="inlineStr">
        <is>
          <t>Маршала Казакова ул, 70к1 стр 2</t>
        </is>
      </c>
      <c r="G26" t="n">
        <v>365</v>
      </c>
      <c r="H26" t="inlineStr">
        <is>
          <t>90 000 000</t>
        </is>
      </c>
      <c r="I26" t="inlineStr">
        <is>
          <t>0</t>
        </is>
      </c>
      <c r="J26" t="inlineStr">
        <is>
          <t>У нас дешевле на 90 000 000 (100.0%)</t>
        </is>
      </c>
      <c r="K26" t="inlineStr">
        <is>
          <t>-90 000 000</t>
        </is>
      </c>
      <c r="L26" t="inlineStr">
        <is>
          <t>-100.0%</t>
        </is>
      </c>
      <c r="M26" t="inlineStr">
        <is>
          <t>any_type</t>
        </is>
      </c>
      <c r="N26" t="inlineStr">
        <is>
          <t>no</t>
        </is>
      </c>
      <c r="O26" t="inlineStr">
        <is>
          <t>none</t>
        </is>
      </c>
      <c r="P26">
        <f>HYPERLINK("https://knru.ru/catalog/ul-marshala-kazakova-d-70k1-1669898213/","ссылка")</f>
        <v/>
      </c>
      <c r="Q26">
        <f>HYPERLINK("https://app.worldcafe.ru/object/11461","ссылка")</f>
        <v/>
      </c>
      <c r="R26" t="inlineStr">
        <is>
          <t>По адресу есть, но площадь другая</t>
        </is>
      </c>
      <c r="S26" t="n">
        <v>4</v>
      </c>
      <c r="T26" t="inlineStr">
        <is>
          <t>Архив rent 145 м² 0 =HYPERLINK("https://app.worldcafe.ru/object/11461","ссылка") | Архив rent 145 м² 174 000 =HYPERLINK("https://app.worldcafe.ru/object/11467","ссылка") | Архив rent 145 м² 217 000 =HYPERLINK("https://app.worldcafe.ru/object/15478","ссылка") | Без сделки no_deal 145 м² =HYPERLINK("https://app.worldcafe.ru/object/11466","ссылка")</t>
        </is>
      </c>
      <c r="U26" t="n">
        <v>63</v>
      </c>
      <c r="V26" t="n">
        <v>3</v>
      </c>
      <c r="W26" t="n">
        <v>15</v>
      </c>
      <c r="X26" t="n">
        <v>90000000</v>
      </c>
      <c r="Y26" t="n">
        <v>0</v>
      </c>
      <c r="Z26" t="n">
        <v>-90000000</v>
      </c>
      <c r="AA26" t="inlineStr">
        <is>
          <t>https://knru.ru/catalog/ul-marshala-kazakova-d-70k1-1669898213/</t>
        </is>
      </c>
    </row>
    <row r="27">
      <c r="A27" t="n">
        <v>65</v>
      </c>
      <c r="B27" t="n">
        <v>3</v>
      </c>
      <c r="C27" t="n">
        <v>17</v>
      </c>
      <c r="D27" t="n">
        <v>3</v>
      </c>
      <c r="E27" t="inlineStr">
        <is>
          <t>Мурино</t>
        </is>
      </c>
      <c r="F27" t="inlineStr">
        <is>
          <t>Менделеева б-р, 11к3</t>
        </is>
      </c>
      <c r="G27" t="n">
        <v>500</v>
      </c>
      <c r="H27" t="inlineStr">
        <is>
          <t>17 900 000</t>
        </is>
      </c>
      <c r="I27" t="inlineStr">
        <is>
          <t>234 000</t>
        </is>
      </c>
      <c r="J27" t="inlineStr">
        <is>
          <t>У нас дешевле на 17 666 000 (98.7%)</t>
        </is>
      </c>
      <c r="K27" t="inlineStr">
        <is>
          <t>-17 666 000</t>
        </is>
      </c>
      <c r="L27" t="inlineStr">
        <is>
          <t>-98.7%</t>
        </is>
      </c>
      <c r="M27" t="inlineStr">
        <is>
          <t>any_type</t>
        </is>
      </c>
      <c r="N27" t="inlineStr">
        <is>
          <t>no</t>
        </is>
      </c>
      <c r="O27" t="inlineStr">
        <is>
          <t>none</t>
        </is>
      </c>
      <c r="P27">
        <f>HYPERLINK("https://knru.ru/catalog/bulvar-mendeleeva-d-11-k-3/","ссылка")</f>
        <v/>
      </c>
      <c r="Q27">
        <f>HYPERLINK("https://app.worldcafe.ru/object/13269","ссылка")</f>
        <v/>
      </c>
      <c r="R27" t="inlineStr">
        <is>
          <t>Корпус/строение не совпало</t>
        </is>
      </c>
      <c r="S27" t="n">
        <v>1</v>
      </c>
      <c r="T27" t="inlineStr">
        <is>
          <t>Архив rent 117 м² 234 000 =HYPERLINK("https://app.worldcafe.ru/object/13269","ссылка")</t>
        </is>
      </c>
      <c r="U27" t="n">
        <v>65</v>
      </c>
      <c r="V27" t="n">
        <v>3</v>
      </c>
      <c r="W27" t="n">
        <v>17</v>
      </c>
      <c r="X27" t="n">
        <v>17900000</v>
      </c>
      <c r="Y27" t="n">
        <v>234000</v>
      </c>
      <c r="Z27" t="n">
        <v>-17666000</v>
      </c>
      <c r="AA27" t="inlineStr">
        <is>
          <t>https://knru.ru/catalog/bulvar-mendeleeva-d-11-k-3/</t>
        </is>
      </c>
    </row>
    <row r="28">
      <c r="A28" t="n">
        <v>67</v>
      </c>
      <c r="B28" t="n">
        <v>3</v>
      </c>
      <c r="C28" t="n">
        <v>19</v>
      </c>
      <c r="D28" t="n">
        <v>27</v>
      </c>
      <c r="E28" t="inlineStr">
        <is>
          <t>Адмиралтейский</t>
        </is>
      </c>
      <c r="F28" t="inlineStr">
        <is>
          <t>Гороховая ул, 27</t>
        </is>
      </c>
      <c r="G28" t="n">
        <v>50</v>
      </c>
      <c r="H28" t="inlineStr">
        <is>
          <t>24 000 000</t>
        </is>
      </c>
      <c r="I28" t="inlineStr">
        <is>
          <t>28 000 000</t>
        </is>
      </c>
      <c r="J28" t="inlineStr">
        <is>
          <t>У нас дороже на 4 000 000 (16.7%)</t>
        </is>
      </c>
      <c r="K28" t="inlineStr">
        <is>
          <t>4 000 000</t>
        </is>
      </c>
      <c r="L28" t="inlineStr">
        <is>
          <t>16.7%</t>
        </is>
      </c>
      <c r="M28" t="inlineStr">
        <is>
          <t>sale_only</t>
        </is>
      </c>
      <c r="N28" t="inlineStr">
        <is>
          <t>no</t>
        </is>
      </c>
      <c r="O28" t="inlineStr">
        <is>
          <t>none</t>
        </is>
      </c>
      <c r="P28">
        <f>HYPERLINK("https://knru.ru/catalog/gorokhovaya-ul-27/","ссылка")</f>
        <v/>
      </c>
      <c r="Q28">
        <f>HYPERLINK("https://app.worldcafe.ru/object/19833","ссылка")</f>
        <v/>
      </c>
      <c r="R28" t="inlineStr">
        <is>
          <t>По адресу есть, но площадь другая</t>
        </is>
      </c>
      <c r="S28" t="n">
        <v>1</v>
      </c>
      <c r="T28" t="inlineStr">
        <is>
          <t>На сайте sale 55.3 м² 28 000 000 =HYPERLINK("https://app.worldcafe.ru/object/19833","ссылка")</t>
        </is>
      </c>
      <c r="U28" t="n">
        <v>67</v>
      </c>
      <c r="V28" t="n">
        <v>3</v>
      </c>
      <c r="W28" t="n">
        <v>19</v>
      </c>
      <c r="X28" t="n">
        <v>24000000</v>
      </c>
      <c r="Y28" t="n">
        <v>28000000</v>
      </c>
      <c r="Z28" t="n">
        <v>4000000</v>
      </c>
      <c r="AA28" t="inlineStr">
        <is>
          <t>https://knru.ru/catalog/gorokhovaya-ul-27/</t>
        </is>
      </c>
    </row>
    <row r="29">
      <c r="A29" t="n">
        <v>76</v>
      </c>
      <c r="B29" t="n">
        <v>4</v>
      </c>
      <c r="C29" t="n">
        <v>4</v>
      </c>
      <c r="D29" t="inlineStr"/>
      <c r="E29" t="inlineStr">
        <is>
          <t>Приморский</t>
        </is>
      </c>
      <c r="F29" t="inlineStr">
        <is>
          <t>Богатырский пр-кт, 7к9</t>
        </is>
      </c>
      <c r="G29" t="n">
        <v>1499</v>
      </c>
      <c r="H29" t="inlineStr">
        <is>
          <t>380 000 000</t>
        </is>
      </c>
      <c r="I29" t="inlineStr">
        <is>
          <t>8 500 000</t>
        </is>
      </c>
      <c r="J29" t="inlineStr">
        <is>
          <t>У нас дешевле на 371 500 000 (97.8%)</t>
        </is>
      </c>
      <c r="K29" t="inlineStr">
        <is>
          <t>-371 500 000</t>
        </is>
      </c>
      <c r="L29" t="inlineStr">
        <is>
          <t>-97.8%</t>
        </is>
      </c>
      <c r="M29" t="inlineStr">
        <is>
          <t>sale_only</t>
        </is>
      </c>
      <c r="N29" t="inlineStr">
        <is>
          <t>no</t>
        </is>
      </c>
      <c r="O29" t="inlineStr">
        <is>
          <t>none</t>
        </is>
      </c>
      <c r="P29">
        <f>HYPERLINK("https://knru.ru/catalog/bogatyrskiy-pr-kt-7k9/","ссылка")</f>
        <v/>
      </c>
      <c r="Q29">
        <f>HYPERLINK("https://app.worldcafe.ru/object/12588","ссылка")</f>
        <v/>
      </c>
      <c r="R29" t="inlineStr">
        <is>
          <t>По адресу есть, но площадь другая</t>
        </is>
      </c>
      <c r="S29" t="n">
        <v>3</v>
      </c>
      <c r="T29" t="inlineStr">
        <is>
          <t>Архив rent 257 м² 0 =HYPERLINK("https://app.worldcafe.ru/object/19671","ссылка") | Архив rent 100 м² 80 000 =HYPERLINK("https://app.worldcafe.ru/object/12588","ссылка") | Архив sale 100 м² 8 500 000 =HYPERLINK("https://app.worldcafe.ru/object/12588","ссылка")</t>
        </is>
      </c>
      <c r="U29" t="n">
        <v>76</v>
      </c>
      <c r="V29" t="n">
        <v>4</v>
      </c>
      <c r="W29" t="n">
        <v>4</v>
      </c>
      <c r="X29" t="n">
        <v>380000000</v>
      </c>
      <c r="Y29" t="n">
        <v>8500000</v>
      </c>
      <c r="Z29" t="n">
        <v>-371500000</v>
      </c>
      <c r="AA29" t="inlineStr">
        <is>
          <t>https://knru.ru/catalog/bogatyrskiy-pr-kt-7k9/</t>
        </is>
      </c>
    </row>
    <row r="30">
      <c r="A30" t="n">
        <v>141</v>
      </c>
      <c r="B30" t="n">
        <v>6</v>
      </c>
      <c r="C30" t="n">
        <v>21</v>
      </c>
      <c r="D30" t="n">
        <v>1040836863</v>
      </c>
      <c r="E30" t="inlineStr"/>
      <c r="F30" t="inlineStr">
        <is>
          <t>Мира ул., д. 9/1</t>
        </is>
      </c>
      <c r="G30" t="n">
        <v>35.3</v>
      </c>
      <c r="H30" t="inlineStr">
        <is>
          <t>5 955 110</t>
        </is>
      </c>
      <c r="I30" t="inlineStr">
        <is>
          <t>10 684 890</t>
        </is>
      </c>
      <c r="J30" t="inlineStr">
        <is>
          <t>У нас дороже на 4 729 780 (79.4%)</t>
        </is>
      </c>
      <c r="K30" t="inlineStr">
        <is>
          <t>4 729 780</t>
        </is>
      </c>
      <c r="L30" t="inlineStr">
        <is>
          <t>79.4%</t>
        </is>
      </c>
      <c r="M30" t="inlineStr">
        <is>
          <t>sale_only</t>
        </is>
      </c>
      <c r="N30" t="inlineStr">
        <is>
          <t>yes</t>
        </is>
      </c>
      <c r="O30" t="inlineStr">
        <is>
          <t>pixel_heuristic</t>
        </is>
      </c>
      <c r="P30">
        <f>HYPERLINK("https://knru.ru/catalog/mira-ul-d-9-1-1040836863/","ссылка")</f>
        <v/>
      </c>
      <c r="Q30">
        <f>HYPERLINK("https://app.worldcafe.ru/object/20169","ссылка")</f>
        <v/>
      </c>
      <c r="R30" t="inlineStr">
        <is>
          <t>По адресу есть, но площадь другая</t>
        </is>
      </c>
      <c r="S30" t="n">
        <v>3</v>
      </c>
      <c r="T30" t="inlineStr">
        <is>
          <t>Архив sale 68.3 м² 10 684 890 =HYPERLINK("https://app.worldcafe.ru/object/20169","ссылка") | Архив sale 77.9 м² 11 865 700 =HYPERLINK("https://app.worldcafe.ru/object/20168","ссылка") | Архив sale 82.1 м² 12 362 880 =HYPERLINK("https://app.worldcafe.ru/object/20166","ссылка")</t>
        </is>
      </c>
      <c r="U30" t="n">
        <v>141</v>
      </c>
      <c r="V30" t="n">
        <v>6</v>
      </c>
      <c r="W30" t="n">
        <v>21</v>
      </c>
      <c r="X30" t="n">
        <v>5955110</v>
      </c>
      <c r="Y30" t="n">
        <v>10684890</v>
      </c>
      <c r="Z30" t="n">
        <v>4729780</v>
      </c>
      <c r="AA30" t="inlineStr">
        <is>
          <t>https://knru.ru/catalog/mira-ul-d-9-1-1040836863/</t>
        </is>
      </c>
    </row>
    <row r="31">
      <c r="A31" t="n">
        <v>145</v>
      </c>
      <c r="B31" t="n">
        <v>7</v>
      </c>
      <c r="C31" t="n">
        <v>1</v>
      </c>
      <c r="D31" t="n">
        <v>147775537</v>
      </c>
      <c r="E31" t="inlineStr"/>
      <c r="F31" t="inlineStr">
        <is>
          <t>Мира ул., д. 9/1</t>
        </is>
      </c>
      <c r="G31" t="n">
        <v>54</v>
      </c>
      <c r="H31" t="inlineStr">
        <is>
          <t>8 726 400</t>
        </is>
      </c>
      <c r="I31" t="inlineStr">
        <is>
          <t>10 684 890</t>
        </is>
      </c>
      <c r="J31" t="inlineStr">
        <is>
          <t>У нас дороже на 1 958 490 (22.4%)</t>
        </is>
      </c>
      <c r="K31" t="inlineStr">
        <is>
          <t>1 958 490</t>
        </is>
      </c>
      <c r="L31" t="inlineStr">
        <is>
          <t>22.4%</t>
        </is>
      </c>
      <c r="M31" t="inlineStr">
        <is>
          <t>sale_only</t>
        </is>
      </c>
      <c r="N31" t="inlineStr">
        <is>
          <t>yes</t>
        </is>
      </c>
      <c r="O31" t="inlineStr">
        <is>
          <t>pixel_heuristic</t>
        </is>
      </c>
      <c r="P31">
        <f>HYPERLINK("https://knru.ru/catalog/mira-ul-d-9-1-147775537/","ссылка")</f>
        <v/>
      </c>
      <c r="Q31">
        <f>HYPERLINK("https://app.worldcafe.ru/object/20169","ссылка")</f>
        <v/>
      </c>
      <c r="R31" t="inlineStr">
        <is>
          <t>По адресу есть, но площадь другая</t>
        </is>
      </c>
      <c r="S31" t="n">
        <v>3</v>
      </c>
      <c r="T31" t="inlineStr">
        <is>
          <t>Архив sale 68.3 м² 10 684 890 =HYPERLINK("https://app.worldcafe.ru/object/20169","ссылка") | Архив sale 77.9 м² 11 865 700 =HYPERLINK("https://app.worldcafe.ru/object/20168","ссылка") | Архив sale 82.1 м² 12 362 880 =HYPERLINK("https://app.worldcafe.ru/object/20166","ссылка")</t>
        </is>
      </c>
      <c r="U31" t="n">
        <v>145</v>
      </c>
      <c r="V31" t="n">
        <v>7</v>
      </c>
      <c r="W31" t="n">
        <v>1</v>
      </c>
      <c r="X31" t="n">
        <v>8726400</v>
      </c>
      <c r="Y31" t="n">
        <v>10684890</v>
      </c>
      <c r="Z31" t="n">
        <v>1958490</v>
      </c>
      <c r="AA31" t="inlineStr">
        <is>
          <t>https://knru.ru/catalog/mira-ul-d-9-1-147775537/</t>
        </is>
      </c>
    </row>
    <row r="32">
      <c r="A32" t="n">
        <v>217</v>
      </c>
      <c r="B32" t="n">
        <v>10</v>
      </c>
      <c r="C32" t="n">
        <v>1</v>
      </c>
      <c r="D32" t="n">
        <v>70739365</v>
      </c>
      <c r="E32" t="inlineStr">
        <is>
          <t>Фрунзенский</t>
        </is>
      </c>
      <c r="F32" t="inlineStr">
        <is>
          <t>Курская ул., д. 27</t>
        </is>
      </c>
      <c r="G32" t="n">
        <v>48.1</v>
      </c>
      <c r="H32" t="inlineStr">
        <is>
          <t>17 619 030</t>
        </is>
      </c>
      <c r="I32" t="inlineStr">
        <is>
          <t>213 000</t>
        </is>
      </c>
      <c r="J32" t="inlineStr">
        <is>
          <t>У нас дешевле на 17 406 030 (98.8%)</t>
        </is>
      </c>
      <c r="K32" t="inlineStr">
        <is>
          <t>-17 406 030</t>
        </is>
      </c>
      <c r="L32" t="inlineStr">
        <is>
          <t>-98.8%</t>
        </is>
      </c>
      <c r="M32" t="inlineStr">
        <is>
          <t>any_type</t>
        </is>
      </c>
      <c r="N32" t="inlineStr">
        <is>
          <t>yes</t>
        </is>
      </c>
      <c r="O32" t="inlineStr">
        <is>
          <t>pixel_heuristic</t>
        </is>
      </c>
      <c r="P32">
        <f>HYPERLINK("https://knru.ru/catalog/kurskaya-ul-d-27-70739365/","ссылка")</f>
        <v/>
      </c>
      <c r="Q32">
        <f>HYPERLINK("https://app.worldcafe.ru/object/11758","ссылка")</f>
        <v/>
      </c>
      <c r="R32" t="inlineStr">
        <is>
          <t>По адресу есть, но площадь другая</t>
        </is>
      </c>
      <c r="S32" t="n">
        <v>1</v>
      </c>
      <c r="T32" t="inlineStr">
        <is>
          <t>Архив rent 427.1 м² 213 000 =HYPERLINK("https://app.worldcafe.ru/object/11758","ссылка")</t>
        </is>
      </c>
      <c r="U32" t="n">
        <v>217</v>
      </c>
      <c r="V32" t="n">
        <v>10</v>
      </c>
      <c r="W32" t="n">
        <v>1</v>
      </c>
      <c r="X32" t="n">
        <v>17619030</v>
      </c>
      <c r="Y32" t="n">
        <v>213000</v>
      </c>
      <c r="Z32" t="n">
        <v>-17406030</v>
      </c>
      <c r="AA32" t="inlineStr">
        <is>
          <t>https://knru.ru/catalog/kurskaya-ul-d-27-70739365/</t>
        </is>
      </c>
    </row>
    <row r="33">
      <c r="A33" t="n">
        <v>218</v>
      </c>
      <c r="B33" t="n">
        <v>10</v>
      </c>
      <c r="C33" t="n">
        <v>2</v>
      </c>
      <c r="D33" t="n">
        <v>2046939361</v>
      </c>
      <c r="E33" t="inlineStr">
        <is>
          <t>Фрунзенский</t>
        </is>
      </c>
      <c r="F33" t="inlineStr">
        <is>
          <t>Курская ул., д. 27</t>
        </is>
      </c>
      <c r="G33" t="n">
        <v>64.8</v>
      </c>
      <c r="H33" t="inlineStr">
        <is>
          <t>18 621 375</t>
        </is>
      </c>
      <c r="I33" t="inlineStr">
        <is>
          <t>213 000</t>
        </is>
      </c>
      <c r="J33" t="inlineStr">
        <is>
          <t>У нас дешевле на 18 408 375 (98.9%)</t>
        </is>
      </c>
      <c r="K33" t="inlineStr">
        <is>
          <t>-18 408 375</t>
        </is>
      </c>
      <c r="L33" t="inlineStr">
        <is>
          <t>-98.9%</t>
        </is>
      </c>
      <c r="M33" t="inlineStr">
        <is>
          <t>any_type</t>
        </is>
      </c>
      <c r="N33" t="inlineStr">
        <is>
          <t>yes</t>
        </is>
      </c>
      <c r="O33" t="inlineStr">
        <is>
          <t>pixel_heuristic</t>
        </is>
      </c>
      <c r="P33">
        <f>HYPERLINK("https://knru.ru/catalog/kurskaya-ul-d-27-2046939361/","ссылка")</f>
        <v/>
      </c>
      <c r="Q33">
        <f>HYPERLINK("https://app.worldcafe.ru/object/11758","ссылка")</f>
        <v/>
      </c>
      <c r="R33" t="inlineStr">
        <is>
          <t>По адресу есть, но площадь другая</t>
        </is>
      </c>
      <c r="S33" t="n">
        <v>1</v>
      </c>
      <c r="T33" t="inlineStr">
        <is>
          <t>Архив rent 427.1 м² 213 000 =HYPERLINK("https://app.worldcafe.ru/object/11758","ссылка")</t>
        </is>
      </c>
      <c r="U33" t="n">
        <v>218</v>
      </c>
      <c r="V33" t="n">
        <v>10</v>
      </c>
      <c r="W33" t="n">
        <v>2</v>
      </c>
      <c r="X33" t="n">
        <v>18621375</v>
      </c>
      <c r="Y33" t="n">
        <v>213000</v>
      </c>
      <c r="Z33" t="n">
        <v>-18408375</v>
      </c>
      <c r="AA33" t="inlineStr">
        <is>
          <t>https://knru.ru/catalog/kurskaya-ul-d-27-2046939361/</t>
        </is>
      </c>
    </row>
    <row r="34">
      <c r="A34" t="n">
        <v>219</v>
      </c>
      <c r="B34" t="n">
        <v>10</v>
      </c>
      <c r="C34" t="n">
        <v>3</v>
      </c>
      <c r="D34" t="n">
        <v>1928686855</v>
      </c>
      <c r="E34" t="inlineStr">
        <is>
          <t>Фрунзенский</t>
        </is>
      </c>
      <c r="F34" t="inlineStr">
        <is>
          <t>Курская ул., д. 27</t>
        </is>
      </c>
      <c r="G34" t="n">
        <v>91.90000000000001</v>
      </c>
      <c r="H34" t="inlineStr">
        <is>
          <t>29 753 982</t>
        </is>
      </c>
      <c r="I34" t="inlineStr">
        <is>
          <t>213 000</t>
        </is>
      </c>
      <c r="J34" t="inlineStr">
        <is>
          <t>У нас дешевле на 29 540 982 (99.3%)</t>
        </is>
      </c>
      <c r="K34" t="inlineStr">
        <is>
          <t>-29 540 982</t>
        </is>
      </c>
      <c r="L34" t="inlineStr">
        <is>
          <t>-99.3%</t>
        </is>
      </c>
      <c r="M34" t="inlineStr">
        <is>
          <t>any_type</t>
        </is>
      </c>
      <c r="N34" t="inlineStr">
        <is>
          <t>yes</t>
        </is>
      </c>
      <c r="O34" t="inlineStr">
        <is>
          <t>pixel_heuristic</t>
        </is>
      </c>
      <c r="P34">
        <f>HYPERLINK("https://knru.ru/catalog/kurskaya-ul-d-27-1928686855/","ссылка")</f>
        <v/>
      </c>
      <c r="Q34">
        <f>HYPERLINK("https://app.worldcafe.ru/object/11758","ссылка")</f>
        <v/>
      </c>
      <c r="R34" t="inlineStr">
        <is>
          <t>По адресу есть, но площадь другая</t>
        </is>
      </c>
      <c r="S34" t="n">
        <v>1</v>
      </c>
      <c r="T34" t="inlineStr">
        <is>
          <t>Архив rent 427.1 м² 213 000 =HYPERLINK("https://app.worldcafe.ru/object/11758","ссылка")</t>
        </is>
      </c>
      <c r="U34" t="n">
        <v>219</v>
      </c>
      <c r="V34" t="n">
        <v>10</v>
      </c>
      <c r="W34" t="n">
        <v>3</v>
      </c>
      <c r="X34" t="n">
        <v>29753982</v>
      </c>
      <c r="Y34" t="n">
        <v>213000</v>
      </c>
      <c r="Z34" t="n">
        <v>-29540982</v>
      </c>
      <c r="AA34" t="inlineStr">
        <is>
          <t>https://knru.ru/catalog/kurskaya-ul-d-27-1928686855/</t>
        </is>
      </c>
    </row>
    <row r="35">
      <c r="A35" t="n">
        <v>220</v>
      </c>
      <c r="B35" t="n">
        <v>10</v>
      </c>
      <c r="C35" t="n">
        <v>4</v>
      </c>
      <c r="D35" t="n">
        <v>27</v>
      </c>
      <c r="E35" t="inlineStr">
        <is>
          <t>Фрунзенский</t>
        </is>
      </c>
      <c r="F35" t="inlineStr">
        <is>
          <t>Курская ул., д. 27</t>
        </is>
      </c>
      <c r="G35" t="n">
        <v>57.7</v>
      </c>
      <c r="H35" t="inlineStr">
        <is>
          <t>16 078 396</t>
        </is>
      </c>
      <c r="I35" t="inlineStr">
        <is>
          <t>213 000</t>
        </is>
      </c>
      <c r="J35" t="inlineStr">
        <is>
          <t>У нас дешевле на 15 865 396 (98.7%)</t>
        </is>
      </c>
      <c r="K35" t="inlineStr">
        <is>
          <t>-15 865 396</t>
        </is>
      </c>
      <c r="L35" t="inlineStr">
        <is>
          <t>-98.7%</t>
        </is>
      </c>
      <c r="M35" t="inlineStr">
        <is>
          <t>any_type</t>
        </is>
      </c>
      <c r="N35" t="inlineStr">
        <is>
          <t>yes</t>
        </is>
      </c>
      <c r="O35" t="inlineStr">
        <is>
          <t>pixel_heuristic</t>
        </is>
      </c>
      <c r="P35">
        <f>HYPERLINK("https://knru.ru/catalog/kurskaya-ul-d-27/","ссылка")</f>
        <v/>
      </c>
      <c r="Q35">
        <f>HYPERLINK("https://app.worldcafe.ru/object/11758","ссылка")</f>
        <v/>
      </c>
      <c r="R35" t="inlineStr">
        <is>
          <t>По адресу есть, но площадь другая</t>
        </is>
      </c>
      <c r="S35" t="n">
        <v>1</v>
      </c>
      <c r="T35" t="inlineStr">
        <is>
          <t>Архив rent 427.1 м² 213 000 =HYPERLINK("https://app.worldcafe.ru/object/11758","ссылка")</t>
        </is>
      </c>
      <c r="U35" t="n">
        <v>220</v>
      </c>
      <c r="V35" t="n">
        <v>10</v>
      </c>
      <c r="W35" t="n">
        <v>4</v>
      </c>
      <c r="X35" t="n">
        <v>16078396</v>
      </c>
      <c r="Y35" t="n">
        <v>213000</v>
      </c>
      <c r="Z35" t="n">
        <v>-15865396</v>
      </c>
      <c r="AA35" t="inlineStr">
        <is>
          <t>https://knru.ru/catalog/kurskaya-ul-d-27/</t>
        </is>
      </c>
    </row>
    <row r="36">
      <c r="A36" t="n">
        <v>228</v>
      </c>
      <c r="B36" t="n">
        <v>10</v>
      </c>
      <c r="C36" t="n">
        <v>12</v>
      </c>
      <c r="D36" t="n">
        <v>1</v>
      </c>
      <c r="E36" t="inlineStr">
        <is>
          <t>Приморский</t>
        </is>
      </c>
      <c r="F36" t="inlineStr">
        <is>
          <t>Реки Каменки наб., д. 15 к 2 с 1</t>
        </is>
      </c>
      <c r="G36" t="n">
        <v>577.5</v>
      </c>
      <c r="H36" t="inlineStr">
        <is>
          <t>158 812 500</t>
        </is>
      </c>
      <c r="I36" t="inlineStr">
        <is>
          <t>200 000</t>
        </is>
      </c>
      <c r="J36" t="inlineStr">
        <is>
          <t>У нас дешевле на 158 612 500 (99.9%)</t>
        </is>
      </c>
      <c r="K36" t="inlineStr">
        <is>
          <t>-158 612 500</t>
        </is>
      </c>
      <c r="L36" t="inlineStr">
        <is>
          <t>-99.9%</t>
        </is>
      </c>
      <c r="M36" t="inlineStr">
        <is>
          <t>any_type</t>
        </is>
      </c>
      <c r="N36" t="inlineStr">
        <is>
          <t>yes</t>
        </is>
      </c>
      <c r="O36" t="inlineStr">
        <is>
          <t>pixel_heuristic</t>
        </is>
      </c>
      <c r="P36">
        <f>HYPERLINK("https://knru.ru/catalog/reki-kamenki-nab-d-15-k-2-s-1/","ссылка")</f>
        <v/>
      </c>
      <c r="Q36">
        <f>HYPERLINK("https://app.worldcafe.ru/object/20167","ссылка")</f>
        <v/>
      </c>
      <c r="R36" t="inlineStr">
        <is>
          <t>Корпус/строение не совпало</t>
        </is>
      </c>
      <c r="S36" t="n">
        <v>1</v>
      </c>
      <c r="T36" t="inlineStr">
        <is>
          <t>На сайте rent 94.6 м² 200 000 =HYPERLINK("https://app.worldcafe.ru/object/20167","ссылка")</t>
        </is>
      </c>
      <c r="U36" t="n">
        <v>228</v>
      </c>
      <c r="V36" t="n">
        <v>10</v>
      </c>
      <c r="W36" t="n">
        <v>12</v>
      </c>
      <c r="X36" t="n">
        <v>158812500</v>
      </c>
      <c r="Y36" t="n">
        <v>200000</v>
      </c>
      <c r="Z36" t="n">
        <v>-158612500</v>
      </c>
      <c r="AA36" t="inlineStr">
        <is>
          <t>https://knru.ru/catalog/reki-kamenki-nab-d-15-k-2-s-1/</t>
        </is>
      </c>
    </row>
    <row r="37">
      <c r="A37" t="n">
        <v>232</v>
      </c>
      <c r="B37" t="n">
        <v>10</v>
      </c>
      <c r="C37" t="n">
        <v>16</v>
      </c>
      <c r="D37" t="n">
        <v>193475553</v>
      </c>
      <c r="E37" t="inlineStr">
        <is>
          <t>Фрунзенский</t>
        </is>
      </c>
      <c r="F37" t="inlineStr">
        <is>
          <t>Салова ул., д. 61/1</t>
        </is>
      </c>
      <c r="G37" t="n">
        <v>82.09999999999999</v>
      </c>
      <c r="H37" t="inlineStr">
        <is>
          <t>20 935 500</t>
        </is>
      </c>
      <c r="I37" t="inlineStr">
        <is>
          <t>95 000 000</t>
        </is>
      </c>
      <c r="J37" t="inlineStr">
        <is>
          <t>У нас дороже на 74 064 500 (353.8%)</t>
        </is>
      </c>
      <c r="K37" t="inlineStr">
        <is>
          <t>74 064 500</t>
        </is>
      </c>
      <c r="L37" t="inlineStr">
        <is>
          <t>353.8%</t>
        </is>
      </c>
      <c r="M37" t="inlineStr">
        <is>
          <t>sale_only</t>
        </is>
      </c>
      <c r="N37" t="inlineStr">
        <is>
          <t>yes</t>
        </is>
      </c>
      <c r="O37" t="inlineStr">
        <is>
          <t>pixel_heuristic</t>
        </is>
      </c>
      <c r="P37">
        <f>HYPERLINK("https://knru.ru/catalog/salova-ul-d-61-1-193475553/","ссылка")</f>
        <v/>
      </c>
      <c r="Q37">
        <f>HYPERLINK("https://app.worldcafe.ru/object/12710","ссылка")</f>
        <v/>
      </c>
      <c r="R37" t="inlineStr">
        <is>
          <t>По адресу есть, но площадь другая</t>
        </is>
      </c>
      <c r="S37" t="n">
        <v>2</v>
      </c>
      <c r="T3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7" t="n">
        <v>232</v>
      </c>
      <c r="V37" t="n">
        <v>10</v>
      </c>
      <c r="W37" t="n">
        <v>16</v>
      </c>
      <c r="X37" t="n">
        <v>20935500</v>
      </c>
      <c r="Y37" t="n">
        <v>95000000</v>
      </c>
      <c r="Z37" t="n">
        <v>74064500</v>
      </c>
      <c r="AA37" t="inlineStr">
        <is>
          <t>https://knru.ru/catalog/salova-ul-d-61-1-193475553/</t>
        </is>
      </c>
    </row>
    <row r="38">
      <c r="A38" t="n">
        <v>233</v>
      </c>
      <c r="B38" t="n">
        <v>10</v>
      </c>
      <c r="C38" t="n">
        <v>17</v>
      </c>
      <c r="D38" t="n">
        <v>560139728</v>
      </c>
      <c r="E38" t="inlineStr">
        <is>
          <t>Фрунзенский</t>
        </is>
      </c>
      <c r="F38" t="inlineStr">
        <is>
          <t>Салова ул., д. 61/1</t>
        </is>
      </c>
      <c r="G38" t="n">
        <v>55.6</v>
      </c>
      <c r="H38" t="inlineStr">
        <is>
          <t>15 012 000</t>
        </is>
      </c>
      <c r="I38" t="inlineStr">
        <is>
          <t>95 000 000</t>
        </is>
      </c>
      <c r="J38" t="inlineStr">
        <is>
          <t>У нас дороже на 79 988 000 (532.8%)</t>
        </is>
      </c>
      <c r="K38" t="inlineStr">
        <is>
          <t>79 988 000</t>
        </is>
      </c>
      <c r="L38" t="inlineStr">
        <is>
          <t>532.8%</t>
        </is>
      </c>
      <c r="M38" t="inlineStr">
        <is>
          <t>sale_only</t>
        </is>
      </c>
      <c r="N38" t="inlineStr">
        <is>
          <t>yes</t>
        </is>
      </c>
      <c r="O38" t="inlineStr">
        <is>
          <t>pixel_heuristic</t>
        </is>
      </c>
      <c r="P38">
        <f>HYPERLINK("https://knru.ru/catalog/salova-ul-d-61-1-560139728/","ссылка")</f>
        <v/>
      </c>
      <c r="Q38">
        <f>HYPERLINK("https://app.worldcafe.ru/object/12710","ссылка")</f>
        <v/>
      </c>
      <c r="R38" t="inlineStr">
        <is>
          <t>По адресу есть, но площадь другая</t>
        </is>
      </c>
      <c r="S38" t="n">
        <v>2</v>
      </c>
      <c r="T3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8" t="n">
        <v>233</v>
      </c>
      <c r="V38" t="n">
        <v>10</v>
      </c>
      <c r="W38" t="n">
        <v>17</v>
      </c>
      <c r="X38" t="n">
        <v>15012000</v>
      </c>
      <c r="Y38" t="n">
        <v>95000000</v>
      </c>
      <c r="Z38" t="n">
        <v>79988000</v>
      </c>
      <c r="AA38" t="inlineStr">
        <is>
          <t>https://knru.ru/catalog/salova-ul-d-61-1-560139728/</t>
        </is>
      </c>
    </row>
    <row r="39">
      <c r="A39" t="n">
        <v>234</v>
      </c>
      <c r="B39" t="n">
        <v>10</v>
      </c>
      <c r="C39" t="n">
        <v>18</v>
      </c>
      <c r="D39" t="n">
        <v>158213163</v>
      </c>
      <c r="E39" t="inlineStr">
        <is>
          <t>Фрунзенский</t>
        </is>
      </c>
      <c r="F39" t="inlineStr">
        <is>
          <t>Салова ул., д. 61/1</t>
        </is>
      </c>
      <c r="G39" t="n">
        <v>56.4</v>
      </c>
      <c r="H39" t="inlineStr">
        <is>
          <t>15 228 000</t>
        </is>
      </c>
      <c r="I39" t="inlineStr">
        <is>
          <t>95 000 000</t>
        </is>
      </c>
      <c r="J39" t="inlineStr">
        <is>
          <t>У нас дороже на 79 772 000 (523.9%)</t>
        </is>
      </c>
      <c r="K39" t="inlineStr">
        <is>
          <t>79 772 000</t>
        </is>
      </c>
      <c r="L39" t="inlineStr">
        <is>
          <t>523.9%</t>
        </is>
      </c>
      <c r="M39" t="inlineStr">
        <is>
          <t>sale_only</t>
        </is>
      </c>
      <c r="N39" t="inlineStr">
        <is>
          <t>yes</t>
        </is>
      </c>
      <c r="O39" t="inlineStr">
        <is>
          <t>pixel_heuristic</t>
        </is>
      </c>
      <c r="P39">
        <f>HYPERLINK("https://knru.ru/catalog/salova-ul-d-61-1-158213163/","ссылка")</f>
        <v/>
      </c>
      <c r="Q39">
        <f>HYPERLINK("https://app.worldcafe.ru/object/12710","ссылка")</f>
        <v/>
      </c>
      <c r="R39" t="inlineStr">
        <is>
          <t>По адресу есть, но площадь другая</t>
        </is>
      </c>
      <c r="S39" t="n">
        <v>2</v>
      </c>
      <c r="T39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39" t="n">
        <v>234</v>
      </c>
      <c r="V39" t="n">
        <v>10</v>
      </c>
      <c r="W39" t="n">
        <v>18</v>
      </c>
      <c r="X39" t="n">
        <v>15228000</v>
      </c>
      <c r="Y39" t="n">
        <v>95000000</v>
      </c>
      <c r="Z39" t="n">
        <v>79772000</v>
      </c>
      <c r="AA39" t="inlineStr">
        <is>
          <t>https://knru.ru/catalog/salova-ul-d-61-1-158213163/</t>
        </is>
      </c>
    </row>
    <row r="40">
      <c r="A40" t="n">
        <v>235</v>
      </c>
      <c r="B40" t="n">
        <v>10</v>
      </c>
      <c r="C40" t="n">
        <v>19</v>
      </c>
      <c r="D40" t="n">
        <v>1064821775</v>
      </c>
      <c r="E40" t="inlineStr">
        <is>
          <t>Фрунзенский</t>
        </is>
      </c>
      <c r="F40" t="inlineStr">
        <is>
          <t>Салова ул., д. 61/1</t>
        </is>
      </c>
      <c r="G40" t="n">
        <v>54.6</v>
      </c>
      <c r="H40" t="inlineStr">
        <is>
          <t>14 742 000</t>
        </is>
      </c>
      <c r="I40" t="inlineStr">
        <is>
          <t>95 000 000</t>
        </is>
      </c>
      <c r="J40" t="inlineStr">
        <is>
          <t>У нас дороже на 80 258 000 (544.4%)</t>
        </is>
      </c>
      <c r="K40" t="inlineStr">
        <is>
          <t>80 258 000</t>
        </is>
      </c>
      <c r="L40" t="inlineStr">
        <is>
          <t>544.4%</t>
        </is>
      </c>
      <c r="M40" t="inlineStr">
        <is>
          <t>sale_only</t>
        </is>
      </c>
      <c r="N40" t="inlineStr">
        <is>
          <t>yes</t>
        </is>
      </c>
      <c r="O40" t="inlineStr">
        <is>
          <t>pixel_heuristic</t>
        </is>
      </c>
      <c r="P40">
        <f>HYPERLINK("https://knru.ru/catalog/salova-ul-d-61-1-1064821775/","ссылка")</f>
        <v/>
      </c>
      <c r="Q40">
        <f>HYPERLINK("https://app.worldcafe.ru/object/12710","ссылка")</f>
        <v/>
      </c>
      <c r="R40" t="inlineStr">
        <is>
          <t>По адресу есть, но площадь другая</t>
        </is>
      </c>
      <c r="S40" t="n">
        <v>2</v>
      </c>
      <c r="T4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40" t="n">
        <v>235</v>
      </c>
      <c r="V40" t="n">
        <v>10</v>
      </c>
      <c r="W40" t="n">
        <v>19</v>
      </c>
      <c r="X40" t="n">
        <v>14742000</v>
      </c>
      <c r="Y40" t="n">
        <v>95000000</v>
      </c>
      <c r="Z40" t="n">
        <v>80258000</v>
      </c>
      <c r="AA40" t="inlineStr">
        <is>
          <t>https://knru.ru/catalog/salova-ul-d-61-1-1064821775/</t>
        </is>
      </c>
    </row>
    <row r="41">
      <c r="A41" t="n">
        <v>236</v>
      </c>
      <c r="B41" t="n">
        <v>10</v>
      </c>
      <c r="C41" t="n">
        <v>20</v>
      </c>
      <c r="D41" t="n">
        <v>1091717778</v>
      </c>
      <c r="E41" t="inlineStr">
        <is>
          <t>Фрунзенский</t>
        </is>
      </c>
      <c r="F41" t="inlineStr">
        <is>
          <t>Салова ул., д. 61/1</t>
        </is>
      </c>
      <c r="G41" t="n">
        <v>54.7</v>
      </c>
      <c r="H41" t="inlineStr">
        <is>
          <t>14 769 000</t>
        </is>
      </c>
      <c r="I41" t="inlineStr">
        <is>
          <t>95 000 000</t>
        </is>
      </c>
      <c r="J41" t="inlineStr">
        <is>
          <t>У нас дороже на 80 231 000 (543.2%)</t>
        </is>
      </c>
      <c r="K41" t="inlineStr">
        <is>
          <t>80 231 000</t>
        </is>
      </c>
      <c r="L41" t="inlineStr">
        <is>
          <t>543.2%</t>
        </is>
      </c>
      <c r="M41" t="inlineStr">
        <is>
          <t>sale_only</t>
        </is>
      </c>
      <c r="N41" t="inlineStr">
        <is>
          <t>yes</t>
        </is>
      </c>
      <c r="O41" t="inlineStr">
        <is>
          <t>pixel_heuristic</t>
        </is>
      </c>
      <c r="P41">
        <f>HYPERLINK("https://knru.ru/catalog/salova-ul-d-61-1-1091717778/","ссылка")</f>
        <v/>
      </c>
      <c r="Q41">
        <f>HYPERLINK("https://app.worldcafe.ru/object/12710","ссылка")</f>
        <v/>
      </c>
      <c r="R41" t="inlineStr">
        <is>
          <t>По адресу есть, но площадь другая</t>
        </is>
      </c>
      <c r="S41" t="n">
        <v>2</v>
      </c>
      <c r="T41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41" t="n">
        <v>236</v>
      </c>
      <c r="V41" t="n">
        <v>10</v>
      </c>
      <c r="W41" t="n">
        <v>20</v>
      </c>
      <c r="X41" t="n">
        <v>14769000</v>
      </c>
      <c r="Y41" t="n">
        <v>95000000</v>
      </c>
      <c r="Z41" t="n">
        <v>80231000</v>
      </c>
      <c r="AA41" t="inlineStr">
        <is>
          <t>https://knru.ru/catalog/salova-ul-d-61-1-1091717778/</t>
        </is>
      </c>
    </row>
    <row r="42">
      <c r="A42" t="n">
        <v>237</v>
      </c>
      <c r="B42" t="n">
        <v>10</v>
      </c>
      <c r="C42" t="n">
        <v>21</v>
      </c>
      <c r="D42" t="n">
        <v>973236738</v>
      </c>
      <c r="E42" t="inlineStr">
        <is>
          <t>Фрунзенский</t>
        </is>
      </c>
      <c r="F42" t="inlineStr">
        <is>
          <t>Салова ул., д. 61/1</t>
        </is>
      </c>
      <c r="G42" t="n">
        <v>39.2</v>
      </c>
      <c r="H42" t="inlineStr">
        <is>
          <t>10 584 000</t>
        </is>
      </c>
      <c r="I42" t="inlineStr">
        <is>
          <t>95 000 000</t>
        </is>
      </c>
      <c r="J42" t="inlineStr">
        <is>
          <t>У нас дороже на 84 416 000 (797.6%)</t>
        </is>
      </c>
      <c r="K42" t="inlineStr">
        <is>
          <t>84 416 000</t>
        </is>
      </c>
      <c r="L42" t="inlineStr">
        <is>
          <t>797.6%</t>
        </is>
      </c>
      <c r="M42" t="inlineStr">
        <is>
          <t>sale_only</t>
        </is>
      </c>
      <c r="N42" t="inlineStr">
        <is>
          <t>yes</t>
        </is>
      </c>
      <c r="O42" t="inlineStr">
        <is>
          <t>pixel_heuristic</t>
        </is>
      </c>
      <c r="P42">
        <f>HYPERLINK("https://knru.ru/catalog/salova-ul-d-61-1-973236738/","ссылка")</f>
        <v/>
      </c>
      <c r="Q42">
        <f>HYPERLINK("https://app.worldcafe.ru/object/12710","ссылка")</f>
        <v/>
      </c>
      <c r="R42" t="inlineStr">
        <is>
          <t>По адресу есть, но площадь другая</t>
        </is>
      </c>
      <c r="S42" t="n">
        <v>2</v>
      </c>
      <c r="T42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42" t="n">
        <v>237</v>
      </c>
      <c r="V42" t="n">
        <v>10</v>
      </c>
      <c r="W42" t="n">
        <v>21</v>
      </c>
      <c r="X42" t="n">
        <v>10584000</v>
      </c>
      <c r="Y42" t="n">
        <v>95000000</v>
      </c>
      <c r="Z42" t="n">
        <v>84416000</v>
      </c>
      <c r="AA42" t="inlineStr">
        <is>
          <t>https://knru.ru/catalog/salova-ul-d-61-1-973236738/</t>
        </is>
      </c>
    </row>
    <row r="43">
      <c r="A43" t="n">
        <v>347</v>
      </c>
      <c r="B43" t="n">
        <v>15</v>
      </c>
      <c r="C43" t="n">
        <v>11</v>
      </c>
      <c r="D43" t="n">
        <v>590985562</v>
      </c>
      <c r="E43" t="inlineStr">
        <is>
          <t>Красносельский</t>
        </is>
      </c>
      <c r="F43" t="inlineStr">
        <is>
          <t>Патриотов пр., д. 35/1</t>
        </is>
      </c>
      <c r="G43" t="n">
        <v>55.3</v>
      </c>
      <c r="H43" t="inlineStr">
        <is>
          <t>19 340 511</t>
        </is>
      </c>
      <c r="I43" t="inlineStr">
        <is>
          <t>0</t>
        </is>
      </c>
      <c r="J43" t="inlineStr">
        <is>
          <t>У нас дешевле на 19 340 511 (100.0%)</t>
        </is>
      </c>
      <c r="K43" t="inlineStr">
        <is>
          <t>-19 340 511</t>
        </is>
      </c>
      <c r="L43" t="inlineStr">
        <is>
          <t>-100.0%</t>
        </is>
      </c>
      <c r="M43" t="inlineStr">
        <is>
          <t>any_type</t>
        </is>
      </c>
      <c r="N43" t="inlineStr">
        <is>
          <t>yes</t>
        </is>
      </c>
      <c r="O43" t="inlineStr">
        <is>
          <t>pixel_heuristic</t>
        </is>
      </c>
      <c r="P43">
        <f>HYPERLINK("https://knru.ru/catalog/patriotov-pr-d-35-1-590985562/","ссылка")</f>
        <v/>
      </c>
      <c r="Q43">
        <f>HYPERLINK("https://app.worldcafe.ru/object/14935","ссылка")</f>
        <v/>
      </c>
      <c r="R43" t="inlineStr">
        <is>
          <t>По адресу есть, но площадь другая</t>
        </is>
      </c>
      <c r="S43" t="n">
        <v>1</v>
      </c>
      <c r="T43" t="inlineStr">
        <is>
          <t>Архив rent 36.1 м² 0 =HYPERLINK("https://app.worldcafe.ru/object/14935","ссылка")</t>
        </is>
      </c>
      <c r="U43" t="n">
        <v>347</v>
      </c>
      <c r="V43" t="n">
        <v>15</v>
      </c>
      <c r="W43" t="n">
        <v>11</v>
      </c>
      <c r="X43" t="n">
        <v>19340511</v>
      </c>
      <c r="Y43" t="n">
        <v>0</v>
      </c>
      <c r="Z43" t="n">
        <v>-19340511</v>
      </c>
      <c r="AA43" t="inlineStr">
        <is>
          <t>https://knru.ru/catalog/patriotov-pr-d-35-1-590985562/</t>
        </is>
      </c>
    </row>
    <row r="44">
      <c r="A44" t="n">
        <v>348</v>
      </c>
      <c r="B44" t="n">
        <v>15</v>
      </c>
      <c r="C44" t="n">
        <v>12</v>
      </c>
      <c r="D44" t="n">
        <v>1916593073</v>
      </c>
      <c r="E44" t="inlineStr">
        <is>
          <t>Красносельский</t>
        </is>
      </c>
      <c r="F44" t="inlineStr">
        <is>
          <t>Патриотов пр., д. 35/1</t>
        </is>
      </c>
      <c r="G44" t="n">
        <v>58.3</v>
      </c>
      <c r="H44" t="inlineStr">
        <is>
          <t>20 381 680</t>
        </is>
      </c>
      <c r="I44" t="inlineStr">
        <is>
          <t>0</t>
        </is>
      </c>
      <c r="J44" t="inlineStr">
        <is>
          <t>У нас дешевле на 20 381 680 (100.0%)</t>
        </is>
      </c>
      <c r="K44" t="inlineStr">
        <is>
          <t>-20 381 680</t>
        </is>
      </c>
      <c r="L44" t="inlineStr">
        <is>
          <t>-100.0%</t>
        </is>
      </c>
      <c r="M44" t="inlineStr">
        <is>
          <t>any_type</t>
        </is>
      </c>
      <c r="N44" t="inlineStr">
        <is>
          <t>yes</t>
        </is>
      </c>
      <c r="O44" t="inlineStr">
        <is>
          <t>pixel_heuristic</t>
        </is>
      </c>
      <c r="P44">
        <f>HYPERLINK("https://knru.ru/catalog/patriotov-pr-d-35-1-1916593073/","ссылка")</f>
        <v/>
      </c>
      <c r="Q44">
        <f>HYPERLINK("https://app.worldcafe.ru/object/14935","ссылка")</f>
        <v/>
      </c>
      <c r="R44" t="inlineStr">
        <is>
          <t>По адресу есть, но площадь другая</t>
        </is>
      </c>
      <c r="S44" t="n">
        <v>1</v>
      </c>
      <c r="T44" t="inlineStr">
        <is>
          <t>Архив rent 36.1 м² 0 =HYPERLINK("https://app.worldcafe.ru/object/14935","ссылка")</t>
        </is>
      </c>
      <c r="U44" t="n">
        <v>348</v>
      </c>
      <c r="V44" t="n">
        <v>15</v>
      </c>
      <c r="W44" t="n">
        <v>12</v>
      </c>
      <c r="X44" t="n">
        <v>20381680</v>
      </c>
      <c r="Y44" t="n">
        <v>0</v>
      </c>
      <c r="Z44" t="n">
        <v>-20381680</v>
      </c>
      <c r="AA44" t="inlineStr">
        <is>
          <t>https://knru.ru/catalog/patriotov-pr-d-35-1-1916593073/</t>
        </is>
      </c>
    </row>
    <row r="45">
      <c r="A45" t="n">
        <v>349</v>
      </c>
      <c r="B45" t="n">
        <v>15</v>
      </c>
      <c r="C45" t="n">
        <v>13</v>
      </c>
      <c r="D45" t="n">
        <v>1</v>
      </c>
      <c r="E45" t="inlineStr">
        <is>
          <t>Красносельский</t>
        </is>
      </c>
      <c r="F45" t="inlineStr">
        <is>
          <t>Патриотов пр., д. 35/1</t>
        </is>
      </c>
      <c r="G45" t="n">
        <v>72.90000000000001</v>
      </c>
      <c r="H45" t="inlineStr">
        <is>
          <t>22 810 497</t>
        </is>
      </c>
      <c r="I45" t="inlineStr">
        <is>
          <t>0</t>
        </is>
      </c>
      <c r="J45" t="inlineStr">
        <is>
          <t>У нас дешевле на 22 810 497 (100.0%)</t>
        </is>
      </c>
      <c r="K45" t="inlineStr">
        <is>
          <t>-22 810 497</t>
        </is>
      </c>
      <c r="L45" t="inlineStr">
        <is>
          <t>-100.0%</t>
        </is>
      </c>
      <c r="M45" t="inlineStr">
        <is>
          <t>any_type</t>
        </is>
      </c>
      <c r="N45" t="inlineStr">
        <is>
          <t>yes</t>
        </is>
      </c>
      <c r="O45" t="inlineStr">
        <is>
          <t>pixel_heuristic</t>
        </is>
      </c>
      <c r="P45">
        <f>HYPERLINK("https://knru.ru/catalog/patriotov-pr-d-35-1/","ссылка")</f>
        <v/>
      </c>
      <c r="Q45">
        <f>HYPERLINK("https://app.worldcafe.ru/object/14935","ссылка")</f>
        <v/>
      </c>
      <c r="R45" t="inlineStr">
        <is>
          <t>По адресу есть, но площадь другая</t>
        </is>
      </c>
      <c r="S45" t="n">
        <v>1</v>
      </c>
      <c r="T45" t="inlineStr">
        <is>
          <t>Архив rent 36.1 м² 0 =HYPERLINK("https://app.worldcafe.ru/object/14935","ссылка")</t>
        </is>
      </c>
      <c r="U45" t="n">
        <v>349</v>
      </c>
      <c r="V45" t="n">
        <v>15</v>
      </c>
      <c r="W45" t="n">
        <v>13</v>
      </c>
      <c r="X45" t="n">
        <v>22810497</v>
      </c>
      <c r="Y45" t="n">
        <v>0</v>
      </c>
      <c r="Z45" t="n">
        <v>-22810497</v>
      </c>
      <c r="AA45" t="inlineStr">
        <is>
          <t>https://knru.ru/catalog/patriotov-pr-d-35-1/</t>
        </is>
      </c>
    </row>
    <row r="46">
      <c r="A46" t="n">
        <v>350</v>
      </c>
      <c r="B46" t="n">
        <v>15</v>
      </c>
      <c r="C46" t="n">
        <v>14</v>
      </c>
      <c r="D46" t="n">
        <v>56352521</v>
      </c>
      <c r="E46" t="inlineStr">
        <is>
          <t>Фрунзенский</t>
        </is>
      </c>
      <c r="F46" t="inlineStr">
        <is>
          <t>Салова ул., д. 61/1</t>
        </is>
      </c>
      <c r="G46" t="n">
        <v>1688</v>
      </c>
      <c r="H46" t="inlineStr">
        <is>
          <t>506 400 000</t>
        </is>
      </c>
      <c r="I46" t="inlineStr">
        <is>
          <t>95 000 000</t>
        </is>
      </c>
      <c r="J46" t="inlineStr">
        <is>
          <t>У нас дешевле на 411 400 000 (81.2%)</t>
        </is>
      </c>
      <c r="K46" t="inlineStr">
        <is>
          <t>-411 400 000</t>
        </is>
      </c>
      <c r="L46" t="inlineStr">
        <is>
          <t>-81.2%</t>
        </is>
      </c>
      <c r="M46" t="inlineStr">
        <is>
          <t>sale_only</t>
        </is>
      </c>
      <c r="N46" t="inlineStr">
        <is>
          <t>yes</t>
        </is>
      </c>
      <c r="O46" t="inlineStr">
        <is>
          <t>pixel_heuristic</t>
        </is>
      </c>
      <c r="P46">
        <f>HYPERLINK("https://knru.ru/catalog/salova-ul-d-61-1-56352521/","ссылка")</f>
        <v/>
      </c>
      <c r="Q46">
        <f>HYPERLINK("https://app.worldcafe.ru/object/12710","ссылка")</f>
        <v/>
      </c>
      <c r="R46" t="inlineStr">
        <is>
          <t>По адресу есть, но площадь другая</t>
        </is>
      </c>
      <c r="S46" t="n">
        <v>2</v>
      </c>
      <c r="T4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46" t="n">
        <v>350</v>
      </c>
      <c r="V46" t="n">
        <v>15</v>
      </c>
      <c r="W46" t="n">
        <v>14</v>
      </c>
      <c r="X46" t="n">
        <v>506400000</v>
      </c>
      <c r="Y46" t="n">
        <v>95000000</v>
      </c>
      <c r="Z46" t="n">
        <v>-411400000</v>
      </c>
      <c r="AA46" t="inlineStr">
        <is>
          <t>https://knru.ru/catalog/salova-ul-d-61-1-56352521/</t>
        </is>
      </c>
    </row>
    <row r="47">
      <c r="A47" t="n">
        <v>351</v>
      </c>
      <c r="B47" t="n">
        <v>15</v>
      </c>
      <c r="C47" t="n">
        <v>15</v>
      </c>
      <c r="D47" t="n">
        <v>1307054978</v>
      </c>
      <c r="E47" t="inlineStr">
        <is>
          <t>Фрунзенский</t>
        </is>
      </c>
      <c r="F47" t="inlineStr">
        <is>
          <t>Салова ул., д. 61/1</t>
        </is>
      </c>
      <c r="G47" t="n">
        <v>372.6</v>
      </c>
      <c r="H47" t="inlineStr">
        <is>
          <t>119 232 000</t>
        </is>
      </c>
      <c r="I47" t="inlineStr">
        <is>
          <t>95 000 000</t>
        </is>
      </c>
      <c r="J47" t="inlineStr">
        <is>
          <t>У нас дешевле на 24 232 000 (20.3%)</t>
        </is>
      </c>
      <c r="K47" t="inlineStr">
        <is>
          <t>-24 232 000</t>
        </is>
      </c>
      <c r="L47" t="inlineStr">
        <is>
          <t>-20.3%</t>
        </is>
      </c>
      <c r="M47" t="inlineStr">
        <is>
          <t>sale_only</t>
        </is>
      </c>
      <c r="N47" t="inlineStr">
        <is>
          <t>yes</t>
        </is>
      </c>
      <c r="O47" t="inlineStr">
        <is>
          <t>pixel_heuristic</t>
        </is>
      </c>
      <c r="P47">
        <f>HYPERLINK("https://knru.ru/catalog/salova-ul-d-61-1-1307054978/","ссылка")</f>
        <v/>
      </c>
      <c r="Q47">
        <f>HYPERLINK("https://app.worldcafe.ru/object/12710","ссылка")</f>
        <v/>
      </c>
      <c r="R47" t="inlineStr">
        <is>
          <t>По адресу есть, но площадь другая</t>
        </is>
      </c>
      <c r="S47" t="n">
        <v>2</v>
      </c>
      <c r="T4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47" t="n">
        <v>351</v>
      </c>
      <c r="V47" t="n">
        <v>15</v>
      </c>
      <c r="W47" t="n">
        <v>15</v>
      </c>
      <c r="X47" t="n">
        <v>119232000</v>
      </c>
      <c r="Y47" t="n">
        <v>95000000</v>
      </c>
      <c r="Z47" t="n">
        <v>-24232000</v>
      </c>
      <c r="AA47" t="inlineStr">
        <is>
          <t>https://knru.ru/catalog/salova-ul-d-61-1-1307054978/</t>
        </is>
      </c>
    </row>
    <row r="48">
      <c r="A48" t="n">
        <v>352</v>
      </c>
      <c r="B48" t="n">
        <v>15</v>
      </c>
      <c r="C48" t="n">
        <v>16</v>
      </c>
      <c r="D48" t="n">
        <v>330508538</v>
      </c>
      <c r="E48" t="inlineStr">
        <is>
          <t>Приморский</t>
        </is>
      </c>
      <c r="F48" t="inlineStr">
        <is>
          <t>Авиаконструкторов пр., д. 63</t>
        </is>
      </c>
      <c r="G48" t="n">
        <v>65</v>
      </c>
      <c r="H48" t="inlineStr">
        <is>
          <t>18 850 887</t>
        </is>
      </c>
      <c r="I48" t="inlineStr">
        <is>
          <t>92 500 000</t>
        </is>
      </c>
      <c r="J48" t="inlineStr">
        <is>
          <t>У нас дороже на 73 649 113 (390.7%)</t>
        </is>
      </c>
      <c r="K48" t="inlineStr">
        <is>
          <t>73 649 113</t>
        </is>
      </c>
      <c r="L48" t="inlineStr">
        <is>
          <t>390.7%</t>
        </is>
      </c>
      <c r="M48" t="inlineStr">
        <is>
          <t>sale_only</t>
        </is>
      </c>
      <c r="N48" t="inlineStr">
        <is>
          <t>yes</t>
        </is>
      </c>
      <c r="O48" t="inlineStr">
        <is>
          <t>pixel_heuristic</t>
        </is>
      </c>
      <c r="P48">
        <f>HYPERLINK("https://knru.ru/catalog/aviakonstruktorov-pr-d-63-330508538/","ссылка")</f>
        <v/>
      </c>
      <c r="Q48">
        <f>HYPERLINK("https://app.worldcafe.ru/object/18758","ссылка")</f>
        <v/>
      </c>
      <c r="R48" t="inlineStr">
        <is>
          <t>По адресу есть, но площадь другая</t>
        </is>
      </c>
      <c r="S48" t="n">
        <v>1</v>
      </c>
      <c r="T48" t="inlineStr">
        <is>
          <t>Архив sale 363 м² 92 500 000 =HYPERLINK("https://app.worldcafe.ru/object/18758","ссылка")</t>
        </is>
      </c>
      <c r="U48" t="n">
        <v>352</v>
      </c>
      <c r="V48" t="n">
        <v>15</v>
      </c>
      <c r="W48" t="n">
        <v>16</v>
      </c>
      <c r="X48" t="n">
        <v>18850887</v>
      </c>
      <c r="Y48" t="n">
        <v>92500000</v>
      </c>
      <c r="Z48" t="n">
        <v>73649113</v>
      </c>
      <c r="AA48" t="inlineStr">
        <is>
          <t>https://knru.ru/catalog/aviakonstruktorov-pr-d-63-330508538/</t>
        </is>
      </c>
    </row>
    <row r="49">
      <c r="A49" t="n">
        <v>353</v>
      </c>
      <c r="B49" t="n">
        <v>15</v>
      </c>
      <c r="C49" t="n">
        <v>17</v>
      </c>
      <c r="D49" t="n">
        <v>1097572265</v>
      </c>
      <c r="E49" t="inlineStr">
        <is>
          <t>Приморский</t>
        </is>
      </c>
      <c r="F49" t="inlineStr">
        <is>
          <t>Авиаконструкторов пр., д. 63</t>
        </is>
      </c>
      <c r="G49" t="n">
        <v>75.2</v>
      </c>
      <c r="H49" t="inlineStr">
        <is>
          <t>18 536 888</t>
        </is>
      </c>
      <c r="I49" t="inlineStr">
        <is>
          <t>92 500 000</t>
        </is>
      </c>
      <c r="J49" t="inlineStr">
        <is>
          <t>У нас дороже на 73 963 112 (399.0%)</t>
        </is>
      </c>
      <c r="K49" t="inlineStr">
        <is>
          <t>73 963 112</t>
        </is>
      </c>
      <c r="L49" t="inlineStr">
        <is>
          <t>399.0%</t>
        </is>
      </c>
      <c r="M49" t="inlineStr">
        <is>
          <t>sale_only</t>
        </is>
      </c>
      <c r="N49" t="inlineStr">
        <is>
          <t>yes</t>
        </is>
      </c>
      <c r="O49" t="inlineStr">
        <is>
          <t>pixel_heuristic</t>
        </is>
      </c>
      <c r="P49">
        <f>HYPERLINK("https://knru.ru/catalog/aviakonstruktorov-pr-d-63-1097572265/","ссылка")</f>
        <v/>
      </c>
      <c r="Q49">
        <f>HYPERLINK("https://app.worldcafe.ru/object/18758","ссылка")</f>
        <v/>
      </c>
      <c r="R49" t="inlineStr">
        <is>
          <t>По адресу есть, но площадь другая</t>
        </is>
      </c>
      <c r="S49" t="n">
        <v>1</v>
      </c>
      <c r="T49" t="inlineStr">
        <is>
          <t>Архив sale 363 м² 92 500 000 =HYPERLINK("https://app.worldcafe.ru/object/18758","ссылка")</t>
        </is>
      </c>
      <c r="U49" t="n">
        <v>353</v>
      </c>
      <c r="V49" t="n">
        <v>15</v>
      </c>
      <c r="W49" t="n">
        <v>17</v>
      </c>
      <c r="X49" t="n">
        <v>18536888</v>
      </c>
      <c r="Y49" t="n">
        <v>92500000</v>
      </c>
      <c r="Z49" t="n">
        <v>73963112</v>
      </c>
      <c r="AA49" t="inlineStr">
        <is>
          <t>https://knru.ru/catalog/aviakonstruktorov-pr-d-63-1097572265/</t>
        </is>
      </c>
    </row>
    <row r="50">
      <c r="A50" t="n">
        <v>355</v>
      </c>
      <c r="B50" t="n">
        <v>15</v>
      </c>
      <c r="C50" t="n">
        <v>19</v>
      </c>
      <c r="D50" t="n">
        <v>1221429310</v>
      </c>
      <c r="E50" t="inlineStr">
        <is>
          <t>Выборгский</t>
        </is>
      </c>
      <c r="F50" t="inlineStr">
        <is>
          <t>Руднева ул., д. 16/1</t>
        </is>
      </c>
      <c r="G50" t="n">
        <v>369.3</v>
      </c>
      <c r="H50" t="inlineStr">
        <is>
          <t>60 588 687</t>
        </is>
      </c>
      <c r="I50" t="inlineStr">
        <is>
          <t>76 000 000</t>
        </is>
      </c>
      <c r="J50" t="inlineStr">
        <is>
          <t>У нас дороже на 15 411 313 (25.4%)</t>
        </is>
      </c>
      <c r="K50" t="inlineStr">
        <is>
          <t>15 411 313</t>
        </is>
      </c>
      <c r="L50" t="inlineStr">
        <is>
          <t>25.4%</t>
        </is>
      </c>
      <c r="M50" t="inlineStr">
        <is>
          <t>sale_only</t>
        </is>
      </c>
      <c r="N50" t="inlineStr">
        <is>
          <t>no</t>
        </is>
      </c>
      <c r="O50" t="inlineStr">
        <is>
          <t>none</t>
        </is>
      </c>
      <c r="P50">
        <f>HYPERLINK("https://knru.ru/catalog/rudneva-ul-d-16-1-1221429310/","ссылка")</f>
        <v/>
      </c>
      <c r="Q50">
        <f>HYPERLINK("https://app.worldcafe.ru/object/19466","ссылка")</f>
        <v/>
      </c>
      <c r="R50" t="inlineStr">
        <is>
          <t>По адресу есть, но площадь другая</t>
        </is>
      </c>
      <c r="S50" t="n">
        <v>1</v>
      </c>
      <c r="T50" t="inlineStr">
        <is>
          <t>Архив sale 280 м² 76 000 000 =HYPERLINK("https://app.worldcafe.ru/object/19466","ссылка")</t>
        </is>
      </c>
      <c r="U50" t="n">
        <v>355</v>
      </c>
      <c r="V50" t="n">
        <v>15</v>
      </c>
      <c r="W50" t="n">
        <v>19</v>
      </c>
      <c r="X50" t="n">
        <v>60588687</v>
      </c>
      <c r="Y50" t="n">
        <v>76000000</v>
      </c>
      <c r="Z50" t="n">
        <v>15411313</v>
      </c>
      <c r="AA50" t="inlineStr">
        <is>
          <t>https://knru.ru/catalog/rudneva-ul-d-16-1-1221429310/</t>
        </is>
      </c>
    </row>
    <row r="51">
      <c r="A51" t="n">
        <v>356</v>
      </c>
      <c r="B51" t="n">
        <v>15</v>
      </c>
      <c r="C51" t="n">
        <v>20</v>
      </c>
      <c r="D51" t="n">
        <v>230676292</v>
      </c>
      <c r="E51" t="inlineStr">
        <is>
          <t>Выборгский</t>
        </is>
      </c>
      <c r="F51" t="inlineStr">
        <is>
          <t>Руднева ул., д. 16/1</t>
        </is>
      </c>
      <c r="G51" t="n">
        <v>232.2</v>
      </c>
      <c r="H51" t="inlineStr">
        <is>
          <t>40 463 163</t>
        </is>
      </c>
      <c r="I51" t="inlineStr">
        <is>
          <t>76 000 000</t>
        </is>
      </c>
      <c r="J51" t="inlineStr">
        <is>
          <t>У нас дороже на 35 536 837 (87.8%)</t>
        </is>
      </c>
      <c r="K51" t="inlineStr">
        <is>
          <t>35 536 837</t>
        </is>
      </c>
      <c r="L51" t="inlineStr">
        <is>
          <t>87.8%</t>
        </is>
      </c>
      <c r="M51" t="inlineStr">
        <is>
          <t>sale_only</t>
        </is>
      </c>
      <c r="N51" t="inlineStr">
        <is>
          <t>yes</t>
        </is>
      </c>
      <c r="O51" t="inlineStr">
        <is>
          <t>pixel_heuristic</t>
        </is>
      </c>
      <c r="P51">
        <f>HYPERLINK("https://knru.ru/catalog/rudneva-ul-d-16-1-230676292/","ссылка")</f>
        <v/>
      </c>
      <c r="Q51">
        <f>HYPERLINK("https://app.worldcafe.ru/object/19466","ссылка")</f>
        <v/>
      </c>
      <c r="R51" t="inlineStr">
        <is>
          <t>По адресу есть, но площадь другая</t>
        </is>
      </c>
      <c r="S51" t="n">
        <v>1</v>
      </c>
      <c r="T51" t="inlineStr">
        <is>
          <t>Архив sale 280 м² 76 000 000 =HYPERLINK("https://app.worldcafe.ru/object/19466","ссылка")</t>
        </is>
      </c>
      <c r="U51" t="n">
        <v>356</v>
      </c>
      <c r="V51" t="n">
        <v>15</v>
      </c>
      <c r="W51" t="n">
        <v>20</v>
      </c>
      <c r="X51" t="n">
        <v>40463163</v>
      </c>
      <c r="Y51" t="n">
        <v>76000000</v>
      </c>
      <c r="Z51" t="n">
        <v>35536837</v>
      </c>
      <c r="AA51" t="inlineStr">
        <is>
          <t>https://knru.ru/catalog/rudneva-ul-d-16-1-230676292/</t>
        </is>
      </c>
    </row>
    <row r="52">
      <c r="A52" t="n">
        <v>357</v>
      </c>
      <c r="B52" t="n">
        <v>15</v>
      </c>
      <c r="C52" t="n">
        <v>21</v>
      </c>
      <c r="D52" t="n">
        <v>1</v>
      </c>
      <c r="E52" t="inlineStr">
        <is>
          <t>Выборгский</t>
        </is>
      </c>
      <c r="F52" t="inlineStr">
        <is>
          <t>Руднева ул., д. 16/1</t>
        </is>
      </c>
      <c r="G52" t="n">
        <v>147.3</v>
      </c>
      <c r="H52" t="inlineStr">
        <is>
          <t>30 348 266</t>
        </is>
      </c>
      <c r="I52" t="inlineStr">
        <is>
          <t>76 000 000</t>
        </is>
      </c>
      <c r="J52" t="inlineStr">
        <is>
          <t>У нас дороже на 45 651 734 (150.4%)</t>
        </is>
      </c>
      <c r="K52" t="inlineStr">
        <is>
          <t>45 651 734</t>
        </is>
      </c>
      <c r="L52" t="inlineStr">
        <is>
          <t>150.4%</t>
        </is>
      </c>
      <c r="M52" t="inlineStr">
        <is>
          <t>sale_only</t>
        </is>
      </c>
      <c r="N52" t="inlineStr">
        <is>
          <t>no</t>
        </is>
      </c>
      <c r="O52" t="inlineStr">
        <is>
          <t>none</t>
        </is>
      </c>
      <c r="P52">
        <f>HYPERLINK("https://knru.ru/catalog/rudneva-ul-d-16-1/","ссылка")</f>
        <v/>
      </c>
      <c r="Q52">
        <f>HYPERLINK("https://app.worldcafe.ru/object/19466","ссылка")</f>
        <v/>
      </c>
      <c r="R52" t="inlineStr">
        <is>
          <t>По адресу есть, но площадь другая</t>
        </is>
      </c>
      <c r="S52" t="n">
        <v>1</v>
      </c>
      <c r="T52" t="inlineStr">
        <is>
          <t>Архив sale 280 м² 76 000 000 =HYPERLINK("https://app.worldcafe.ru/object/19466","ссылка")</t>
        </is>
      </c>
      <c r="U52" t="n">
        <v>357</v>
      </c>
      <c r="V52" t="n">
        <v>15</v>
      </c>
      <c r="W52" t="n">
        <v>21</v>
      </c>
      <c r="X52" t="n">
        <v>30348266</v>
      </c>
      <c r="Y52" t="n">
        <v>76000000</v>
      </c>
      <c r="Z52" t="n">
        <v>45651734</v>
      </c>
      <c r="AA52" t="inlineStr">
        <is>
          <t>https://knru.ru/catalog/rudneva-ul-d-16-1/</t>
        </is>
      </c>
    </row>
    <row r="53">
      <c r="A53" t="n">
        <v>380</v>
      </c>
      <c r="B53" t="n">
        <v>16</v>
      </c>
      <c r="C53" t="n">
        <v>20</v>
      </c>
      <c r="D53" t="n">
        <v>1789231031</v>
      </c>
      <c r="E53" t="inlineStr">
        <is>
          <t>Фрунзенский</t>
        </is>
      </c>
      <c r="F53" t="inlineStr">
        <is>
          <t>Салова ул., д. 61/1</t>
        </is>
      </c>
      <c r="G53" t="n">
        <v>204.9</v>
      </c>
      <c r="H53" t="inlineStr">
        <is>
          <t>53 274 000</t>
        </is>
      </c>
      <c r="I53" t="inlineStr">
        <is>
          <t>95 000 000</t>
        </is>
      </c>
      <c r="J53" t="inlineStr">
        <is>
          <t>У нас дороже на 41 726 000 (78.3%)</t>
        </is>
      </c>
      <c r="K53" t="inlineStr">
        <is>
          <t>41 726 000</t>
        </is>
      </c>
      <c r="L53" t="inlineStr">
        <is>
          <t>78.3%</t>
        </is>
      </c>
      <c r="M53" t="inlineStr">
        <is>
          <t>sale_only</t>
        </is>
      </c>
      <c r="N53" t="inlineStr">
        <is>
          <t>no</t>
        </is>
      </c>
      <c r="O53" t="inlineStr">
        <is>
          <t>none</t>
        </is>
      </c>
      <c r="P53">
        <f>HYPERLINK("https://knru.ru/catalog/salova-ul-d-61-1-1789231031/","ссылка")</f>
        <v/>
      </c>
      <c r="Q53">
        <f>HYPERLINK("https://app.worldcafe.ru/object/12710","ссылка")</f>
        <v/>
      </c>
      <c r="R53" t="inlineStr">
        <is>
          <t>По адресу есть, но площадь другая</t>
        </is>
      </c>
      <c r="S53" t="n">
        <v>2</v>
      </c>
      <c r="T53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3" t="n">
        <v>380</v>
      </c>
      <c r="V53" t="n">
        <v>16</v>
      </c>
      <c r="W53" t="n">
        <v>20</v>
      </c>
      <c r="X53" t="n">
        <v>53274000</v>
      </c>
      <c r="Y53" t="n">
        <v>95000000</v>
      </c>
      <c r="Z53" t="n">
        <v>41726000</v>
      </c>
      <c r="AA53" t="inlineStr">
        <is>
          <t>https://knru.ru/catalog/salova-ul-d-61-1-1789231031/</t>
        </is>
      </c>
    </row>
    <row r="54">
      <c r="A54" t="n">
        <v>381</v>
      </c>
      <c r="B54" t="n">
        <v>16</v>
      </c>
      <c r="C54" t="n">
        <v>21</v>
      </c>
      <c r="D54" t="n">
        <v>1163311854</v>
      </c>
      <c r="E54" t="inlineStr">
        <is>
          <t>Фрунзенский</t>
        </is>
      </c>
      <c r="F54" t="inlineStr">
        <is>
          <t>Салова ул., д. 61/1</t>
        </is>
      </c>
      <c r="G54" t="n">
        <v>739.7</v>
      </c>
      <c r="H54" t="inlineStr">
        <is>
          <t>184 925 000</t>
        </is>
      </c>
      <c r="I54" t="inlineStr">
        <is>
          <t>95 000 000</t>
        </is>
      </c>
      <c r="J54" t="inlineStr">
        <is>
          <t>У нас дешевле на 89 925 000 (48.6%)</t>
        </is>
      </c>
      <c r="K54" t="inlineStr">
        <is>
          <t>-89 925 000</t>
        </is>
      </c>
      <c r="L54" t="inlineStr">
        <is>
          <t>-48.6%</t>
        </is>
      </c>
      <c r="M54" t="inlineStr">
        <is>
          <t>sale_only</t>
        </is>
      </c>
      <c r="N54" t="inlineStr">
        <is>
          <t>no</t>
        </is>
      </c>
      <c r="O54" t="inlineStr">
        <is>
          <t>none</t>
        </is>
      </c>
      <c r="P54">
        <f>HYPERLINK("https://knru.ru/catalog/salova-ul-d-61-1-1163311854/","ссылка")</f>
        <v/>
      </c>
      <c r="Q54">
        <f>HYPERLINK("https://app.worldcafe.ru/object/12710","ссылка")</f>
        <v/>
      </c>
      <c r="R54" t="inlineStr">
        <is>
          <t>По адресу есть, но площадь другая</t>
        </is>
      </c>
      <c r="S54" t="n">
        <v>2</v>
      </c>
      <c r="T54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4" t="n">
        <v>381</v>
      </c>
      <c r="V54" t="n">
        <v>16</v>
      </c>
      <c r="W54" t="n">
        <v>21</v>
      </c>
      <c r="X54" t="n">
        <v>184925000</v>
      </c>
      <c r="Y54" t="n">
        <v>95000000</v>
      </c>
      <c r="Z54" t="n">
        <v>-89925000</v>
      </c>
      <c r="AA54" t="inlineStr">
        <is>
          <t>https://knru.ru/catalog/salova-ul-d-61-1-1163311854/</t>
        </is>
      </c>
    </row>
    <row r="55">
      <c r="A55" t="n">
        <v>382</v>
      </c>
      <c r="B55" t="n">
        <v>16</v>
      </c>
      <c r="C55" t="n">
        <v>22</v>
      </c>
      <c r="D55" t="n">
        <v>202970881</v>
      </c>
      <c r="E55" t="inlineStr">
        <is>
          <t>Фрунзенский</t>
        </is>
      </c>
      <c r="F55" t="inlineStr">
        <is>
          <t>Салова ул., д. 61/1</t>
        </is>
      </c>
      <c r="G55" t="n">
        <v>43.4</v>
      </c>
      <c r="H55" t="inlineStr">
        <is>
          <t>11 718 000</t>
        </is>
      </c>
      <c r="I55" t="inlineStr">
        <is>
          <t>95 000 000</t>
        </is>
      </c>
      <c r="J55" t="inlineStr">
        <is>
          <t>У нас дороже на 83 282 000 (710.7%)</t>
        </is>
      </c>
      <c r="K55" t="inlineStr">
        <is>
          <t>83 282 000</t>
        </is>
      </c>
      <c r="L55" t="inlineStr">
        <is>
          <t>710.7%</t>
        </is>
      </c>
      <c r="M55" t="inlineStr">
        <is>
          <t>sale_only</t>
        </is>
      </c>
      <c r="N55" t="inlineStr">
        <is>
          <t>no</t>
        </is>
      </c>
      <c r="O55" t="inlineStr">
        <is>
          <t>none</t>
        </is>
      </c>
      <c r="P55">
        <f>HYPERLINK("https://knru.ru/catalog/salova-ul-d-61-1-202970881/","ссылка")</f>
        <v/>
      </c>
      <c r="Q55">
        <f>HYPERLINK("https://app.worldcafe.ru/object/12710","ссылка")</f>
        <v/>
      </c>
      <c r="R55" t="inlineStr">
        <is>
          <t>По адресу есть, но площадь другая</t>
        </is>
      </c>
      <c r="S55" t="n">
        <v>2</v>
      </c>
      <c r="T55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5" t="n">
        <v>382</v>
      </c>
      <c r="V55" t="n">
        <v>16</v>
      </c>
      <c r="W55" t="n">
        <v>22</v>
      </c>
      <c r="X55" t="n">
        <v>11718000</v>
      </c>
      <c r="Y55" t="n">
        <v>95000000</v>
      </c>
      <c r="Z55" t="n">
        <v>83282000</v>
      </c>
      <c r="AA55" t="inlineStr">
        <is>
          <t>https://knru.ru/catalog/salova-ul-d-61-1-202970881/</t>
        </is>
      </c>
    </row>
    <row r="56">
      <c r="A56" t="n">
        <v>383</v>
      </c>
      <c r="B56" t="n">
        <v>16</v>
      </c>
      <c r="C56" t="n">
        <v>23</v>
      </c>
      <c r="D56" t="n">
        <v>1372991773</v>
      </c>
      <c r="E56" t="inlineStr">
        <is>
          <t>Фрунзенский</t>
        </is>
      </c>
      <c r="F56" t="inlineStr">
        <is>
          <t>Салова ул., д. 61/1</t>
        </is>
      </c>
      <c r="G56" t="n">
        <v>201.1</v>
      </c>
      <c r="H56" t="inlineStr">
        <is>
          <t>54 297 000</t>
        </is>
      </c>
      <c r="I56" t="inlineStr">
        <is>
          <t>95 000 000</t>
        </is>
      </c>
      <c r="J56" t="inlineStr">
        <is>
          <t>У нас дороже на 40 703 000 (75.0%)</t>
        </is>
      </c>
      <c r="K56" t="inlineStr">
        <is>
          <t>40 703 000</t>
        </is>
      </c>
      <c r="L56" t="inlineStr">
        <is>
          <t>75.0%</t>
        </is>
      </c>
      <c r="M56" t="inlineStr">
        <is>
          <t>sale_only</t>
        </is>
      </c>
      <c r="N56" t="inlineStr">
        <is>
          <t>no</t>
        </is>
      </c>
      <c r="O56" t="inlineStr">
        <is>
          <t>none</t>
        </is>
      </c>
      <c r="P56">
        <f>HYPERLINK("https://knru.ru/catalog/salova-ul-d-61-1-1372991773/","ссылка")</f>
        <v/>
      </c>
      <c r="Q56">
        <f>HYPERLINK("https://app.worldcafe.ru/object/12710","ссылка")</f>
        <v/>
      </c>
      <c r="R56" t="inlineStr">
        <is>
          <t>По адресу есть, но площадь другая</t>
        </is>
      </c>
      <c r="S56" t="n">
        <v>2</v>
      </c>
      <c r="T5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6" t="n">
        <v>383</v>
      </c>
      <c r="V56" t="n">
        <v>16</v>
      </c>
      <c r="W56" t="n">
        <v>23</v>
      </c>
      <c r="X56" t="n">
        <v>54297000</v>
      </c>
      <c r="Y56" t="n">
        <v>95000000</v>
      </c>
      <c r="Z56" t="n">
        <v>40703000</v>
      </c>
      <c r="AA56" t="inlineStr">
        <is>
          <t>https://knru.ru/catalog/salova-ul-d-61-1-1372991773/</t>
        </is>
      </c>
    </row>
    <row r="57">
      <c r="A57" t="n">
        <v>384</v>
      </c>
      <c r="B57" t="n">
        <v>16</v>
      </c>
      <c r="C57" t="n">
        <v>24</v>
      </c>
      <c r="D57" t="n">
        <v>404345395</v>
      </c>
      <c r="E57" t="inlineStr">
        <is>
          <t>Фрунзенский</t>
        </is>
      </c>
      <c r="F57" t="inlineStr">
        <is>
          <t>Салова ул., д. 61/1</t>
        </is>
      </c>
      <c r="G57" t="n">
        <v>138.7</v>
      </c>
      <c r="H57" t="inlineStr">
        <is>
          <t>36 062 000</t>
        </is>
      </c>
      <c r="I57" t="inlineStr">
        <is>
          <t>95 000 000</t>
        </is>
      </c>
      <c r="J57" t="inlineStr">
        <is>
          <t>У нас дороже на 58 938 000 (163.4%)</t>
        </is>
      </c>
      <c r="K57" t="inlineStr">
        <is>
          <t>58 938 000</t>
        </is>
      </c>
      <c r="L57" t="inlineStr">
        <is>
          <t>163.4%</t>
        </is>
      </c>
      <c r="M57" t="inlineStr">
        <is>
          <t>sale_only</t>
        </is>
      </c>
      <c r="N57" t="inlineStr">
        <is>
          <t>no</t>
        </is>
      </c>
      <c r="O57" t="inlineStr">
        <is>
          <t>none</t>
        </is>
      </c>
      <c r="P57">
        <f>HYPERLINK("https://knru.ru/catalog/salova-ul-d-61-1-404345395/","ссылка")</f>
        <v/>
      </c>
      <c r="Q57">
        <f>HYPERLINK("https://app.worldcafe.ru/object/12710","ссылка")</f>
        <v/>
      </c>
      <c r="R57" t="inlineStr">
        <is>
          <t>По адресу есть, но площадь другая</t>
        </is>
      </c>
      <c r="S57" t="n">
        <v>2</v>
      </c>
      <c r="T5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7" t="n">
        <v>384</v>
      </c>
      <c r="V57" t="n">
        <v>16</v>
      </c>
      <c r="W57" t="n">
        <v>24</v>
      </c>
      <c r="X57" t="n">
        <v>36062000</v>
      </c>
      <c r="Y57" t="n">
        <v>95000000</v>
      </c>
      <c r="Z57" t="n">
        <v>58938000</v>
      </c>
      <c r="AA57" t="inlineStr">
        <is>
          <t>https://knru.ru/catalog/salova-ul-d-61-1-404345395/</t>
        </is>
      </c>
    </row>
    <row r="58">
      <c r="A58" t="n">
        <v>385</v>
      </c>
      <c r="B58" t="n">
        <v>17</v>
      </c>
      <c r="C58" t="n">
        <v>1</v>
      </c>
      <c r="D58" t="n">
        <v>355791131</v>
      </c>
      <c r="E58" t="inlineStr">
        <is>
          <t>Фрунзенский</t>
        </is>
      </c>
      <c r="F58" t="inlineStr">
        <is>
          <t>Салова ул., д. 61/1</t>
        </is>
      </c>
      <c r="G58" t="n">
        <v>72.3</v>
      </c>
      <c r="H58" t="inlineStr">
        <is>
          <t>18 798 000</t>
        </is>
      </c>
      <c r="I58" t="inlineStr">
        <is>
          <t>95 000 000</t>
        </is>
      </c>
      <c r="J58" t="inlineStr">
        <is>
          <t>У нас дороже на 76 202 000 (405.4%)</t>
        </is>
      </c>
      <c r="K58" t="inlineStr">
        <is>
          <t>76 202 000</t>
        </is>
      </c>
      <c r="L58" t="inlineStr">
        <is>
          <t>405.4%</t>
        </is>
      </c>
      <c r="M58" t="inlineStr">
        <is>
          <t>sale_only</t>
        </is>
      </c>
      <c r="N58" t="inlineStr">
        <is>
          <t>no</t>
        </is>
      </c>
      <c r="O58" t="inlineStr">
        <is>
          <t>none</t>
        </is>
      </c>
      <c r="P58">
        <f>HYPERLINK("https://knru.ru/catalog/salova-ul-d-61-1-355791131/","ссылка")</f>
        <v/>
      </c>
      <c r="Q58">
        <f>HYPERLINK("https://app.worldcafe.ru/object/12710","ссылка")</f>
        <v/>
      </c>
      <c r="R58" t="inlineStr">
        <is>
          <t>По адресу есть, но площадь другая</t>
        </is>
      </c>
      <c r="S58" t="n">
        <v>2</v>
      </c>
      <c r="T5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8" t="n">
        <v>385</v>
      </c>
      <c r="V58" t="n">
        <v>17</v>
      </c>
      <c r="W58" t="n">
        <v>1</v>
      </c>
      <c r="X58" t="n">
        <v>18798000</v>
      </c>
      <c r="Y58" t="n">
        <v>95000000</v>
      </c>
      <c r="Z58" t="n">
        <v>76202000</v>
      </c>
      <c r="AA58" t="inlineStr">
        <is>
          <t>https://knru.ru/catalog/salova-ul-d-61-1-355791131/</t>
        </is>
      </c>
    </row>
    <row r="59">
      <c r="A59" t="n">
        <v>386</v>
      </c>
      <c r="B59" t="n">
        <v>17</v>
      </c>
      <c r="C59" t="n">
        <v>2</v>
      </c>
      <c r="D59" t="n">
        <v>714765762</v>
      </c>
      <c r="E59" t="inlineStr">
        <is>
          <t>Фрунзенский</t>
        </is>
      </c>
      <c r="F59" t="inlineStr">
        <is>
          <t>Салова ул., д. 61/1</t>
        </is>
      </c>
      <c r="G59" t="n">
        <v>33.8</v>
      </c>
      <c r="H59" t="inlineStr">
        <is>
          <t>9 464 000</t>
        </is>
      </c>
      <c r="I59" t="inlineStr">
        <is>
          <t>95 000 000</t>
        </is>
      </c>
      <c r="J59" t="inlineStr">
        <is>
          <t>У нас дороже на 85 536 000 (903.8%)</t>
        </is>
      </c>
      <c r="K59" t="inlineStr">
        <is>
          <t>85 536 000</t>
        </is>
      </c>
      <c r="L59" t="inlineStr">
        <is>
          <t>903.8%</t>
        </is>
      </c>
      <c r="M59" t="inlineStr">
        <is>
          <t>sale_only</t>
        </is>
      </c>
      <c r="N59" t="inlineStr">
        <is>
          <t>no</t>
        </is>
      </c>
      <c r="O59" t="inlineStr">
        <is>
          <t>none</t>
        </is>
      </c>
      <c r="P59">
        <f>HYPERLINK("https://knru.ru/catalog/salova-ul-d-61-1-714765762/","ссылка")</f>
        <v/>
      </c>
      <c r="Q59">
        <f>HYPERLINK("https://app.worldcafe.ru/object/12710","ссылка")</f>
        <v/>
      </c>
      <c r="R59" t="inlineStr">
        <is>
          <t>По адресу есть, но площадь другая</t>
        </is>
      </c>
      <c r="S59" t="n">
        <v>2</v>
      </c>
      <c r="T59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59" t="n">
        <v>386</v>
      </c>
      <c r="V59" t="n">
        <v>17</v>
      </c>
      <c r="W59" t="n">
        <v>2</v>
      </c>
      <c r="X59" t="n">
        <v>9464000</v>
      </c>
      <c r="Y59" t="n">
        <v>95000000</v>
      </c>
      <c r="Z59" t="n">
        <v>85536000</v>
      </c>
      <c r="AA59" t="inlineStr">
        <is>
          <t>https://knru.ru/catalog/salova-ul-d-61-1-714765762/</t>
        </is>
      </c>
    </row>
    <row r="60">
      <c r="A60" t="n">
        <v>387</v>
      </c>
      <c r="B60" t="n">
        <v>17</v>
      </c>
      <c r="C60" t="n">
        <v>3</v>
      </c>
      <c r="D60" t="n">
        <v>1227731924</v>
      </c>
      <c r="E60" t="inlineStr">
        <is>
          <t>Фрунзенский</t>
        </is>
      </c>
      <c r="F60" t="inlineStr">
        <is>
          <t>Салова ул., д. 61/1</t>
        </is>
      </c>
      <c r="G60" t="n">
        <v>53.4</v>
      </c>
      <c r="H60" t="inlineStr">
        <is>
          <t>14 952 000</t>
        </is>
      </c>
      <c r="I60" t="inlineStr">
        <is>
          <t>95 000 000</t>
        </is>
      </c>
      <c r="J60" t="inlineStr">
        <is>
          <t>У нас дороже на 80 048 000 (535.4%)</t>
        </is>
      </c>
      <c r="K60" t="inlineStr">
        <is>
          <t>80 048 000</t>
        </is>
      </c>
      <c r="L60" t="inlineStr">
        <is>
          <t>535.4%</t>
        </is>
      </c>
      <c r="M60" t="inlineStr">
        <is>
          <t>sale_only</t>
        </is>
      </c>
      <c r="N60" t="inlineStr">
        <is>
          <t>no</t>
        </is>
      </c>
      <c r="O60" t="inlineStr">
        <is>
          <t>none</t>
        </is>
      </c>
      <c r="P60">
        <f>HYPERLINK("https://knru.ru/catalog/salova-ul-d-61-1-1227731924/","ссылка")</f>
        <v/>
      </c>
      <c r="Q60">
        <f>HYPERLINK("https://app.worldcafe.ru/object/12710","ссылка")</f>
        <v/>
      </c>
      <c r="R60" t="inlineStr">
        <is>
          <t>По адресу есть, но площадь другая</t>
        </is>
      </c>
      <c r="S60" t="n">
        <v>2</v>
      </c>
      <c r="T6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0" t="n">
        <v>387</v>
      </c>
      <c r="V60" t="n">
        <v>17</v>
      </c>
      <c r="W60" t="n">
        <v>3</v>
      </c>
      <c r="X60" t="n">
        <v>14952000</v>
      </c>
      <c r="Y60" t="n">
        <v>95000000</v>
      </c>
      <c r="Z60" t="n">
        <v>80048000</v>
      </c>
      <c r="AA60" t="inlineStr">
        <is>
          <t>https://knru.ru/catalog/salova-ul-d-61-1-1227731924/</t>
        </is>
      </c>
    </row>
    <row r="61">
      <c r="A61" t="n">
        <v>388</v>
      </c>
      <c r="B61" t="n">
        <v>17</v>
      </c>
      <c r="C61" t="n">
        <v>4</v>
      </c>
      <c r="D61" t="n">
        <v>960863054</v>
      </c>
      <c r="E61" t="inlineStr">
        <is>
          <t>Фрунзенский</t>
        </is>
      </c>
      <c r="F61" t="inlineStr">
        <is>
          <t>Салова ул., д. 61/1</t>
        </is>
      </c>
      <c r="G61" t="n">
        <v>37.8</v>
      </c>
      <c r="H61" t="inlineStr">
        <is>
          <t>10 584 000</t>
        </is>
      </c>
      <c r="I61" t="inlineStr">
        <is>
          <t>95 000 000</t>
        </is>
      </c>
      <c r="J61" t="inlineStr">
        <is>
          <t>У нас дороже на 84 416 000 (797.6%)</t>
        </is>
      </c>
      <c r="K61" t="inlineStr">
        <is>
          <t>84 416 000</t>
        </is>
      </c>
      <c r="L61" t="inlineStr">
        <is>
          <t>797.6%</t>
        </is>
      </c>
      <c r="M61" t="inlineStr">
        <is>
          <t>sale_only</t>
        </is>
      </c>
      <c r="N61" t="inlineStr">
        <is>
          <t>yes</t>
        </is>
      </c>
      <c r="O61" t="inlineStr">
        <is>
          <t>pixel_heuristic</t>
        </is>
      </c>
      <c r="P61">
        <f>HYPERLINK("https://knru.ru/catalog/salova-ul-d-61-1-960863054/","ссылка")</f>
        <v/>
      </c>
      <c r="Q61">
        <f>HYPERLINK("https://app.worldcafe.ru/object/12710","ссылка")</f>
        <v/>
      </c>
      <c r="R61" t="inlineStr">
        <is>
          <t>По адресу есть, но площадь другая</t>
        </is>
      </c>
      <c r="S61" t="n">
        <v>2</v>
      </c>
      <c r="T61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1" t="n">
        <v>388</v>
      </c>
      <c r="V61" t="n">
        <v>17</v>
      </c>
      <c r="W61" t="n">
        <v>4</v>
      </c>
      <c r="X61" t="n">
        <v>10584000</v>
      </c>
      <c r="Y61" t="n">
        <v>95000000</v>
      </c>
      <c r="Z61" t="n">
        <v>84416000</v>
      </c>
      <c r="AA61" t="inlineStr">
        <is>
          <t>https://knru.ru/catalog/salova-ul-d-61-1-960863054/</t>
        </is>
      </c>
    </row>
    <row r="62">
      <c r="A62" t="n">
        <v>389</v>
      </c>
      <c r="B62" t="n">
        <v>17</v>
      </c>
      <c r="C62" t="n">
        <v>5</v>
      </c>
      <c r="D62" t="n">
        <v>1130860117</v>
      </c>
      <c r="E62" t="inlineStr">
        <is>
          <t>Фрунзенский</t>
        </is>
      </c>
      <c r="F62" t="inlineStr">
        <is>
          <t>Салова ул., д. 61/1</t>
        </is>
      </c>
      <c r="G62" t="n">
        <v>32.6</v>
      </c>
      <c r="H62" t="inlineStr">
        <is>
          <t>9 128 000</t>
        </is>
      </c>
      <c r="I62" t="inlineStr">
        <is>
          <t>95 000 000</t>
        </is>
      </c>
      <c r="J62" t="inlineStr">
        <is>
          <t>У нас дороже на 85 872 000 (940.8%)</t>
        </is>
      </c>
      <c r="K62" t="inlineStr">
        <is>
          <t>85 872 000</t>
        </is>
      </c>
      <c r="L62" t="inlineStr">
        <is>
          <t>940.8%</t>
        </is>
      </c>
      <c r="M62" t="inlineStr">
        <is>
          <t>sale_only</t>
        </is>
      </c>
      <c r="N62" t="inlineStr">
        <is>
          <t>yes</t>
        </is>
      </c>
      <c r="O62" t="inlineStr">
        <is>
          <t>pixel_heuristic</t>
        </is>
      </c>
      <c r="P62">
        <f>HYPERLINK("https://knru.ru/catalog/salova-ul-d-61-1-1130860117/","ссылка")</f>
        <v/>
      </c>
      <c r="Q62">
        <f>HYPERLINK("https://app.worldcafe.ru/object/12710","ссылка")</f>
        <v/>
      </c>
      <c r="R62" t="inlineStr">
        <is>
          <t>По адресу есть, но площадь другая</t>
        </is>
      </c>
      <c r="S62" t="n">
        <v>2</v>
      </c>
      <c r="T62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2" t="n">
        <v>389</v>
      </c>
      <c r="V62" t="n">
        <v>17</v>
      </c>
      <c r="W62" t="n">
        <v>5</v>
      </c>
      <c r="X62" t="n">
        <v>9128000</v>
      </c>
      <c r="Y62" t="n">
        <v>95000000</v>
      </c>
      <c r="Z62" t="n">
        <v>85872000</v>
      </c>
      <c r="AA62" t="inlineStr">
        <is>
          <t>https://knru.ru/catalog/salova-ul-d-61-1-1130860117/</t>
        </is>
      </c>
    </row>
    <row r="63">
      <c r="A63" t="n">
        <v>390</v>
      </c>
      <c r="B63" t="n">
        <v>17</v>
      </c>
      <c r="C63" t="n">
        <v>6</v>
      </c>
      <c r="D63" t="n">
        <v>1656377850</v>
      </c>
      <c r="E63" t="inlineStr">
        <is>
          <t>Фрунзенский</t>
        </is>
      </c>
      <c r="F63" t="inlineStr">
        <is>
          <t>Салова ул., д. 61/1</t>
        </is>
      </c>
      <c r="G63" t="n">
        <v>38.5</v>
      </c>
      <c r="H63" t="inlineStr">
        <is>
          <t>10 780 000</t>
        </is>
      </c>
      <c r="I63" t="inlineStr">
        <is>
          <t>95 000 000</t>
        </is>
      </c>
      <c r="J63" t="inlineStr">
        <is>
          <t>У нас дороже на 84 220 000 (781.3%)</t>
        </is>
      </c>
      <c r="K63" t="inlineStr">
        <is>
          <t>84 220 000</t>
        </is>
      </c>
      <c r="L63" t="inlineStr">
        <is>
          <t>781.3%</t>
        </is>
      </c>
      <c r="M63" t="inlineStr">
        <is>
          <t>sale_only</t>
        </is>
      </c>
      <c r="N63" t="inlineStr">
        <is>
          <t>yes</t>
        </is>
      </c>
      <c r="O63" t="inlineStr">
        <is>
          <t>pixel_heuristic</t>
        </is>
      </c>
      <c r="P63">
        <f>HYPERLINK("https://knru.ru/catalog/salova-ul-d-61-1-1656377850/","ссылка")</f>
        <v/>
      </c>
      <c r="Q63">
        <f>HYPERLINK("https://app.worldcafe.ru/object/12710","ссылка")</f>
        <v/>
      </c>
      <c r="R63" t="inlineStr">
        <is>
          <t>По адресу есть, но площадь другая</t>
        </is>
      </c>
      <c r="S63" t="n">
        <v>2</v>
      </c>
      <c r="T63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3" t="n">
        <v>390</v>
      </c>
      <c r="V63" t="n">
        <v>17</v>
      </c>
      <c r="W63" t="n">
        <v>6</v>
      </c>
      <c r="X63" t="n">
        <v>10780000</v>
      </c>
      <c r="Y63" t="n">
        <v>95000000</v>
      </c>
      <c r="Z63" t="n">
        <v>84220000</v>
      </c>
      <c r="AA63" t="inlineStr">
        <is>
          <t>https://knru.ru/catalog/salova-ul-d-61-1-1656377850/</t>
        </is>
      </c>
    </row>
    <row r="64">
      <c r="A64" t="n">
        <v>391</v>
      </c>
      <c r="B64" t="n">
        <v>17</v>
      </c>
      <c r="C64" t="n">
        <v>7</v>
      </c>
      <c r="D64" t="n">
        <v>558498375</v>
      </c>
      <c r="E64" t="inlineStr">
        <is>
          <t>Фрунзенский</t>
        </is>
      </c>
      <c r="F64" t="inlineStr">
        <is>
          <t>Салова ул., д. 61/1</t>
        </is>
      </c>
      <c r="G64" t="n">
        <v>68.2</v>
      </c>
      <c r="H64" t="inlineStr">
        <is>
          <t>18 414 000</t>
        </is>
      </c>
      <c r="I64" t="inlineStr">
        <is>
          <t>95 000 000</t>
        </is>
      </c>
      <c r="J64" t="inlineStr">
        <is>
          <t>У нас дороже на 76 586 000 (415.9%)</t>
        </is>
      </c>
      <c r="K64" t="inlineStr">
        <is>
          <t>76 586 000</t>
        </is>
      </c>
      <c r="L64" t="inlineStr">
        <is>
          <t>415.9%</t>
        </is>
      </c>
      <c r="M64" t="inlineStr">
        <is>
          <t>sale_only</t>
        </is>
      </c>
      <c r="N64" t="inlineStr">
        <is>
          <t>yes</t>
        </is>
      </c>
      <c r="O64" t="inlineStr">
        <is>
          <t>pixel_heuristic</t>
        </is>
      </c>
      <c r="P64">
        <f>HYPERLINK("https://knru.ru/catalog/salova-ul-d-61-1-558498375/","ссылка")</f>
        <v/>
      </c>
      <c r="Q64">
        <f>HYPERLINK("https://app.worldcafe.ru/object/12710","ссылка")</f>
        <v/>
      </c>
      <c r="R64" t="inlineStr">
        <is>
          <t>По адресу есть, но площадь другая</t>
        </is>
      </c>
      <c r="S64" t="n">
        <v>2</v>
      </c>
      <c r="T64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4" t="n">
        <v>391</v>
      </c>
      <c r="V64" t="n">
        <v>17</v>
      </c>
      <c r="W64" t="n">
        <v>7</v>
      </c>
      <c r="X64" t="n">
        <v>18414000</v>
      </c>
      <c r="Y64" t="n">
        <v>95000000</v>
      </c>
      <c r="Z64" t="n">
        <v>76586000</v>
      </c>
      <c r="AA64" t="inlineStr">
        <is>
          <t>https://knru.ru/catalog/salova-ul-d-61-1-558498375/</t>
        </is>
      </c>
    </row>
    <row r="65">
      <c r="A65" t="n">
        <v>392</v>
      </c>
      <c r="B65" t="n">
        <v>17</v>
      </c>
      <c r="C65" t="n">
        <v>8</v>
      </c>
      <c r="D65" t="n">
        <v>197891924</v>
      </c>
      <c r="E65" t="inlineStr">
        <is>
          <t>Фрунзенский</t>
        </is>
      </c>
      <c r="F65" t="inlineStr">
        <is>
          <t>Салова ул., д. 61/1</t>
        </is>
      </c>
      <c r="G65" t="n">
        <v>83.7</v>
      </c>
      <c r="H65" t="inlineStr">
        <is>
          <t>21 762 000</t>
        </is>
      </c>
      <c r="I65" t="inlineStr">
        <is>
          <t>95 000 000</t>
        </is>
      </c>
      <c r="J65" t="inlineStr">
        <is>
          <t>У нас дороже на 73 238 000 (336.5%)</t>
        </is>
      </c>
      <c r="K65" t="inlineStr">
        <is>
          <t>73 238 000</t>
        </is>
      </c>
      <c r="L65" t="inlineStr">
        <is>
          <t>336.5%</t>
        </is>
      </c>
      <c r="M65" t="inlineStr">
        <is>
          <t>sale_only</t>
        </is>
      </c>
      <c r="N65" t="inlineStr">
        <is>
          <t>yes</t>
        </is>
      </c>
      <c r="O65" t="inlineStr">
        <is>
          <t>pixel_heuristic</t>
        </is>
      </c>
      <c r="P65">
        <f>HYPERLINK("https://knru.ru/catalog/salova-ul-d-61-1-197891924/","ссылка")</f>
        <v/>
      </c>
      <c r="Q65">
        <f>HYPERLINK("https://app.worldcafe.ru/object/12710","ссылка")</f>
        <v/>
      </c>
      <c r="R65" t="inlineStr">
        <is>
          <t>По адресу есть, но площадь другая</t>
        </is>
      </c>
      <c r="S65" t="n">
        <v>2</v>
      </c>
      <c r="T65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5" t="n">
        <v>392</v>
      </c>
      <c r="V65" t="n">
        <v>17</v>
      </c>
      <c r="W65" t="n">
        <v>8</v>
      </c>
      <c r="X65" t="n">
        <v>21762000</v>
      </c>
      <c r="Y65" t="n">
        <v>95000000</v>
      </c>
      <c r="Z65" t="n">
        <v>73238000</v>
      </c>
      <c r="AA65" t="inlineStr">
        <is>
          <t>https://knru.ru/catalog/salova-ul-d-61-1-197891924/</t>
        </is>
      </c>
    </row>
    <row r="66">
      <c r="A66" t="n">
        <v>393</v>
      </c>
      <c r="B66" t="n">
        <v>17</v>
      </c>
      <c r="C66" t="n">
        <v>9</v>
      </c>
      <c r="D66" t="n">
        <v>1606074809</v>
      </c>
      <c r="E66" t="inlineStr">
        <is>
          <t>Фрунзенский</t>
        </is>
      </c>
      <c r="F66" t="inlineStr">
        <is>
          <t>Салова ул., д. 61/1</t>
        </is>
      </c>
      <c r="G66" t="n">
        <v>56.5</v>
      </c>
      <c r="H66" t="inlineStr">
        <is>
          <t>15 255 000</t>
        </is>
      </c>
      <c r="I66" t="inlineStr">
        <is>
          <t>95 000 000</t>
        </is>
      </c>
      <c r="J66" t="inlineStr">
        <is>
          <t>У нас дороже на 79 745 000 (522.7%)</t>
        </is>
      </c>
      <c r="K66" t="inlineStr">
        <is>
          <t>79 745 000</t>
        </is>
      </c>
      <c r="L66" t="inlineStr">
        <is>
          <t>522.7%</t>
        </is>
      </c>
      <c r="M66" t="inlineStr">
        <is>
          <t>sale_only</t>
        </is>
      </c>
      <c r="N66" t="inlineStr">
        <is>
          <t>yes</t>
        </is>
      </c>
      <c r="O66" t="inlineStr">
        <is>
          <t>pixel_heuristic</t>
        </is>
      </c>
      <c r="P66">
        <f>HYPERLINK("https://knru.ru/catalog/salova-ul-d-61-1-1606074809/","ссылка")</f>
        <v/>
      </c>
      <c r="Q66">
        <f>HYPERLINK("https://app.worldcafe.ru/object/12710","ссылка")</f>
        <v/>
      </c>
      <c r="R66" t="inlineStr">
        <is>
          <t>По адресу есть, но площадь другая</t>
        </is>
      </c>
      <c r="S66" t="n">
        <v>2</v>
      </c>
      <c r="T6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6" t="n">
        <v>393</v>
      </c>
      <c r="V66" t="n">
        <v>17</v>
      </c>
      <c r="W66" t="n">
        <v>9</v>
      </c>
      <c r="X66" t="n">
        <v>15255000</v>
      </c>
      <c r="Y66" t="n">
        <v>95000000</v>
      </c>
      <c r="Z66" t="n">
        <v>79745000</v>
      </c>
      <c r="AA66" t="inlineStr">
        <is>
          <t>https://knru.ru/catalog/salova-ul-d-61-1-1606074809/</t>
        </is>
      </c>
    </row>
    <row r="67">
      <c r="A67" t="n">
        <v>394</v>
      </c>
      <c r="B67" t="n">
        <v>17</v>
      </c>
      <c r="C67" t="n">
        <v>10</v>
      </c>
      <c r="D67" t="n">
        <v>1450322707</v>
      </c>
      <c r="E67" t="inlineStr">
        <is>
          <t>Фрунзенский</t>
        </is>
      </c>
      <c r="F67" t="inlineStr">
        <is>
          <t>Салова ул., д. 61/1</t>
        </is>
      </c>
      <c r="G67" t="n">
        <v>57</v>
      </c>
      <c r="H67" t="inlineStr">
        <is>
          <t>15 390 000</t>
        </is>
      </c>
      <c r="I67" t="inlineStr">
        <is>
          <t>95 000 000</t>
        </is>
      </c>
      <c r="J67" t="inlineStr">
        <is>
          <t>У нас дороже на 79 610 000 (517.3%)</t>
        </is>
      </c>
      <c r="K67" t="inlineStr">
        <is>
          <t>79 610 000</t>
        </is>
      </c>
      <c r="L67" t="inlineStr">
        <is>
          <t>517.3%</t>
        </is>
      </c>
      <c r="M67" t="inlineStr">
        <is>
          <t>sale_only</t>
        </is>
      </c>
      <c r="N67" t="inlineStr">
        <is>
          <t>yes</t>
        </is>
      </c>
      <c r="O67" t="inlineStr">
        <is>
          <t>pixel_heuristic</t>
        </is>
      </c>
      <c r="P67">
        <f>HYPERLINK("https://knru.ru/catalog/salova-ul-d-61-1-1450322707/","ссылка")</f>
        <v/>
      </c>
      <c r="Q67">
        <f>HYPERLINK("https://app.worldcafe.ru/object/12710","ссылка")</f>
        <v/>
      </c>
      <c r="R67" t="inlineStr">
        <is>
          <t>По адресу есть, но площадь другая</t>
        </is>
      </c>
      <c r="S67" t="n">
        <v>2</v>
      </c>
      <c r="T6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7" t="n">
        <v>394</v>
      </c>
      <c r="V67" t="n">
        <v>17</v>
      </c>
      <c r="W67" t="n">
        <v>10</v>
      </c>
      <c r="X67" t="n">
        <v>15390000</v>
      </c>
      <c r="Y67" t="n">
        <v>95000000</v>
      </c>
      <c r="Z67" t="n">
        <v>79610000</v>
      </c>
      <c r="AA67" t="inlineStr">
        <is>
          <t>https://knru.ru/catalog/salova-ul-d-61-1-1450322707/</t>
        </is>
      </c>
    </row>
    <row r="68">
      <c r="A68" t="n">
        <v>395</v>
      </c>
      <c r="B68" t="n">
        <v>17</v>
      </c>
      <c r="C68" t="n">
        <v>11</v>
      </c>
      <c r="D68" t="n">
        <v>182673737</v>
      </c>
      <c r="E68" t="inlineStr">
        <is>
          <t>Фрунзенский</t>
        </is>
      </c>
      <c r="F68" t="inlineStr">
        <is>
          <t>Салова ул., д. 61/1</t>
        </is>
      </c>
      <c r="G68" t="n">
        <v>55.8</v>
      </c>
      <c r="H68" t="inlineStr">
        <is>
          <t>15 066 000</t>
        </is>
      </c>
      <c r="I68" t="inlineStr">
        <is>
          <t>95 000 000</t>
        </is>
      </c>
      <c r="J68" t="inlineStr">
        <is>
          <t>У нас дороже на 79 934 000 (530.6%)</t>
        </is>
      </c>
      <c r="K68" t="inlineStr">
        <is>
          <t>79 934 000</t>
        </is>
      </c>
      <c r="L68" t="inlineStr">
        <is>
          <t>530.6%</t>
        </is>
      </c>
      <c r="M68" t="inlineStr">
        <is>
          <t>sale_only</t>
        </is>
      </c>
      <c r="N68" t="inlineStr">
        <is>
          <t>yes</t>
        </is>
      </c>
      <c r="O68" t="inlineStr">
        <is>
          <t>pixel_heuristic</t>
        </is>
      </c>
      <c r="P68">
        <f>HYPERLINK("https://knru.ru/catalog/salova-ul-d-61-1-182673737/","ссылка")</f>
        <v/>
      </c>
      <c r="Q68">
        <f>HYPERLINK("https://app.worldcafe.ru/object/12710","ссылка")</f>
        <v/>
      </c>
      <c r="R68" t="inlineStr">
        <is>
          <t>По адресу есть, но площадь другая</t>
        </is>
      </c>
      <c r="S68" t="n">
        <v>2</v>
      </c>
      <c r="T6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8" t="n">
        <v>395</v>
      </c>
      <c r="V68" t="n">
        <v>17</v>
      </c>
      <c r="W68" t="n">
        <v>11</v>
      </c>
      <c r="X68" t="n">
        <v>15066000</v>
      </c>
      <c r="Y68" t="n">
        <v>95000000</v>
      </c>
      <c r="Z68" t="n">
        <v>79934000</v>
      </c>
      <c r="AA68" t="inlineStr">
        <is>
          <t>https://knru.ru/catalog/salova-ul-d-61-1-182673737/</t>
        </is>
      </c>
    </row>
    <row r="69">
      <c r="A69" t="n">
        <v>396</v>
      </c>
      <c r="B69" t="n">
        <v>17</v>
      </c>
      <c r="C69" t="n">
        <v>12</v>
      </c>
      <c r="D69" t="n">
        <v>40226638</v>
      </c>
      <c r="E69" t="inlineStr">
        <is>
          <t>Фрунзенский</t>
        </is>
      </c>
      <c r="F69" t="inlineStr">
        <is>
          <t>Салова ул., д. 61/1</t>
        </is>
      </c>
      <c r="G69" t="n">
        <v>56.7</v>
      </c>
      <c r="H69" t="inlineStr">
        <is>
          <t>15 309 000</t>
        </is>
      </c>
      <c r="I69" t="inlineStr">
        <is>
          <t>95 000 000</t>
        </is>
      </c>
      <c r="J69" t="inlineStr">
        <is>
          <t>У нас дороже на 79 691 000 (520.6%)</t>
        </is>
      </c>
      <c r="K69" t="inlineStr">
        <is>
          <t>79 691 000</t>
        </is>
      </c>
      <c r="L69" t="inlineStr">
        <is>
          <t>520.6%</t>
        </is>
      </c>
      <c r="M69" t="inlineStr">
        <is>
          <t>sale_only</t>
        </is>
      </c>
      <c r="N69" t="inlineStr">
        <is>
          <t>yes</t>
        </is>
      </c>
      <c r="O69" t="inlineStr">
        <is>
          <t>pixel_heuristic</t>
        </is>
      </c>
      <c r="P69">
        <f>HYPERLINK("https://knru.ru/catalog/salova-ul-d-61-1-40226638/","ссылка")</f>
        <v/>
      </c>
      <c r="Q69">
        <f>HYPERLINK("https://app.worldcafe.ru/object/12710","ссылка")</f>
        <v/>
      </c>
      <c r="R69" t="inlineStr">
        <is>
          <t>По адресу есть, но площадь другая</t>
        </is>
      </c>
      <c r="S69" t="n">
        <v>2</v>
      </c>
      <c r="T69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69" t="n">
        <v>396</v>
      </c>
      <c r="V69" t="n">
        <v>17</v>
      </c>
      <c r="W69" t="n">
        <v>12</v>
      </c>
      <c r="X69" t="n">
        <v>15309000</v>
      </c>
      <c r="Y69" t="n">
        <v>95000000</v>
      </c>
      <c r="Z69" t="n">
        <v>79691000</v>
      </c>
      <c r="AA69" t="inlineStr">
        <is>
          <t>https://knru.ru/catalog/salova-ul-d-61-1-40226638/</t>
        </is>
      </c>
    </row>
    <row r="70">
      <c r="A70" t="n">
        <v>397</v>
      </c>
      <c r="B70" t="n">
        <v>17</v>
      </c>
      <c r="C70" t="n">
        <v>13</v>
      </c>
      <c r="D70" t="n">
        <v>1815286506</v>
      </c>
      <c r="E70" t="inlineStr">
        <is>
          <t>Фрунзенский</t>
        </is>
      </c>
      <c r="F70" t="inlineStr">
        <is>
          <t>Салова ул., д. 61/1</t>
        </is>
      </c>
      <c r="G70" t="n">
        <v>28.5</v>
      </c>
      <c r="H70" t="inlineStr">
        <is>
          <t>7 980 000</t>
        </is>
      </c>
      <c r="I70" t="inlineStr">
        <is>
          <t>95 000 000</t>
        </is>
      </c>
      <c r="J70" t="inlineStr">
        <is>
          <t>У нас дороже на 87 020 000 (1090.5%)</t>
        </is>
      </c>
      <c r="K70" t="inlineStr">
        <is>
          <t>87 020 000</t>
        </is>
      </c>
      <c r="L70" t="inlineStr">
        <is>
          <t>1090.5%</t>
        </is>
      </c>
      <c r="M70" t="inlineStr">
        <is>
          <t>sale_only</t>
        </is>
      </c>
      <c r="N70" t="inlineStr">
        <is>
          <t>yes</t>
        </is>
      </c>
      <c r="O70" t="inlineStr">
        <is>
          <t>pixel_heuristic</t>
        </is>
      </c>
      <c r="P70">
        <f>HYPERLINK("https://knru.ru/catalog/salova-ul-d-61-1-1815286506/","ссылка")</f>
        <v/>
      </c>
      <c r="Q70">
        <f>HYPERLINK("https://app.worldcafe.ru/object/12710","ссылка")</f>
        <v/>
      </c>
      <c r="R70" t="inlineStr">
        <is>
          <t>По адресу есть, но площадь другая</t>
        </is>
      </c>
      <c r="S70" t="n">
        <v>2</v>
      </c>
      <c r="T7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70" t="n">
        <v>397</v>
      </c>
      <c r="V70" t="n">
        <v>17</v>
      </c>
      <c r="W70" t="n">
        <v>13</v>
      </c>
      <c r="X70" t="n">
        <v>7980000</v>
      </c>
      <c r="Y70" t="n">
        <v>95000000</v>
      </c>
      <c r="Z70" t="n">
        <v>87020000</v>
      </c>
      <c r="AA70" t="inlineStr">
        <is>
          <t>https://knru.ru/catalog/salova-ul-d-61-1-1815286506/</t>
        </is>
      </c>
    </row>
    <row r="71">
      <c r="A71" t="n">
        <v>398</v>
      </c>
      <c r="B71" t="n">
        <v>17</v>
      </c>
      <c r="C71" t="n">
        <v>14</v>
      </c>
      <c r="D71" t="n">
        <v>1</v>
      </c>
      <c r="E71" t="inlineStr">
        <is>
          <t>Фрунзенский</t>
        </is>
      </c>
      <c r="F71" t="inlineStr">
        <is>
          <t>Салова ул., д. 61/1</t>
        </is>
      </c>
      <c r="G71" t="n">
        <v>71.2</v>
      </c>
      <c r="H71" t="inlineStr">
        <is>
          <t>18 512 000</t>
        </is>
      </c>
      <c r="I71" t="inlineStr">
        <is>
          <t>95 000 000</t>
        </is>
      </c>
      <c r="J71" t="inlineStr">
        <is>
          <t>У нас дороже на 76 488 000 (413.2%)</t>
        </is>
      </c>
      <c r="K71" t="inlineStr">
        <is>
          <t>76 488 000</t>
        </is>
      </c>
      <c r="L71" t="inlineStr">
        <is>
          <t>413.2%</t>
        </is>
      </c>
      <c r="M71" t="inlineStr">
        <is>
          <t>sale_only</t>
        </is>
      </c>
      <c r="N71" t="inlineStr">
        <is>
          <t>yes</t>
        </is>
      </c>
      <c r="O71" t="inlineStr">
        <is>
          <t>pixel_heuristic</t>
        </is>
      </c>
      <c r="P71">
        <f>HYPERLINK("https://knru.ru/catalog/salova-ul-d-61-1/","ссылка")</f>
        <v/>
      </c>
      <c r="Q71">
        <f>HYPERLINK("https://app.worldcafe.ru/object/12710","ссылка")</f>
        <v/>
      </c>
      <c r="R71" t="inlineStr">
        <is>
          <t>По адресу есть, но площадь другая</t>
        </is>
      </c>
      <c r="S71" t="n">
        <v>2</v>
      </c>
      <c r="T71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71" t="n">
        <v>398</v>
      </c>
      <c r="V71" t="n">
        <v>17</v>
      </c>
      <c r="W71" t="n">
        <v>14</v>
      </c>
      <c r="X71" t="n">
        <v>18512000</v>
      </c>
      <c r="Y71" t="n">
        <v>95000000</v>
      </c>
      <c r="Z71" t="n">
        <v>76488000</v>
      </c>
      <c r="AA71" t="inlineStr">
        <is>
          <t>https://knru.ru/catalog/salova-ul-d-61-1/</t>
        </is>
      </c>
    </row>
    <row r="72">
      <c r="A72" t="n">
        <v>400</v>
      </c>
      <c r="B72" t="n">
        <v>17</v>
      </c>
      <c r="C72" t="n">
        <v>16</v>
      </c>
      <c r="D72" t="n">
        <v>1367429219</v>
      </c>
      <c r="E72" t="inlineStr">
        <is>
          <t>Красносельский</t>
        </is>
      </c>
      <c r="F72" t="inlineStr">
        <is>
          <t>Восстановления ул, 19</t>
        </is>
      </c>
      <c r="G72" t="n">
        <v>364</v>
      </c>
      <c r="H72" t="inlineStr">
        <is>
          <t>124 400 250</t>
        </is>
      </c>
      <c r="I72" t="inlineStr">
        <is>
          <t>17 813 400</t>
        </is>
      </c>
      <c r="J72" t="inlineStr">
        <is>
          <t>У нас дешевле на 106 586 850 (85.7%)</t>
        </is>
      </c>
      <c r="K72" t="inlineStr">
        <is>
          <t>-106 586 850</t>
        </is>
      </c>
      <c r="L72" t="inlineStr">
        <is>
          <t>-85.7%</t>
        </is>
      </c>
      <c r="M72" t="inlineStr">
        <is>
          <t>sale_only</t>
        </is>
      </c>
      <c r="N72" t="inlineStr">
        <is>
          <t>no</t>
        </is>
      </c>
      <c r="O72" t="inlineStr">
        <is>
          <t>none</t>
        </is>
      </c>
      <c r="P72">
        <f>HYPERLINK("https://knru.ru/catalog/ul-vosstanovleniya-d-19-1367429219/","ссылка")</f>
        <v/>
      </c>
      <c r="Q72">
        <f>HYPERLINK("https://app.worldcafe.ru/object/15625","ссылка")</f>
        <v/>
      </c>
      <c r="R72" t="inlineStr">
        <is>
          <t>По адресу есть, но площадь другая</t>
        </is>
      </c>
      <c r="S72" t="n">
        <v>2</v>
      </c>
      <c r="T72" t="inlineStr">
        <is>
          <t>На сайте sale 163.4 м² 22 060 350 =HYPERLINK("https://app.worldcafe.ru/object/15626","ссылка") | На сайте sale 108 м² 17 813 400 =HYPERLINK("https://app.worldcafe.ru/object/15625","ссылка")</t>
        </is>
      </c>
      <c r="U72" t="n">
        <v>400</v>
      </c>
      <c r="V72" t="n">
        <v>17</v>
      </c>
      <c r="W72" t="n">
        <v>16</v>
      </c>
      <c r="X72" t="n">
        <v>124400250</v>
      </c>
      <c r="Y72" t="n">
        <v>17813400</v>
      </c>
      <c r="Z72" t="n">
        <v>-106586850</v>
      </c>
      <c r="AA72" t="inlineStr">
        <is>
          <t>https://knru.ru/catalog/ul-vosstanovleniya-d-19-1367429219/</t>
        </is>
      </c>
    </row>
    <row r="73">
      <c r="A73" t="n">
        <v>401</v>
      </c>
      <c r="B73" t="n">
        <v>17</v>
      </c>
      <c r="C73" t="n">
        <v>17</v>
      </c>
      <c r="D73" t="n">
        <v>1370007296</v>
      </c>
      <c r="E73" t="inlineStr">
        <is>
          <t>Калининский</t>
        </is>
      </c>
      <c r="F73" t="inlineStr">
        <is>
          <t>Светлановский пр-кт, 85</t>
        </is>
      </c>
      <c r="G73" t="n">
        <v>300.2</v>
      </c>
      <c r="H73" t="inlineStr">
        <is>
          <t>108 072 000</t>
        </is>
      </c>
      <c r="I73" t="inlineStr">
        <is>
          <t>40 988 800</t>
        </is>
      </c>
      <c r="J73" t="inlineStr">
        <is>
          <t>У нас дешевле на 67 083 200 (62.1%)</t>
        </is>
      </c>
      <c r="K73" t="inlineStr">
        <is>
          <t>-67 083 200</t>
        </is>
      </c>
      <c r="L73" t="inlineStr">
        <is>
          <t>-62.1%</t>
        </is>
      </c>
      <c r="M73" t="inlineStr">
        <is>
          <t>sale_only</t>
        </is>
      </c>
      <c r="N73" t="inlineStr">
        <is>
          <t>no</t>
        </is>
      </c>
      <c r="O73" t="inlineStr">
        <is>
          <t>none</t>
        </is>
      </c>
      <c r="P73">
        <f>HYPERLINK("https://knru.ru/catalog/svetlanovskiy-pr-d-85-1370007296/","ссылка")</f>
        <v/>
      </c>
      <c r="Q73">
        <f>HYPERLINK("https://app.worldcafe.ru/object/15547","ссылка")</f>
        <v/>
      </c>
      <c r="R73" t="inlineStr">
        <is>
          <t>По адресу есть, но площадь другая</t>
        </is>
      </c>
      <c r="S73" t="n">
        <v>1</v>
      </c>
      <c r="T73" t="inlineStr">
        <is>
          <t>На сайте sale 128.1 м² 40 988 800 =HYPERLINK("https://app.worldcafe.ru/object/15547","ссылка")</t>
        </is>
      </c>
      <c r="U73" t="n">
        <v>401</v>
      </c>
      <c r="V73" t="n">
        <v>17</v>
      </c>
      <c r="W73" t="n">
        <v>17</v>
      </c>
      <c r="X73" t="n">
        <v>108072000</v>
      </c>
      <c r="Y73" t="n">
        <v>40988800</v>
      </c>
      <c r="Z73" t="n">
        <v>-67083200</v>
      </c>
      <c r="AA73" t="inlineStr">
        <is>
          <t>https://knru.ru/catalog/svetlanovskiy-pr-d-85-1370007296/</t>
        </is>
      </c>
    </row>
    <row r="74">
      <c r="A74" t="n">
        <v>402</v>
      </c>
      <c r="B74" t="n">
        <v>17</v>
      </c>
      <c r="C74" t="n">
        <v>18</v>
      </c>
      <c r="D74" t="n">
        <v>1235878914</v>
      </c>
      <c r="E74" t="inlineStr">
        <is>
          <t>Красносельский</t>
        </is>
      </c>
      <c r="F74" t="inlineStr">
        <is>
          <t>Восстановления ул, 19</t>
        </is>
      </c>
      <c r="G74" t="n">
        <v>335.4</v>
      </c>
      <c r="H74" t="inlineStr">
        <is>
          <t>83 857 500</t>
        </is>
      </c>
      <c r="I74" t="inlineStr">
        <is>
          <t>17 813 400</t>
        </is>
      </c>
      <c r="J74" t="inlineStr">
        <is>
          <t>У нас дешевле на 66 044 100 (78.8%)</t>
        </is>
      </c>
      <c r="K74" t="inlineStr">
        <is>
          <t>-66 044 100</t>
        </is>
      </c>
      <c r="L74" t="inlineStr">
        <is>
          <t>-78.8%</t>
        </is>
      </c>
      <c r="M74" t="inlineStr">
        <is>
          <t>sale_only</t>
        </is>
      </c>
      <c r="N74" t="inlineStr">
        <is>
          <t>no</t>
        </is>
      </c>
      <c r="O74" t="inlineStr">
        <is>
          <t>none</t>
        </is>
      </c>
      <c r="P74">
        <f>HYPERLINK("https://knru.ru/catalog/ul-vosstanovleniya-d-19-1235878914/","ссылка")</f>
        <v/>
      </c>
      <c r="Q74">
        <f>HYPERLINK("https://app.worldcafe.ru/object/15625","ссылка")</f>
        <v/>
      </c>
      <c r="R74" t="inlineStr">
        <is>
          <t>По адресу есть, но площадь другая</t>
        </is>
      </c>
      <c r="S74" t="n">
        <v>2</v>
      </c>
      <c r="T74" t="inlineStr">
        <is>
          <t>На сайте sale 163.4 м² 22 060 350 =HYPERLINK("https://app.worldcafe.ru/object/15626","ссылка") | На сайте sale 108 м² 17 813 400 =HYPERLINK("https://app.worldcafe.ru/object/15625","ссылка")</t>
        </is>
      </c>
      <c r="U74" t="n">
        <v>402</v>
      </c>
      <c r="V74" t="n">
        <v>17</v>
      </c>
      <c r="W74" t="n">
        <v>18</v>
      </c>
      <c r="X74" t="n">
        <v>83857500</v>
      </c>
      <c r="Y74" t="n">
        <v>17813400</v>
      </c>
      <c r="Z74" t="n">
        <v>-66044100</v>
      </c>
      <c r="AA74" t="inlineStr">
        <is>
          <t>https://knru.ru/catalog/ul-vosstanovleniya-d-19-1235878914/</t>
        </is>
      </c>
    </row>
    <row r="75">
      <c r="A75" t="n">
        <v>409</v>
      </c>
      <c r="B75" t="n">
        <v>18</v>
      </c>
      <c r="C75" t="n">
        <v>1</v>
      </c>
      <c r="D75" t="n">
        <v>1217287841</v>
      </c>
      <c r="E75" t="inlineStr">
        <is>
          <t>Красносельский</t>
        </is>
      </c>
      <c r="F75" t="inlineStr">
        <is>
          <t>Восстановления ул, 19</t>
        </is>
      </c>
      <c r="G75" t="n">
        <v>132.9</v>
      </c>
      <c r="H75" t="inlineStr">
        <is>
          <t>29 235 800</t>
        </is>
      </c>
      <c r="I75" t="inlineStr">
        <is>
          <t>17 813 400</t>
        </is>
      </c>
      <c r="J75" t="inlineStr">
        <is>
          <t>У нас дешевле на 11 422 400 (39.1%)</t>
        </is>
      </c>
      <c r="K75" t="inlineStr">
        <is>
          <t>-11 422 400</t>
        </is>
      </c>
      <c r="L75" t="inlineStr">
        <is>
          <t>-39.1%</t>
        </is>
      </c>
      <c r="M75" t="inlineStr">
        <is>
          <t>sale_only</t>
        </is>
      </c>
      <c r="N75" t="inlineStr">
        <is>
          <t>no</t>
        </is>
      </c>
      <c r="O75" t="inlineStr">
        <is>
          <t>none</t>
        </is>
      </c>
      <c r="P75">
        <f>HYPERLINK("https://knru.ru/catalog/ul-vosstanovleniya-d-19-1217287841/","ссылка")</f>
        <v/>
      </c>
      <c r="Q75">
        <f>HYPERLINK("https://app.worldcafe.ru/object/15625","ссылка")</f>
        <v/>
      </c>
      <c r="R75" t="inlineStr">
        <is>
          <t>По адресу есть, но площадь другая</t>
        </is>
      </c>
      <c r="S75" t="n">
        <v>2</v>
      </c>
      <c r="T75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75" t="n">
        <v>409</v>
      </c>
      <c r="V75" t="n">
        <v>18</v>
      </c>
      <c r="W75" t="n">
        <v>1</v>
      </c>
      <c r="X75" t="n">
        <v>29235800</v>
      </c>
      <c r="Y75" t="n">
        <v>17813400</v>
      </c>
      <c r="Z75" t="n">
        <v>-11422400</v>
      </c>
      <c r="AA75" t="inlineStr">
        <is>
          <t>https://knru.ru/catalog/ul-vosstanovleniya-d-19-1217287841/</t>
        </is>
      </c>
    </row>
    <row r="76">
      <c r="A76" t="n">
        <v>416</v>
      </c>
      <c r="B76" t="n">
        <v>18</v>
      </c>
      <c r="C76" t="n">
        <v>8</v>
      </c>
      <c r="D76" t="inlineStr"/>
      <c r="E76" t="inlineStr">
        <is>
          <t>Приморский</t>
        </is>
      </c>
      <c r="F76" t="inlineStr">
        <is>
          <t>Реки Каменки наб, 17к1</t>
        </is>
      </c>
      <c r="G76" t="n">
        <v>642</v>
      </c>
      <c r="H76" t="inlineStr">
        <is>
          <t>135 000 000</t>
        </is>
      </c>
      <c r="I76" t="inlineStr">
        <is>
          <t>59 000 000</t>
        </is>
      </c>
      <c r="J76" t="inlineStr">
        <is>
          <t>У нас дешевле на 76 000 000 (56.3%)</t>
        </is>
      </c>
      <c r="K76" t="inlineStr">
        <is>
          <t>-76 000 000</t>
        </is>
      </c>
      <c r="L76" t="inlineStr">
        <is>
          <t>-56.3%</t>
        </is>
      </c>
      <c r="M76" t="inlineStr">
        <is>
          <t>sale_only</t>
        </is>
      </c>
      <c r="N76" t="inlineStr">
        <is>
          <t>no</t>
        </is>
      </c>
      <c r="O76" t="inlineStr">
        <is>
          <t>none</t>
        </is>
      </c>
      <c r="P76">
        <f>HYPERLINK("https://knru.ru/catalog/reki-kamenki-nab-17k1/","ссылка")</f>
        <v/>
      </c>
      <c r="Q76">
        <f>HYPERLINK("https://app.worldcafe.ru/object/19606","ссылка")</f>
        <v/>
      </c>
      <c r="R76" t="inlineStr">
        <is>
          <t>Корпус/строение не совпало</t>
        </is>
      </c>
      <c r="S76" t="n">
        <v>1</v>
      </c>
      <c r="T76" t="inlineStr">
        <is>
          <t>На сайте sale 337 м² 59 000 000 =HYPERLINK("https://app.worldcafe.ru/object/19606","ссылка")</t>
        </is>
      </c>
      <c r="U76" t="n">
        <v>416</v>
      </c>
      <c r="V76" t="n">
        <v>18</v>
      </c>
      <c r="W76" t="n">
        <v>8</v>
      </c>
      <c r="X76" t="n">
        <v>135000000</v>
      </c>
      <c r="Y76" t="n">
        <v>59000000</v>
      </c>
      <c r="Z76" t="n">
        <v>-76000000</v>
      </c>
      <c r="AA76" t="inlineStr">
        <is>
          <t>https://knru.ru/catalog/reki-kamenki-nab-17k1/</t>
        </is>
      </c>
    </row>
    <row r="77">
      <c r="A77" t="n">
        <v>417</v>
      </c>
      <c r="B77" t="n">
        <v>18</v>
      </c>
      <c r="C77" t="n">
        <v>9</v>
      </c>
      <c r="D77" t="n">
        <v>519424913</v>
      </c>
      <c r="E77" t="inlineStr">
        <is>
          <t>Центральный</t>
        </is>
      </c>
      <c r="F77" t="inlineStr">
        <is>
          <t>Невский пр-кт, 11</t>
        </is>
      </c>
      <c r="G77" t="n">
        <v>147</v>
      </c>
      <c r="H77" t="inlineStr">
        <is>
          <t>75 000 000</t>
        </is>
      </c>
      <c r="I77" t="inlineStr">
        <is>
          <t>1 250 000 000</t>
        </is>
      </c>
      <c r="J77" t="inlineStr">
        <is>
          <t>У нас дороже на 1 175 000 000 (1566.7%)</t>
        </is>
      </c>
      <c r="K77" t="inlineStr">
        <is>
          <t>1 175 000 000</t>
        </is>
      </c>
      <c r="L77" t="inlineStr">
        <is>
          <t>1566.7%</t>
        </is>
      </c>
      <c r="M77" t="inlineStr">
        <is>
          <t>sale_only</t>
        </is>
      </c>
      <c r="N77" t="inlineStr">
        <is>
          <t>no</t>
        </is>
      </c>
      <c r="O77" t="inlineStr">
        <is>
          <t>none</t>
        </is>
      </c>
      <c r="P77">
        <f>HYPERLINK("https://knru.ru/catalog/nevskiy-pr-kt-11-519424913/","ссылка")</f>
        <v/>
      </c>
      <c r="Q77">
        <f>HYPERLINK("https://app.worldcafe.ru/object/19779","ссылка")</f>
        <v/>
      </c>
      <c r="R77" t="inlineStr">
        <is>
          <t>По адресу есть, но площадь другая</t>
        </is>
      </c>
      <c r="S77" t="n">
        <v>6</v>
      </c>
      <c r="T77" t="inlineStr">
        <is>
          <t>Архив rent 182 м² 1 379 000 =HYPERLINK("https://app.worldcafe.ru/object/13980","ссылка") | Архив rent 89 м² 712 000 =HYPERLINK("https://app.worldcafe.ru/object/7787","ссылка") | Архив rent 71.6 м² 900 000 =HYPERLINK("https://app.worldcafe.ru/object/13785","ссылка") | Архив rent 55 м² 704 000 =HYPERLINK("https://app.worldcafe.ru/object/7613","ссылка") | Без сделки no_deal 937.7 м² =HYPERLINK("https://app.worldcafe.ru/object/18489","ссылка") | На сайте sale 938 м² 1 250 000 000 =HYPERLINK("https://app.worldcafe.ru/object/19779","ссылка")</t>
        </is>
      </c>
      <c r="U77" t="n">
        <v>417</v>
      </c>
      <c r="V77" t="n">
        <v>18</v>
      </c>
      <c r="W77" t="n">
        <v>9</v>
      </c>
      <c r="X77" t="n">
        <v>75000000</v>
      </c>
      <c r="Y77" t="n">
        <v>1250000000</v>
      </c>
      <c r="Z77" t="n">
        <v>1175000000</v>
      </c>
      <c r="AA77" t="inlineStr">
        <is>
          <t>https://knru.ru/catalog/nevskiy-pr-kt-11-519424913/</t>
        </is>
      </c>
    </row>
    <row r="78">
      <c r="A78" t="n">
        <v>420</v>
      </c>
      <c r="B78" t="n">
        <v>18</v>
      </c>
      <c r="C78" t="n">
        <v>12</v>
      </c>
      <c r="D78" t="inlineStr"/>
      <c r="E78" t="inlineStr">
        <is>
          <t>Адмиралтейский</t>
        </is>
      </c>
      <c r="F78" t="inlineStr">
        <is>
          <t>Ефимова ул, 4а</t>
        </is>
      </c>
      <c r="G78" t="n">
        <v>400</v>
      </c>
      <c r="H78" t="inlineStr">
        <is>
          <t>149 000 000</t>
        </is>
      </c>
      <c r="I78" t="inlineStr">
        <is>
          <t>0</t>
        </is>
      </c>
      <c r="J78" t="inlineStr">
        <is>
          <t>У нас дешевле на 149 000 000 (100.0%)</t>
        </is>
      </c>
      <c r="K78" t="inlineStr">
        <is>
          <t>-149 000 000</t>
        </is>
      </c>
      <c r="L78" t="inlineStr">
        <is>
          <t>-100.0%</t>
        </is>
      </c>
      <c r="M78" t="inlineStr">
        <is>
          <t>any_type</t>
        </is>
      </c>
      <c r="N78" t="inlineStr">
        <is>
          <t>no</t>
        </is>
      </c>
      <c r="O78" t="inlineStr">
        <is>
          <t>none</t>
        </is>
      </c>
      <c r="P78">
        <f>HYPERLINK("https://knru.ru/catalog/efimova-ul-4a/","ссылка")</f>
        <v/>
      </c>
      <c r="Q78">
        <f>HYPERLINK("https://app.worldcafe.ru/object/19160","ссылка")</f>
        <v/>
      </c>
      <c r="R78" t="inlineStr">
        <is>
          <t>По адресу есть, но площадь другая</t>
        </is>
      </c>
      <c r="S78" t="n">
        <v>3</v>
      </c>
      <c r="T78" t="inlineStr">
        <is>
          <t>Архив rent 249.4 м² 0 =HYPERLINK("https://app.worldcafe.ru/object/19160","ссылка") | Архив rent 65 м² 130 000 =HYPERLINK("https://app.worldcafe.ru/object/11393","ссылка") | Архив rent 898 м² 898 000 =HYPERLINK("https://app.worldcafe.ru/object/9662","ссылка")</t>
        </is>
      </c>
      <c r="U78" t="n">
        <v>420</v>
      </c>
      <c r="V78" t="n">
        <v>18</v>
      </c>
      <c r="W78" t="n">
        <v>12</v>
      </c>
      <c r="X78" t="n">
        <v>149000000</v>
      </c>
      <c r="Y78" t="n">
        <v>0</v>
      </c>
      <c r="Z78" t="n">
        <v>-149000000</v>
      </c>
      <c r="AA78" t="inlineStr">
        <is>
          <t>https://knru.ru/catalog/efimova-ul-4a/</t>
        </is>
      </c>
    </row>
    <row r="79">
      <c r="A79" t="n">
        <v>421</v>
      </c>
      <c r="B79" t="n">
        <v>18</v>
      </c>
      <c r="C79" t="n">
        <v>13</v>
      </c>
      <c r="D79" t="n">
        <v>476355945</v>
      </c>
      <c r="E79" t="inlineStr">
        <is>
          <t>Центральный</t>
        </is>
      </c>
      <c r="F79" t="inlineStr">
        <is>
          <t>Лиговский пр-кт, 127</t>
        </is>
      </c>
      <c r="G79" t="n">
        <v>566</v>
      </c>
      <c r="H79" t="inlineStr">
        <is>
          <t>226 108 947</t>
        </is>
      </c>
      <c r="I79" t="inlineStr">
        <is>
          <t>135 000</t>
        </is>
      </c>
      <c r="J79" t="inlineStr">
        <is>
          <t>У нас дешевле на 225 973 947 (99.9%)</t>
        </is>
      </c>
      <c r="K79" t="inlineStr">
        <is>
          <t>-225 973 947</t>
        </is>
      </c>
      <c r="L79" t="inlineStr">
        <is>
          <t>-99.9%</t>
        </is>
      </c>
      <c r="M79" t="inlineStr">
        <is>
          <t>any_type</t>
        </is>
      </c>
      <c r="N79" t="inlineStr">
        <is>
          <t>no</t>
        </is>
      </c>
      <c r="O79" t="inlineStr">
        <is>
          <t>none</t>
        </is>
      </c>
      <c r="P79">
        <f>HYPERLINK("https://knru.ru/catalog/ligovskiy-pr-127-476355945/","ссылка")</f>
        <v/>
      </c>
      <c r="Q79">
        <f>HYPERLINK("https://app.worldcafe.ru/object/11965","ссылка")</f>
        <v/>
      </c>
      <c r="R79" t="inlineStr">
        <is>
          <t>По адресу есть, но площадь другая</t>
        </is>
      </c>
      <c r="S79" t="n">
        <v>1</v>
      </c>
      <c r="T79" t="inlineStr">
        <is>
          <t>Архив rent 53 м² 135 000 =HYPERLINK("https://app.worldcafe.ru/object/11965","ссылка")</t>
        </is>
      </c>
      <c r="U79" t="n">
        <v>421</v>
      </c>
      <c r="V79" t="n">
        <v>18</v>
      </c>
      <c r="W79" t="n">
        <v>13</v>
      </c>
      <c r="X79" t="n">
        <v>226108947</v>
      </c>
      <c r="Y79" t="n">
        <v>135000</v>
      </c>
      <c r="Z79" t="n">
        <v>-225973947</v>
      </c>
      <c r="AA79" t="inlineStr">
        <is>
          <t>https://knru.ru/catalog/ligovskiy-pr-127-476355945/</t>
        </is>
      </c>
    </row>
    <row r="80">
      <c r="A80" t="n">
        <v>422</v>
      </c>
      <c r="B80" t="n">
        <v>18</v>
      </c>
      <c r="C80" t="n">
        <v>14</v>
      </c>
      <c r="D80" t="n">
        <v>127</v>
      </c>
      <c r="E80" t="inlineStr">
        <is>
          <t>Центральный</t>
        </is>
      </c>
      <c r="F80" t="inlineStr">
        <is>
          <t>Лиговский пр-кт, 127</t>
        </is>
      </c>
      <c r="G80" t="n">
        <v>129</v>
      </c>
      <c r="H80" t="inlineStr">
        <is>
          <t>51 512 482</t>
        </is>
      </c>
      <c r="I80" t="inlineStr">
        <is>
          <t>135 000</t>
        </is>
      </c>
      <c r="J80" t="inlineStr">
        <is>
          <t>У нас дешевле на 51 377 482 (99.7%)</t>
        </is>
      </c>
      <c r="K80" t="inlineStr">
        <is>
          <t>-51 377 482</t>
        </is>
      </c>
      <c r="L80" t="inlineStr">
        <is>
          <t>-99.7%</t>
        </is>
      </c>
      <c r="M80" t="inlineStr">
        <is>
          <t>any_type</t>
        </is>
      </c>
      <c r="N80" t="inlineStr">
        <is>
          <t>no</t>
        </is>
      </c>
      <c r="O80" t="inlineStr">
        <is>
          <t>none</t>
        </is>
      </c>
      <c r="P80">
        <f>HYPERLINK("https://knru.ru/catalog/ligovskiy-pr-127/","ссылка")</f>
        <v/>
      </c>
      <c r="Q80">
        <f>HYPERLINK("https://app.worldcafe.ru/object/11965","ссылка")</f>
        <v/>
      </c>
      <c r="R80" t="inlineStr">
        <is>
          <t>По адресу есть, но площадь другая</t>
        </is>
      </c>
      <c r="S80" t="n">
        <v>1</v>
      </c>
      <c r="T80" t="inlineStr">
        <is>
          <t>Архив rent 53 м² 135 000 =HYPERLINK("https://app.worldcafe.ru/object/11965","ссылка")</t>
        </is>
      </c>
      <c r="U80" t="n">
        <v>422</v>
      </c>
      <c r="V80" t="n">
        <v>18</v>
      </c>
      <c r="W80" t="n">
        <v>14</v>
      </c>
      <c r="X80" t="n">
        <v>51512482</v>
      </c>
      <c r="Y80" t="n">
        <v>135000</v>
      </c>
      <c r="Z80" t="n">
        <v>-51377482</v>
      </c>
      <c r="AA80" t="inlineStr">
        <is>
          <t>https://knru.ru/catalog/ligovskiy-pr-127/</t>
        </is>
      </c>
    </row>
    <row r="81">
      <c r="A81" t="n">
        <v>426</v>
      </c>
      <c r="B81" t="n">
        <v>18</v>
      </c>
      <c r="C81" t="n">
        <v>18</v>
      </c>
      <c r="D81" t="n">
        <v>1927414743</v>
      </c>
      <c r="E81" t="inlineStr">
        <is>
          <t>Центральный</t>
        </is>
      </c>
      <c r="F81" t="inlineStr">
        <is>
          <t>Воскресенская наб, 4</t>
        </is>
      </c>
      <c r="G81" t="n">
        <v>173</v>
      </c>
      <c r="H81" t="inlineStr">
        <is>
          <t>53 630 000</t>
        </is>
      </c>
      <c r="I81" t="inlineStr">
        <is>
          <t>88 000 000</t>
        </is>
      </c>
      <c r="J81" t="inlineStr">
        <is>
          <t>У нас дороже на 34 370 000 (64.1%)</t>
        </is>
      </c>
      <c r="K81" t="inlineStr">
        <is>
          <t>34 370 000</t>
        </is>
      </c>
      <c r="L81" t="inlineStr">
        <is>
          <t>64.1%</t>
        </is>
      </c>
      <c r="M81" t="inlineStr">
        <is>
          <t>sale_only</t>
        </is>
      </c>
      <c r="N81" t="inlineStr">
        <is>
          <t>no</t>
        </is>
      </c>
      <c r="O81" t="inlineStr">
        <is>
          <t>none</t>
        </is>
      </c>
      <c r="P81">
        <f>HYPERLINK("https://knru.ru/catalog/nab-voskresenskaya-d-4-1927414743/","ссылка")</f>
        <v/>
      </c>
      <c r="Q81">
        <f>HYPERLINK("https://app.worldcafe.ru/object/9867","ссылка")</f>
        <v/>
      </c>
      <c r="R81" t="inlineStr">
        <is>
          <t>По адресу есть, но площадь другая</t>
        </is>
      </c>
      <c r="S81" t="n">
        <v>2</v>
      </c>
      <c r="T81" t="inlineStr">
        <is>
          <t>Архив rent 60 м² 75 000 =HYPERLINK("https://app.worldcafe.ru/object/9215","ссылка") | Архив sale 519 м² 88 000 000 =HYPERLINK("https://app.worldcafe.ru/object/9867","ссылка")</t>
        </is>
      </c>
      <c r="U81" t="n">
        <v>426</v>
      </c>
      <c r="V81" t="n">
        <v>18</v>
      </c>
      <c r="W81" t="n">
        <v>18</v>
      </c>
      <c r="X81" t="n">
        <v>53630000</v>
      </c>
      <c r="Y81" t="n">
        <v>88000000</v>
      </c>
      <c r="Z81" t="n">
        <v>34370000</v>
      </c>
      <c r="AA81" t="inlineStr">
        <is>
          <t>https://knru.ru/catalog/nab-voskresenskaya-d-4-1927414743/</t>
        </is>
      </c>
    </row>
    <row r="82">
      <c r="A82" t="n">
        <v>427</v>
      </c>
      <c r="B82" t="n">
        <v>18</v>
      </c>
      <c r="C82" t="n">
        <v>19</v>
      </c>
      <c r="D82" t="n">
        <v>534048350</v>
      </c>
      <c r="E82" t="inlineStr">
        <is>
          <t>Калининский</t>
        </is>
      </c>
      <c r="F82" t="inlineStr">
        <is>
          <t>Светлановский пр-кт, 85</t>
        </is>
      </c>
      <c r="G82" t="n">
        <v>101.5</v>
      </c>
      <c r="H82" t="inlineStr">
        <is>
          <t>27 706 770</t>
        </is>
      </c>
      <c r="I82" t="inlineStr">
        <is>
          <t>40 988 800</t>
        </is>
      </c>
      <c r="J82" t="inlineStr">
        <is>
          <t>У нас дороже на 13 282 030 (47.9%)</t>
        </is>
      </c>
      <c r="K82" t="inlineStr">
        <is>
          <t>13 282 030</t>
        </is>
      </c>
      <c r="L82" t="inlineStr">
        <is>
          <t>47.9%</t>
        </is>
      </c>
      <c r="M82" t="inlineStr">
        <is>
          <t>sale_only</t>
        </is>
      </c>
      <c r="N82" t="inlineStr">
        <is>
          <t>no</t>
        </is>
      </c>
      <c r="O82" t="inlineStr">
        <is>
          <t>none</t>
        </is>
      </c>
      <c r="P82">
        <f>HYPERLINK("https://knru.ru/catalog/svetlanovskiy-pr-d-85-534048350/","ссылка")</f>
        <v/>
      </c>
      <c r="Q82">
        <f>HYPERLINK("https://app.worldcafe.ru/object/15547","ссылка")</f>
        <v/>
      </c>
      <c r="R82" t="inlineStr">
        <is>
          <t>По адресу есть, но площадь другая</t>
        </is>
      </c>
      <c r="S82" t="n">
        <v>1</v>
      </c>
      <c r="T82" t="inlineStr">
        <is>
          <t>На сайте sale 128.1 м² 40 988 800 =HYPERLINK("https://app.worldcafe.ru/object/15547","ссылка")</t>
        </is>
      </c>
      <c r="U82" t="n">
        <v>427</v>
      </c>
      <c r="V82" t="n">
        <v>18</v>
      </c>
      <c r="W82" t="n">
        <v>19</v>
      </c>
      <c r="X82" t="n">
        <v>27706770</v>
      </c>
      <c r="Y82" t="n">
        <v>40988800</v>
      </c>
      <c r="Z82" t="n">
        <v>13282030</v>
      </c>
      <c r="AA82" t="inlineStr">
        <is>
          <t>https://knru.ru/catalog/svetlanovskiy-pr-d-85-534048350/</t>
        </is>
      </c>
    </row>
    <row r="83">
      <c r="A83" t="n">
        <v>429</v>
      </c>
      <c r="B83" t="n">
        <v>18</v>
      </c>
      <c r="C83" t="n">
        <v>21</v>
      </c>
      <c r="D83" t="n">
        <v>1</v>
      </c>
      <c r="E83" t="inlineStr">
        <is>
          <t>Московский</t>
        </is>
      </c>
      <c r="F83" t="inlineStr">
        <is>
          <t>Пулковское ш, 3к1</t>
        </is>
      </c>
      <c r="G83" t="n">
        <v>187</v>
      </c>
      <c r="H83" t="inlineStr">
        <is>
          <t>100 000 000</t>
        </is>
      </c>
      <c r="I83" t="inlineStr">
        <is>
          <t>0</t>
        </is>
      </c>
      <c r="J83" t="inlineStr">
        <is>
          <t>У нас дешевле на 100 000 000 (100.0%)</t>
        </is>
      </c>
      <c r="K83" t="inlineStr">
        <is>
          <t>-100 000 000</t>
        </is>
      </c>
      <c r="L83" t="inlineStr">
        <is>
          <t>-100.0%</t>
        </is>
      </c>
      <c r="M83" t="inlineStr">
        <is>
          <t>sale_only</t>
        </is>
      </c>
      <c r="N83" t="inlineStr">
        <is>
          <t>no</t>
        </is>
      </c>
      <c r="O83" t="inlineStr">
        <is>
          <t>none</t>
        </is>
      </c>
      <c r="P83">
        <f>HYPERLINK("https://knru.ru/catalog/pulkovskoe-sh-d-3-k-1/","ссылка")</f>
        <v/>
      </c>
      <c r="Q83">
        <f>HYPERLINK("https://app.worldcafe.ru/object/18645","ссылка")</f>
        <v/>
      </c>
      <c r="R83" t="inlineStr">
        <is>
          <t>По адресу есть, но площадь другая</t>
        </is>
      </c>
      <c r="S83" t="n">
        <v>1</v>
      </c>
      <c r="T83" t="inlineStr">
        <is>
          <t>Архив sale 227.6 м² 0 =HYPERLINK("https://app.worldcafe.ru/object/18645","ссылка")</t>
        </is>
      </c>
      <c r="U83" t="n">
        <v>429</v>
      </c>
      <c r="V83" t="n">
        <v>18</v>
      </c>
      <c r="W83" t="n">
        <v>21</v>
      </c>
      <c r="X83" t="n">
        <v>100000000</v>
      </c>
      <c r="Y83" t="n">
        <v>0</v>
      </c>
      <c r="Z83" t="n">
        <v>-100000000</v>
      </c>
      <c r="AA83" t="inlineStr">
        <is>
          <t>https://knru.ru/catalog/pulkovskoe-sh-d-3-k-1/</t>
        </is>
      </c>
    </row>
    <row r="84">
      <c r="A84" t="n">
        <v>432</v>
      </c>
      <c r="B84" t="n">
        <v>18</v>
      </c>
      <c r="C84" t="n">
        <v>24</v>
      </c>
      <c r="D84" t="n">
        <v>11</v>
      </c>
      <c r="E84" t="inlineStr">
        <is>
          <t>Центральный</t>
        </is>
      </c>
      <c r="F84" t="inlineStr">
        <is>
          <t>Садовая ул, 7-9-11</t>
        </is>
      </c>
      <c r="G84" t="n">
        <v>26</v>
      </c>
      <c r="H84" t="inlineStr">
        <is>
          <t>5 700 000</t>
        </is>
      </c>
      <c r="I84" t="inlineStr">
        <is>
          <t>26 500 000</t>
        </is>
      </c>
      <c r="J84" t="inlineStr">
        <is>
          <t>У нас дороже на 20 800 000 (364.9%)</t>
        </is>
      </c>
      <c r="K84" t="inlineStr">
        <is>
          <t>20 800 000</t>
        </is>
      </c>
      <c r="L84" t="inlineStr">
        <is>
          <t>364.9%</t>
        </is>
      </c>
      <c r="M84" t="inlineStr">
        <is>
          <t>sale_only</t>
        </is>
      </c>
      <c r="N84" t="inlineStr">
        <is>
          <t>no</t>
        </is>
      </c>
      <c r="O84" t="inlineStr">
        <is>
          <t>none</t>
        </is>
      </c>
      <c r="P84">
        <f>HYPERLINK("https://knru.ru/catalog/sadovaya-ul-7-9-11/","ссылка")</f>
        <v/>
      </c>
      <c r="Q84">
        <f>HYPERLINK("https://app.worldcafe.ru/object/11867","ссылка")</f>
        <v/>
      </c>
      <c r="R84" t="inlineStr">
        <is>
          <t>По адресу есть, но площадь другая</t>
        </is>
      </c>
      <c r="S84" t="n">
        <v>10</v>
      </c>
      <c r="T84" t="inlineStr">
        <is>
          <t>Архив rent 60 м² 490 000 =HYPERLINK("https://app.worldcafe.ru/object/10993","ссылка") | Архив rent 75 м² 175 000 =HYPERLINK("https://app.worldcafe.ru/object/9335","ссылка") | Архив rent 120 м² 300 000 =HYPERLINK("https://app.worldcafe.ru/object/8102","ссылка") | Без сделки no_deal 166 м² =HYPERLINK("https://app.worldcafe.ru/object/14214","ссылка") | Архив sale 175 м² 26 500 000 =HYPERLINK("https://app.worldcafe.ru/object/11867","ссылка") | Архив rent 356.4 м² 400 000 =HYPERLINK("https://app.worldcafe.ru/object/8350","ссылка") | Архив sale 356.4 м² 59 999 530 =HYPERLINK("https://app.worldcafe.ru/object/8350","ссылка") | Архив rent 380 м² 1 500 000 =HYPERLINK("https://app.worldcafe.ru/object/11456","ссылка") | Архив sale 380 м² 148 000 000 =HYPERLINK("https://app.worldcafe.ru/object/11456","ссылка") | Архив sale 380.8 м² 169 000 000 =HYPERLINK("https://app.worldcafe.ru/object/11297","ссылка")</t>
        </is>
      </c>
      <c r="U84" t="n">
        <v>432</v>
      </c>
      <c r="V84" t="n">
        <v>18</v>
      </c>
      <c r="W84" t="n">
        <v>24</v>
      </c>
      <c r="X84" t="n">
        <v>5700000</v>
      </c>
      <c r="Y84" t="n">
        <v>26500000</v>
      </c>
      <c r="Z84" t="n">
        <v>20800000</v>
      </c>
      <c r="AA84" t="inlineStr">
        <is>
          <t>https://knru.ru/catalog/sadovaya-ul-7-9-11/</t>
        </is>
      </c>
    </row>
    <row r="85">
      <c r="A85" t="n">
        <v>433</v>
      </c>
      <c r="B85" t="n">
        <v>19</v>
      </c>
      <c r="C85" t="n">
        <v>1</v>
      </c>
      <c r="D85" t="n">
        <v>14</v>
      </c>
      <c r="E85" t="inlineStr">
        <is>
          <t>Центральный</t>
        </is>
      </c>
      <c r="F85" t="inlineStr">
        <is>
          <t>Маяковского ул, 14</t>
        </is>
      </c>
      <c r="G85" t="n">
        <v>324</v>
      </c>
      <c r="H85" t="inlineStr">
        <is>
          <t>54 000 000</t>
        </is>
      </c>
      <c r="I85" t="inlineStr">
        <is>
          <t>39 000 000</t>
        </is>
      </c>
      <c r="J85" t="inlineStr">
        <is>
          <t>У нас дешевле на 15 000 000 (27.8%)</t>
        </is>
      </c>
      <c r="K85" t="inlineStr">
        <is>
          <t>-15 000 000</t>
        </is>
      </c>
      <c r="L85" t="inlineStr">
        <is>
          <t>-27.8%</t>
        </is>
      </c>
      <c r="M85" t="inlineStr">
        <is>
          <t>sale_only</t>
        </is>
      </c>
      <c r="N85" t="inlineStr">
        <is>
          <t>no</t>
        </is>
      </c>
      <c r="O85" t="inlineStr">
        <is>
          <t>none</t>
        </is>
      </c>
      <c r="P85">
        <f>HYPERLINK("https://knru.ru/catalog/mayakovskogo-ul-14/","ссылка")</f>
        <v/>
      </c>
      <c r="Q85">
        <f>HYPERLINK("https://app.worldcafe.ru/object/10858","ссылка")</f>
        <v/>
      </c>
      <c r="R85" t="inlineStr">
        <is>
          <t>По адресу есть, но площадь другая</t>
        </is>
      </c>
      <c r="S85" t="n">
        <v>4</v>
      </c>
      <c r="T85" t="inlineStr">
        <is>
          <t>Архив rent 203.7 м² 0 =HYPERLINK("https://app.worldcafe.ru/object/14157","ссылка") | Архив rent 72 м² 220 000 =HYPERLINK("https://app.worldcafe.ru/object/10858","ссылка") | Архив sale 72 м² 39 000 000 =HYPERLINK("https://app.worldcafe.ru/object/10858","ссылка") | Архив rent 55 м² 165 000 =HYPERLINK("https://app.worldcafe.ru/object/13247","ссылка")</t>
        </is>
      </c>
      <c r="U85" t="n">
        <v>433</v>
      </c>
      <c r="V85" t="n">
        <v>19</v>
      </c>
      <c r="W85" t="n">
        <v>1</v>
      </c>
      <c r="X85" t="n">
        <v>54000000</v>
      </c>
      <c r="Y85" t="n">
        <v>39000000</v>
      </c>
      <c r="Z85" t="n">
        <v>-15000000</v>
      </c>
      <c r="AA85" t="inlineStr">
        <is>
          <t>https://knru.ru/catalog/mayakovskogo-ul-14/</t>
        </is>
      </c>
    </row>
    <row r="86">
      <c r="A86" t="n">
        <v>436</v>
      </c>
      <c r="B86" t="n">
        <v>19</v>
      </c>
      <c r="C86" t="n">
        <v>4</v>
      </c>
      <c r="D86" t="inlineStr"/>
      <c r="E86" t="inlineStr">
        <is>
          <t>Василеостровский</t>
        </is>
      </c>
      <c r="F86" t="inlineStr">
        <is>
          <t>Морская наб, 21к1</t>
        </is>
      </c>
      <c r="G86" t="n">
        <v>246</v>
      </c>
      <c r="H86" t="inlineStr">
        <is>
          <t>50 000 000</t>
        </is>
      </c>
      <c r="I86" t="inlineStr">
        <is>
          <t>300 000</t>
        </is>
      </c>
      <c r="J86" t="inlineStr">
        <is>
          <t>У нас дешевле на 49 700 000 (99.4%)</t>
        </is>
      </c>
      <c r="K86" t="inlineStr">
        <is>
          <t>-49 700 000</t>
        </is>
      </c>
      <c r="L86" t="inlineStr">
        <is>
          <t>-99.4%</t>
        </is>
      </c>
      <c r="M86" t="inlineStr">
        <is>
          <t>sale_only</t>
        </is>
      </c>
      <c r="N86" t="inlineStr">
        <is>
          <t>no</t>
        </is>
      </c>
      <c r="O86" t="inlineStr">
        <is>
          <t>none</t>
        </is>
      </c>
      <c r="P86">
        <f>HYPERLINK("https://knru.ru/catalog/morskaya-nab-21k1/","ссылка")</f>
        <v/>
      </c>
      <c r="Q86">
        <f>HYPERLINK("https://app.worldcafe.ru/object/7988","ссылка")</f>
        <v/>
      </c>
      <c r="R86" t="inlineStr">
        <is>
          <t>Корпус/строение не совпало</t>
        </is>
      </c>
      <c r="S86" t="n">
        <v>2</v>
      </c>
      <c r="T86" t="inlineStr">
        <is>
          <t>На сайте sale 284 м² 49 000 000 =HYPERLINK("https://app.worldcafe.ru/object/11586","ссылка") | Архив sale 287 м² 300 000 =HYPERLINK("https://app.worldcafe.ru/object/7988","ссылка")</t>
        </is>
      </c>
      <c r="U86" t="n">
        <v>436</v>
      </c>
      <c r="V86" t="n">
        <v>19</v>
      </c>
      <c r="W86" t="n">
        <v>4</v>
      </c>
      <c r="X86" t="n">
        <v>50000000</v>
      </c>
      <c r="Y86" t="n">
        <v>300000</v>
      </c>
      <c r="Z86" t="n">
        <v>-49700000</v>
      </c>
      <c r="AA86" t="inlineStr">
        <is>
          <t>https://knru.ru/catalog/morskaya-nab-21k1/</t>
        </is>
      </c>
    </row>
    <row r="87">
      <c r="A87" t="n">
        <v>454</v>
      </c>
      <c r="B87" t="n">
        <v>19</v>
      </c>
      <c r="C87" t="n">
        <v>22</v>
      </c>
      <c r="D87" t="n">
        <v>1</v>
      </c>
      <c r="E87" t="inlineStr">
        <is>
          <t>Выборгский</t>
        </is>
      </c>
      <c r="F87" t="inlineStr">
        <is>
          <t>Просвещения пр-кт, 46к1</t>
        </is>
      </c>
      <c r="G87" t="n">
        <v>1750</v>
      </c>
      <c r="H87" t="inlineStr">
        <is>
          <t>375 000 000</t>
        </is>
      </c>
      <c r="I87" t="inlineStr">
        <is>
          <t>605 000</t>
        </is>
      </c>
      <c r="J87" t="inlineStr">
        <is>
          <t>У нас дешевле на 374 395 000 (99.8%)</t>
        </is>
      </c>
      <c r="K87" t="inlineStr">
        <is>
          <t>-374 395 000</t>
        </is>
      </c>
      <c r="L87" t="inlineStr">
        <is>
          <t>-99.8%</t>
        </is>
      </c>
      <c r="M87" t="inlineStr">
        <is>
          <t>any_type</t>
        </is>
      </c>
      <c r="N87" t="inlineStr">
        <is>
          <t>no</t>
        </is>
      </c>
      <c r="O87" t="inlineStr">
        <is>
          <t>none</t>
        </is>
      </c>
      <c r="P87">
        <f>HYPERLINK("https://knru.ru/catalog/pr-prosveshcheniya-d-46-k-1/","ссылка")</f>
        <v/>
      </c>
      <c r="Q87">
        <f>HYPERLINK("https://app.worldcafe.ru/object/11015","ссылка")</f>
        <v/>
      </c>
      <c r="R87" t="inlineStr">
        <is>
          <t>По адресу есть, но площадь другая</t>
        </is>
      </c>
      <c r="S87" t="n">
        <v>1</v>
      </c>
      <c r="T87" t="inlineStr">
        <is>
          <t>Архив rent 550 м² 605 000 =HYPERLINK("https://app.worldcafe.ru/object/11015","ссылка")</t>
        </is>
      </c>
      <c r="U87" t="n">
        <v>454</v>
      </c>
      <c r="V87" t="n">
        <v>19</v>
      </c>
      <c r="W87" t="n">
        <v>22</v>
      </c>
      <c r="X87" t="n">
        <v>375000000</v>
      </c>
      <c r="Y87" t="n">
        <v>605000</v>
      </c>
      <c r="Z87" t="n">
        <v>-374395000</v>
      </c>
      <c r="AA87" t="inlineStr">
        <is>
          <t>https://knru.ru/catalog/pr-prosveshcheniya-d-46-k-1/</t>
        </is>
      </c>
    </row>
    <row r="88">
      <c r="A88" t="n">
        <v>455</v>
      </c>
      <c r="B88" t="n">
        <v>19</v>
      </c>
      <c r="C88" t="n">
        <v>23</v>
      </c>
      <c r="D88" t="n">
        <v>1</v>
      </c>
      <c r="E88" t="inlineStr">
        <is>
          <t>Пушкинский</t>
        </is>
      </c>
      <c r="F88" t="inlineStr">
        <is>
          <t>Кокколевская ул., 1</t>
        </is>
      </c>
      <c r="G88" t="n">
        <v>9825</v>
      </c>
      <c r="H88" t="inlineStr">
        <is>
          <t>1 450 000 000</t>
        </is>
      </c>
      <c r="I88" t="inlineStr">
        <is>
          <t>622 600</t>
        </is>
      </c>
      <c r="J88" t="inlineStr">
        <is>
          <t>У нас дешевле на 1 449 377 400 (100.0%)</t>
        </is>
      </c>
      <c r="K88" t="inlineStr">
        <is>
          <t>-1 449 377 400</t>
        </is>
      </c>
      <c r="L88" t="inlineStr">
        <is>
          <t>-100.0%</t>
        </is>
      </c>
      <c r="M88" t="inlineStr">
        <is>
          <t>any_type</t>
        </is>
      </c>
      <c r="N88" t="inlineStr">
        <is>
          <t>no</t>
        </is>
      </c>
      <c r="O88" t="inlineStr">
        <is>
          <t>none</t>
        </is>
      </c>
      <c r="P88">
        <f>HYPERLINK("https://knru.ru/catalog/kokkolevskaya-ul-d-1/","ссылка")</f>
        <v/>
      </c>
      <c r="Q88">
        <f>HYPERLINK("https://app.worldcafe.ru/object/11830","ссылка")</f>
        <v/>
      </c>
      <c r="R88" t="inlineStr">
        <is>
          <t>По адресу есть, но площадь другая</t>
        </is>
      </c>
      <c r="S88" t="n">
        <v>5</v>
      </c>
      <c r="T88" t="inlineStr">
        <is>
          <t>Архив rent 1321.4 м² 1 651 750 =HYPERLINK("https://app.worldcafe.ru/object/13074","ссылка") | Архив rent 979.4 м² 1 958 800 =HYPERLINK("https://app.worldcafe.ru/object/13070","ссылка") | Архив rent 566 м² 622 600 =HYPERLINK("https://app.worldcafe.ru/object/11830","ссылка") | Архив business_sale 451 м² 3 500 000 =HYPERLINK("https://app.worldcafe.ru/object/10879","ссылка") | На сайте business_sale 380 м² 5 700 000 =HYPERLINK("https://app.worldcafe.ru/object/19692","ссылка")</t>
        </is>
      </c>
      <c r="U88" t="n">
        <v>455</v>
      </c>
      <c r="V88" t="n">
        <v>19</v>
      </c>
      <c r="W88" t="n">
        <v>23</v>
      </c>
      <c r="X88" t="n">
        <v>1450000000</v>
      </c>
      <c r="Y88" t="n">
        <v>622600</v>
      </c>
      <c r="Z88" t="n">
        <v>-1449377400</v>
      </c>
      <c r="AA88" t="inlineStr">
        <is>
          <t>https://knru.ru/catalog/kokkolevskaya-ul-d-1/</t>
        </is>
      </c>
    </row>
    <row r="89">
      <c r="A89" t="n">
        <v>468</v>
      </c>
      <c r="B89" t="n">
        <v>20</v>
      </c>
      <c r="C89" t="n">
        <v>12</v>
      </c>
      <c r="D89" t="n">
        <v>2</v>
      </c>
      <c r="E89" t="inlineStr">
        <is>
          <t>Василеостровский</t>
        </is>
      </c>
      <c r="F89" t="inlineStr">
        <is>
          <t>Наличная ул, 44к2</t>
        </is>
      </c>
      <c r="G89" t="n">
        <v>431</v>
      </c>
      <c r="H89" t="inlineStr">
        <is>
          <t>86 000 000</t>
        </is>
      </c>
      <c r="I89" t="inlineStr">
        <is>
          <t>77 000 000</t>
        </is>
      </c>
      <c r="J89" t="inlineStr">
        <is>
          <t>У нас дешевле на 9 000 000 (10.5%)</t>
        </is>
      </c>
      <c r="K89" t="inlineStr">
        <is>
          <t>-9 000 000</t>
        </is>
      </c>
      <c r="L89" t="inlineStr">
        <is>
          <t>-10.5%</t>
        </is>
      </c>
      <c r="M89" t="inlineStr">
        <is>
          <t>sale_only</t>
        </is>
      </c>
      <c r="N89" t="inlineStr">
        <is>
          <t>no</t>
        </is>
      </c>
      <c r="O89" t="inlineStr">
        <is>
          <t>none</t>
        </is>
      </c>
      <c r="P89">
        <f>HYPERLINK("https://knru.ru/catalog/ul-nalichnaya-d-44-kor-2/","ссылка")</f>
        <v/>
      </c>
      <c r="Q89">
        <f>HYPERLINK("https://app.worldcafe.ru/object/20226","ссылка")</f>
        <v/>
      </c>
      <c r="R89" t="inlineStr">
        <is>
          <t>По адресу есть, но площадь другая</t>
        </is>
      </c>
      <c r="S89" t="n">
        <v>4</v>
      </c>
      <c r="T89" t="inlineStr">
        <is>
          <t>На сайте sale 290 м² 77 000 000 =HYPERLINK("https://app.worldcafe.ru/object/20226","ссылка") | Архив rent 25 м² 30 000 =HYPERLINK("https://app.worldcafe.ru/object/14551","ссылка") | Архив sale 1060.9 м² 171 000 000 =HYPERLINK("https://app.worldcafe.ru/object/13793","ссылка") | Архив rent 1500 м² 2 000 000 =HYPERLINK("https://app.worldcafe.ru/object/12002","ссылка")</t>
        </is>
      </c>
      <c r="U89" t="n">
        <v>468</v>
      </c>
      <c r="V89" t="n">
        <v>20</v>
      </c>
      <c r="W89" t="n">
        <v>12</v>
      </c>
      <c r="X89" t="n">
        <v>86000000</v>
      </c>
      <c r="Y89" t="n">
        <v>77000000</v>
      </c>
      <c r="Z89" t="n">
        <v>-9000000</v>
      </c>
      <c r="AA89" t="inlineStr">
        <is>
          <t>https://knru.ru/catalog/ul-nalichnaya-d-44-kor-2/</t>
        </is>
      </c>
    </row>
    <row r="90">
      <c r="A90" t="n">
        <v>472</v>
      </c>
      <c r="B90" t="n">
        <v>20</v>
      </c>
      <c r="C90" t="n">
        <v>16</v>
      </c>
      <c r="D90" t="n">
        <v>127</v>
      </c>
      <c r="E90" t="inlineStr">
        <is>
          <t>Центральный</t>
        </is>
      </c>
      <c r="F90" t="inlineStr">
        <is>
          <t>Лиговский пр-кт, 127</t>
        </is>
      </c>
      <c r="G90" t="n">
        <v>70</v>
      </c>
      <c r="H90" t="inlineStr">
        <is>
          <t>45 000 000</t>
        </is>
      </c>
      <c r="I90" t="inlineStr">
        <is>
          <t>135 000</t>
        </is>
      </c>
      <c r="J90" t="inlineStr">
        <is>
          <t>У нас дешевле на 44 865 000 (99.7%)</t>
        </is>
      </c>
      <c r="K90" t="inlineStr">
        <is>
          <t>-44 865 000</t>
        </is>
      </c>
      <c r="L90" t="inlineStr">
        <is>
          <t>-99.7%</t>
        </is>
      </c>
      <c r="M90" t="inlineStr">
        <is>
          <t>any_type</t>
        </is>
      </c>
      <c r="N90" t="inlineStr">
        <is>
          <t>no</t>
        </is>
      </c>
      <c r="O90" t="inlineStr">
        <is>
          <t>none</t>
        </is>
      </c>
      <c r="P90">
        <f>HYPERLINK("https://knru.ru/catalog/ligovskiy-pr-d-127/","ссылка")</f>
        <v/>
      </c>
      <c r="Q90">
        <f>HYPERLINK("https://app.worldcafe.ru/object/11965","ссылка")</f>
        <v/>
      </c>
      <c r="R90" t="inlineStr">
        <is>
          <t>По адресу есть, но площадь другая</t>
        </is>
      </c>
      <c r="S90" t="n">
        <v>1</v>
      </c>
      <c r="T90" t="inlineStr">
        <is>
          <t>Архив rent 53 м² 135 000 =HYPERLINK("https://app.worldcafe.ru/object/11965","ссылка")</t>
        </is>
      </c>
      <c r="U90" t="n">
        <v>472</v>
      </c>
      <c r="V90" t="n">
        <v>20</v>
      </c>
      <c r="W90" t="n">
        <v>16</v>
      </c>
      <c r="X90" t="n">
        <v>45000000</v>
      </c>
      <c r="Y90" t="n">
        <v>135000</v>
      </c>
      <c r="Z90" t="n">
        <v>-44865000</v>
      </c>
      <c r="AA90" t="inlineStr">
        <is>
          <t>https://knru.ru/catalog/ligovskiy-pr-d-127/</t>
        </is>
      </c>
    </row>
    <row r="91">
      <c r="A91" t="n">
        <v>477</v>
      </c>
      <c r="B91" t="n">
        <v>20</v>
      </c>
      <c r="C91" t="n">
        <v>21</v>
      </c>
      <c r="D91" t="n">
        <v>1056353155</v>
      </c>
      <c r="E91" t="inlineStr">
        <is>
          <t>Петроградский</t>
        </is>
      </c>
      <c r="F91" t="inlineStr">
        <is>
          <t>Профессора Попова ул, 47к2</t>
        </is>
      </c>
      <c r="G91" t="n">
        <v>84.40000000000001</v>
      </c>
      <c r="H91" t="inlineStr">
        <is>
          <t>50 978 351</t>
        </is>
      </c>
      <c r="I91" t="inlineStr">
        <is>
          <t>180 000</t>
        </is>
      </c>
      <c r="J91" t="inlineStr">
        <is>
          <t>У нас дешевле на 50 798 351 (99.6%)</t>
        </is>
      </c>
      <c r="K91" t="inlineStr">
        <is>
          <t>-50 798 351</t>
        </is>
      </c>
      <c r="L91" t="inlineStr">
        <is>
          <t>-99.6%</t>
        </is>
      </c>
      <c r="M91" t="inlineStr">
        <is>
          <t>any_type</t>
        </is>
      </c>
      <c r="N91" t="inlineStr">
        <is>
          <t>no</t>
        </is>
      </c>
      <c r="O91" t="inlineStr">
        <is>
          <t>none</t>
        </is>
      </c>
      <c r="P91">
        <f>HYPERLINK("https://knru.ru/catalog/professora-popova-ul-47k2-1056353155/","ссылка")</f>
        <v/>
      </c>
      <c r="Q91">
        <f>HYPERLINK("https://app.worldcafe.ru/object/12806","ссылка")</f>
        <v/>
      </c>
      <c r="R91" t="inlineStr">
        <is>
          <t>По адресу есть, но площадь другая</t>
        </is>
      </c>
      <c r="S91" t="n">
        <v>2</v>
      </c>
      <c r="T91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91" t="n">
        <v>477</v>
      </c>
      <c r="V91" t="n">
        <v>20</v>
      </c>
      <c r="W91" t="n">
        <v>21</v>
      </c>
      <c r="X91" t="n">
        <v>50978351</v>
      </c>
      <c r="Y91" t="n">
        <v>180000</v>
      </c>
      <c r="Z91" t="n">
        <v>-50798351</v>
      </c>
      <c r="AA91" t="inlineStr">
        <is>
          <t>https://knru.ru/catalog/professora-popova-ul-47k2-1056353155/</t>
        </is>
      </c>
    </row>
    <row r="92">
      <c r="A92" t="n">
        <v>478</v>
      </c>
      <c r="B92" t="n">
        <v>20</v>
      </c>
      <c r="C92" t="n">
        <v>22</v>
      </c>
      <c r="D92" t="inlineStr"/>
      <c r="E92" t="inlineStr">
        <is>
          <t>Адмиралтейский</t>
        </is>
      </c>
      <c r="F92" t="inlineStr">
        <is>
          <t>Гороховая ул, 45б</t>
        </is>
      </c>
      <c r="G92" t="n">
        <v>110.4</v>
      </c>
      <c r="H92" t="inlineStr">
        <is>
          <t>65 450 000</t>
        </is>
      </c>
      <c r="I92" t="inlineStr">
        <is>
          <t>27 000 000</t>
        </is>
      </c>
      <c r="J92" t="inlineStr">
        <is>
          <t>У нас дешевле на 38 450 000 (58.7%)</t>
        </is>
      </c>
      <c r="K92" t="inlineStr">
        <is>
          <t>-38 450 000</t>
        </is>
      </c>
      <c r="L92" t="inlineStr">
        <is>
          <t>-58.7%</t>
        </is>
      </c>
      <c r="M92" t="inlineStr">
        <is>
          <t>sale_only</t>
        </is>
      </c>
      <c r="N92" t="inlineStr">
        <is>
          <t>no</t>
        </is>
      </c>
      <c r="O92" t="inlineStr">
        <is>
          <t>none</t>
        </is>
      </c>
      <c r="P92">
        <f>HYPERLINK("https://knru.ru/catalog/gorokhovaya-ul-45b/","ссылка")</f>
        <v/>
      </c>
      <c r="Q92">
        <f>HYPERLINK("https://app.worldcafe.ru/object/19124","ссылка")</f>
        <v/>
      </c>
      <c r="R92" t="inlineStr">
        <is>
          <t>По адресу есть, но площадь другая</t>
        </is>
      </c>
      <c r="S92" t="n">
        <v>7</v>
      </c>
      <c r="T92" t="inlineStr">
        <is>
          <t>Архив rent 140 м² 250 000 =HYPERLINK("https://app.worldcafe.ru/object/9643","ссылка") | Архив rent 141 м² 380 700 =HYPERLINK("https://app.worldcafe.ru/object/7959","ссылка") | Архив rent 64.4 м² 118 496 =HYPERLINK("https://app.worldcafe.ru/object/16210","ссылка") | На сайте sale 55 м² 27 000 000 =HYPERLINK("https://app.worldcafe.ru/object/19124","ссылка") | Архив rent 50 м² 149 999 =HYPERLINK("https://app.worldcafe.ru/object/19237","ссылка") | Архив rent 194.6 м² 420 000 =HYPERLINK("https://app.worldcafe.ru/object/8573","ссылка") | Архив rent 25.4 м² 46 736 =HYPERLINK("https://app.worldcafe.ru/object/16211","ссылка")</t>
        </is>
      </c>
      <c r="U92" t="n">
        <v>478</v>
      </c>
      <c r="V92" t="n">
        <v>20</v>
      </c>
      <c r="W92" t="n">
        <v>22</v>
      </c>
      <c r="X92" t="n">
        <v>65450000</v>
      </c>
      <c r="Y92" t="n">
        <v>27000000</v>
      </c>
      <c r="Z92" t="n">
        <v>-38450000</v>
      </c>
      <c r="AA92" t="inlineStr">
        <is>
          <t>https://knru.ru/catalog/gorokhovaya-ul-45b/</t>
        </is>
      </c>
    </row>
    <row r="93">
      <c r="A93" t="n">
        <v>481</v>
      </c>
      <c r="B93" t="n">
        <v>21</v>
      </c>
      <c r="C93" t="n">
        <v>1</v>
      </c>
      <c r="D93" t="n">
        <v>1866587549</v>
      </c>
      <c r="E93" t="inlineStr">
        <is>
          <t>Выборгский</t>
        </is>
      </c>
      <c r="F93" t="inlineStr">
        <is>
          <t>Торфяное тер., Ольгинская дор, 3/20</t>
        </is>
      </c>
      <c r="G93" t="n">
        <v>547</v>
      </c>
      <c r="H93" t="inlineStr">
        <is>
          <t>79 900 000</t>
        </is>
      </c>
      <c r="I93" t="inlineStr">
        <is>
          <t>14 762 000</t>
        </is>
      </c>
      <c r="J93" t="inlineStr">
        <is>
          <t>У нас дешевле на 65 138 000 (81.5%)</t>
        </is>
      </c>
      <c r="K93" t="inlineStr">
        <is>
          <t>-65 138 000</t>
        </is>
      </c>
      <c r="L93" t="inlineStr">
        <is>
          <t>-81.5%</t>
        </is>
      </c>
      <c r="M93" t="inlineStr">
        <is>
          <t>sale_only</t>
        </is>
      </c>
      <c r="N93" t="inlineStr">
        <is>
          <t>no</t>
        </is>
      </c>
      <c r="O93" t="inlineStr">
        <is>
          <t>none</t>
        </is>
      </c>
      <c r="P93">
        <f>HYPERLINK("https://knru.ru/catalog/pargolovo-olginskaya-doroga-d-3-20-1866587549/","ссылка")</f>
        <v/>
      </c>
      <c r="Q93">
        <f>HYPERLINK("https://app.worldcafe.ru/object/19967","ссылка")</f>
        <v/>
      </c>
      <c r="R93" t="inlineStr">
        <is>
          <t>По адресу есть, но площадь другая</t>
        </is>
      </c>
      <c r="S93" t="n">
        <v>1</v>
      </c>
      <c r="T93" t="inlineStr">
        <is>
          <t>Архив sale 67.2 м² 14 762 000 =HYPERLINK("https://app.worldcafe.ru/object/19967","ссылка")</t>
        </is>
      </c>
      <c r="U93" t="n">
        <v>481</v>
      </c>
      <c r="V93" t="n">
        <v>21</v>
      </c>
      <c r="W93" t="n">
        <v>1</v>
      </c>
      <c r="X93" t="n">
        <v>79900000</v>
      </c>
      <c r="Y93" t="n">
        <v>14762000</v>
      </c>
      <c r="Z93" t="n">
        <v>-65138000</v>
      </c>
      <c r="AA93" t="inlineStr">
        <is>
          <t>https://knru.ru/catalog/pargolovo-olginskaya-doroga-d-3-20-1866587549/</t>
        </is>
      </c>
    </row>
    <row r="94">
      <c r="A94" t="n">
        <v>485</v>
      </c>
      <c r="B94" t="n">
        <v>21</v>
      </c>
      <c r="C94" t="n">
        <v>5</v>
      </c>
      <c r="D94" t="n">
        <v>30</v>
      </c>
      <c r="E94" t="inlineStr">
        <is>
          <t>Красногвардейский</t>
        </is>
      </c>
      <c r="F94" t="inlineStr">
        <is>
          <t>Косыгина пр-кт, 30к1 А</t>
        </is>
      </c>
      <c r="G94" t="n">
        <v>7013</v>
      </c>
      <c r="H94" t="inlineStr">
        <is>
          <t>1 258 800 000</t>
        </is>
      </c>
      <c r="I94" t="inlineStr"/>
      <c r="J94" t="inlineStr"/>
      <c r="K94" t="inlineStr"/>
      <c r="L94" t="inlineStr"/>
      <c r="M94" t="inlineStr"/>
      <c r="N94" t="inlineStr">
        <is>
          <t>no</t>
        </is>
      </c>
      <c r="O94" t="inlineStr">
        <is>
          <t>none</t>
        </is>
      </c>
      <c r="P94">
        <f>HYPERLINK("https://knru.ru/catalog/kosygina-pr-d-30/","ссылка")</f>
        <v/>
      </c>
      <c r="Q94" t="inlineStr"/>
      <c r="R94" t="inlineStr">
        <is>
          <t>По адресу есть, но площадь другая</t>
        </is>
      </c>
      <c r="S94" t="n">
        <v>1</v>
      </c>
      <c r="T94" t="inlineStr">
        <is>
          <t>Без сделки no_deal 315 м² =HYPERLINK("https://app.worldcafe.ru/object/15556","ссылка")</t>
        </is>
      </c>
      <c r="U94" t="n">
        <v>485</v>
      </c>
      <c r="V94" t="n">
        <v>21</v>
      </c>
      <c r="W94" t="n">
        <v>5</v>
      </c>
      <c r="X94" t="n">
        <v>1258800000</v>
      </c>
      <c r="Y94" t="inlineStr"/>
      <c r="Z94" t="inlineStr"/>
      <c r="AA94" t="inlineStr">
        <is>
          <t>https://knru.ru/catalog/kosygina-pr-d-30/</t>
        </is>
      </c>
    </row>
    <row r="95">
      <c r="A95" t="n">
        <v>488</v>
      </c>
      <c r="B95" t="n">
        <v>21</v>
      </c>
      <c r="C95" t="n">
        <v>8</v>
      </c>
      <c r="D95" t="n">
        <v>24</v>
      </c>
      <c r="E95" t="inlineStr">
        <is>
          <t>Кировский</t>
        </is>
      </c>
      <c r="F95" t="inlineStr">
        <is>
          <t>Нарвский пр-кт, 24 А</t>
        </is>
      </c>
      <c r="G95" t="n">
        <v>305</v>
      </c>
      <c r="H95" t="inlineStr">
        <is>
          <t>120 000 000</t>
        </is>
      </c>
      <c r="I95" t="inlineStr">
        <is>
          <t>135 000 000</t>
        </is>
      </c>
      <c r="J95" t="inlineStr">
        <is>
          <t>У нас дороже на 15 000 000 (12.5%)</t>
        </is>
      </c>
      <c r="K95" t="inlineStr">
        <is>
          <t>15 000 000</t>
        </is>
      </c>
      <c r="L95" t="inlineStr">
        <is>
          <t>12.5%</t>
        </is>
      </c>
      <c r="M95" t="inlineStr">
        <is>
          <t>sale_only</t>
        </is>
      </c>
      <c r="N95" t="inlineStr">
        <is>
          <t>no</t>
        </is>
      </c>
      <c r="O95" t="inlineStr">
        <is>
          <t>none</t>
        </is>
      </c>
      <c r="P95">
        <f>HYPERLINK("https://knru.ru/catalog/narvskiy-pr-d-24/","ссылка")</f>
        <v/>
      </c>
      <c r="Q95">
        <f>HYPERLINK("https://app.worldcafe.ru/object/19706","ссылка")</f>
        <v/>
      </c>
      <c r="R95" t="inlineStr">
        <is>
          <t>По адресу есть, но площадь другая</t>
        </is>
      </c>
      <c r="S95" t="n">
        <v>1</v>
      </c>
      <c r="T95" t="inlineStr">
        <is>
          <t>На сайте sale 316 м² 135 000 000 =HYPERLINK("https://app.worldcafe.ru/object/19706","ссылка")</t>
        </is>
      </c>
      <c r="U95" t="n">
        <v>488</v>
      </c>
      <c r="V95" t="n">
        <v>21</v>
      </c>
      <c r="W95" t="n">
        <v>8</v>
      </c>
      <c r="X95" t="n">
        <v>120000000</v>
      </c>
      <c r="Y95" t="n">
        <v>135000000</v>
      </c>
      <c r="Z95" t="n">
        <v>15000000</v>
      </c>
      <c r="AA95" t="inlineStr">
        <is>
          <t>https://knru.ru/catalog/narvskiy-pr-d-24/</t>
        </is>
      </c>
    </row>
    <row r="96">
      <c r="A96" t="n">
        <v>489</v>
      </c>
      <c r="B96" t="n">
        <v>21</v>
      </c>
      <c r="C96" t="n">
        <v>9</v>
      </c>
      <c r="D96" t="n">
        <v>43</v>
      </c>
      <c r="E96" t="inlineStr">
        <is>
          <t>Центральный</t>
        </is>
      </c>
      <c r="F96" t="inlineStr">
        <is>
          <t>Литейный пр-кт, 43</t>
        </is>
      </c>
      <c r="G96" t="n">
        <v>145</v>
      </c>
      <c r="H96" t="inlineStr">
        <is>
          <t>92 000 000</t>
        </is>
      </c>
      <c r="I96" t="inlineStr">
        <is>
          <t>0</t>
        </is>
      </c>
      <c r="J96" t="inlineStr">
        <is>
          <t>У нас дешевле на 92 000 000 (100.0%)</t>
        </is>
      </c>
      <c r="K96" t="inlineStr">
        <is>
          <t>-92 000 000</t>
        </is>
      </c>
      <c r="L96" t="inlineStr">
        <is>
          <t>-100.0%</t>
        </is>
      </c>
      <c r="M96" t="inlineStr">
        <is>
          <t>sale_only</t>
        </is>
      </c>
      <c r="N96" t="inlineStr">
        <is>
          <t>no</t>
        </is>
      </c>
      <c r="O96" t="inlineStr">
        <is>
          <t>none</t>
        </is>
      </c>
      <c r="P96">
        <f>HYPERLINK("https://knru.ru/catalog/liteynyy-pr-kt-d-43/","ссылка")</f>
        <v/>
      </c>
      <c r="Q96">
        <f>HYPERLINK("https://app.worldcafe.ru/object/14249","ссылка")</f>
        <v/>
      </c>
      <c r="R96" t="inlineStr">
        <is>
          <t>По адресу есть, но площадь другая</t>
        </is>
      </c>
      <c r="S96" t="n">
        <v>2</v>
      </c>
      <c r="T96" t="inlineStr">
        <is>
          <t>Архив rent 92 м² 200 000 =HYPERLINK("https://app.worldcafe.ru/object/8423","ссылка") | Архив sale 341.1 м² 0 =HYPERLINK("https://app.worldcafe.ru/object/14249","ссылка")</t>
        </is>
      </c>
      <c r="U96" t="n">
        <v>489</v>
      </c>
      <c r="V96" t="n">
        <v>21</v>
      </c>
      <c r="W96" t="n">
        <v>9</v>
      </c>
      <c r="X96" t="n">
        <v>92000000</v>
      </c>
      <c r="Y96" t="n">
        <v>0</v>
      </c>
      <c r="Z96" t="n">
        <v>-92000000</v>
      </c>
      <c r="AA96" t="inlineStr">
        <is>
          <t>https://knru.ru/catalog/liteynyy-pr-kt-d-43/</t>
        </is>
      </c>
    </row>
    <row r="97">
      <c r="A97" t="n">
        <v>499</v>
      </c>
      <c r="B97" t="n">
        <v>21</v>
      </c>
      <c r="C97" t="n">
        <v>19</v>
      </c>
      <c r="D97" t="n">
        <v>587873543</v>
      </c>
      <c r="E97" t="inlineStr">
        <is>
          <t>Приморский</t>
        </is>
      </c>
      <c r="F97" t="inlineStr">
        <is>
          <t>Оптиков ул, 37</t>
        </is>
      </c>
      <c r="G97" t="n">
        <v>391</v>
      </c>
      <c r="H97" t="inlineStr">
        <is>
          <t>50 000 000</t>
        </is>
      </c>
      <c r="I97" t="inlineStr">
        <is>
          <t>13 000 000</t>
        </is>
      </c>
      <c r="J97" t="inlineStr">
        <is>
          <t>У нас дешевле на 37 000 000 (74.0%)</t>
        </is>
      </c>
      <c r="K97" t="inlineStr">
        <is>
          <t>-37 000 000</t>
        </is>
      </c>
      <c r="L97" t="inlineStr">
        <is>
          <t>-74.0%</t>
        </is>
      </c>
      <c r="M97" t="inlineStr">
        <is>
          <t>sale_only</t>
        </is>
      </c>
      <c r="N97" t="inlineStr">
        <is>
          <t>no</t>
        </is>
      </c>
      <c r="O97" t="inlineStr">
        <is>
          <t>none</t>
        </is>
      </c>
      <c r="P97">
        <f>HYPERLINK("https://knru.ru/catalog/ul-optikov-d-37-587873543/","ссылка")</f>
        <v/>
      </c>
      <c r="Q97">
        <f>HYPERLINK("https://app.worldcafe.ru/object/11432","ссылка")</f>
        <v/>
      </c>
      <c r="R97" t="inlineStr">
        <is>
          <t>По адресу есть, но площадь другая</t>
        </is>
      </c>
      <c r="S97" t="n">
        <v>5</v>
      </c>
      <c r="T97" t="inlineStr">
        <is>
          <t>На сайте rent 128 м² 179 987 =HYPERLINK("https://app.worldcafe.ru/object/12467","ссылка") | Архив sale 128 м² 27 500 000 =HYPERLINK("https://app.worldcafe.ru/object/12467","ссылка") | Архив sale 70 м² 13 000 000 =HYPERLINK("https://app.worldcafe.ru/object/11432","ссылка") | Архив rent 66.5 м² 97 000 =HYPERLINK("https://app.worldcafe.ru/object/12998","ссылка") | Архив sale 66.5 м² 14 500 000 =HYPERLINK("https://app.worldcafe.ru/object/12998","ссылка")</t>
        </is>
      </c>
      <c r="U97" t="n">
        <v>499</v>
      </c>
      <c r="V97" t="n">
        <v>21</v>
      </c>
      <c r="W97" t="n">
        <v>19</v>
      </c>
      <c r="X97" t="n">
        <v>50000000</v>
      </c>
      <c r="Y97" t="n">
        <v>13000000</v>
      </c>
      <c r="Z97" t="n">
        <v>-37000000</v>
      </c>
      <c r="AA97" t="inlineStr">
        <is>
          <t>https://knru.ru/catalog/ul-optikov-d-37-587873543/</t>
        </is>
      </c>
    </row>
    <row r="98">
      <c r="A98" t="n">
        <v>504</v>
      </c>
      <c r="B98" t="n">
        <v>21</v>
      </c>
      <c r="C98" t="n">
        <v>24</v>
      </c>
      <c r="D98" t="n">
        <v>8</v>
      </c>
      <c r="E98" t="inlineStr">
        <is>
          <t>Красногвардейский</t>
        </is>
      </c>
      <c r="F98" t="inlineStr">
        <is>
          <t>Карла Фаберже пл, 8</t>
        </is>
      </c>
      <c r="G98" t="n">
        <v>68</v>
      </c>
      <c r="H98" t="inlineStr">
        <is>
          <t>39 950 000</t>
        </is>
      </c>
      <c r="I98" t="inlineStr">
        <is>
          <t>0</t>
        </is>
      </c>
      <c r="J98" t="inlineStr">
        <is>
          <t>У нас дешевле на 39 950 000 (100.0%)</t>
        </is>
      </c>
      <c r="K98" t="inlineStr">
        <is>
          <t>-39 950 000</t>
        </is>
      </c>
      <c r="L98" t="inlineStr">
        <is>
          <t>-100.0%</t>
        </is>
      </c>
      <c r="M98" t="inlineStr">
        <is>
          <t>any_type</t>
        </is>
      </c>
      <c r="N98" t="inlineStr">
        <is>
          <t>no</t>
        </is>
      </c>
      <c r="O98" t="inlineStr">
        <is>
          <t>none</t>
        </is>
      </c>
      <c r="P98">
        <f>HYPERLINK("https://knru.ru/catalog/karla-faberzhe-pl-8/","ссылка")</f>
        <v/>
      </c>
      <c r="Q98">
        <f>HYPERLINK("https://app.worldcafe.ru/object/8826","ссылка")</f>
        <v/>
      </c>
      <c r="R98" t="inlineStr">
        <is>
          <t>По адресу есть, но площадь другая</t>
        </is>
      </c>
      <c r="S98" t="n">
        <v>1</v>
      </c>
      <c r="T98" t="inlineStr">
        <is>
          <t>Архив rent 0 м² 0 =HYPERLINK("https://app.worldcafe.ru/object/8826","ссылка")</t>
        </is>
      </c>
      <c r="U98" t="n">
        <v>504</v>
      </c>
      <c r="V98" t="n">
        <v>21</v>
      </c>
      <c r="W98" t="n">
        <v>24</v>
      </c>
      <c r="X98" t="n">
        <v>39950000</v>
      </c>
      <c r="Y98" t="n">
        <v>0</v>
      </c>
      <c r="Z98" t="n">
        <v>-39950000</v>
      </c>
      <c r="AA98" t="inlineStr">
        <is>
          <t>https://knru.ru/catalog/karla-faberzhe-pl-8/</t>
        </is>
      </c>
    </row>
    <row r="99">
      <c r="A99" t="n">
        <v>508</v>
      </c>
      <c r="B99" t="n">
        <v>22</v>
      </c>
      <c r="C99" t="n">
        <v>4</v>
      </c>
      <c r="D99" t="n">
        <v>13</v>
      </c>
      <c r="E99" t="inlineStr">
        <is>
          <t>Центральный</t>
        </is>
      </c>
      <c r="F99" t="inlineStr">
        <is>
          <t>8-я Советская ул, 9-13</t>
        </is>
      </c>
      <c r="G99" t="n">
        <v>160</v>
      </c>
      <c r="H99" t="inlineStr">
        <is>
          <t>15 000 000</t>
        </is>
      </c>
      <c r="I99" t="inlineStr">
        <is>
          <t>0</t>
        </is>
      </c>
      <c r="J99" t="inlineStr">
        <is>
          <t>У нас дешевле на 15 000 000 (100.0%)</t>
        </is>
      </c>
      <c r="K99" t="inlineStr">
        <is>
          <t>-15 000 000</t>
        </is>
      </c>
      <c r="L99" t="inlineStr">
        <is>
          <t>-100.0%</t>
        </is>
      </c>
      <c r="M99" t="inlineStr">
        <is>
          <t>sale_only</t>
        </is>
      </c>
      <c r="N99" t="inlineStr">
        <is>
          <t>no</t>
        </is>
      </c>
      <c r="O99" t="inlineStr">
        <is>
          <t>none</t>
        </is>
      </c>
      <c r="P99">
        <f>HYPERLINK("https://knru.ru/catalog/8-ya-sovetskaya-ul-9-13/","ссылка")</f>
        <v/>
      </c>
      <c r="Q99">
        <f>HYPERLINK("https://app.worldcafe.ru/object/16495","ссылка")</f>
        <v/>
      </c>
      <c r="R99" t="inlineStr">
        <is>
          <t>По адресу есть, но площадь другая</t>
        </is>
      </c>
      <c r="S99" t="n">
        <v>7</v>
      </c>
      <c r="T99" t="inlineStr">
        <is>
          <t>Без сделки no_deal 140 м² =HYPERLINK("https://app.worldcafe.ru/object/10389","ссылка") | Архив sale 132.4 м² 0 =HYPERLINK("https://app.worldcafe.ru/object/16495","ссылка") | Архив sale 115 м² 6 000 000 =HYPERLINK("https://app.worldcafe.ru/object/18638","ссылка") | Архив sale 114.7 м² 0 =HYPERLINK("https://app.worldcafe.ru/object/18419","ссылка") | Архив rent 109.4 м² 200 000 =HYPERLINK("https://app.worldcafe.ru/object/14117","ссылка") | Архив business_sale 109.4 м² 0 =HYPERLINK("https://app.worldcafe.ru/object/14117","ссылка") | Архив rent 269.5 м² 330 000 =HYPERLINK("https://app.worldcafe.ru/object/9704","ссылка")</t>
        </is>
      </c>
      <c r="U99" t="n">
        <v>508</v>
      </c>
      <c r="V99" t="n">
        <v>22</v>
      </c>
      <c r="W99" t="n">
        <v>4</v>
      </c>
      <c r="X99" t="n">
        <v>15000000</v>
      </c>
      <c r="Y99" t="n">
        <v>0</v>
      </c>
      <c r="Z99" t="n">
        <v>-15000000</v>
      </c>
      <c r="AA99" t="inlineStr">
        <is>
          <t>https://knru.ru/catalog/8-ya-sovetskaya-ul-9-13/</t>
        </is>
      </c>
    </row>
    <row r="100">
      <c r="A100" t="n">
        <v>515</v>
      </c>
      <c r="B100" t="n">
        <v>22</v>
      </c>
      <c r="C100" t="n">
        <v>11</v>
      </c>
      <c r="D100" t="inlineStr"/>
      <c r="E100" t="inlineStr">
        <is>
          <t>Центральный</t>
        </is>
      </c>
      <c r="F100" t="inlineStr">
        <is>
          <t>Херсонская ул, 8</t>
        </is>
      </c>
      <c r="G100" t="n">
        <v>2400</v>
      </c>
      <c r="H100" t="inlineStr">
        <is>
          <t>210 000 000</t>
        </is>
      </c>
      <c r="I100" t="inlineStr">
        <is>
          <t>30 000 000</t>
        </is>
      </c>
      <c r="J100" t="inlineStr">
        <is>
          <t>У нас дешевле на 180 000 000 (85.7%)</t>
        </is>
      </c>
      <c r="K100" t="inlineStr">
        <is>
          <t>-180 000 000</t>
        </is>
      </c>
      <c r="L100" t="inlineStr">
        <is>
          <t>-85.7%</t>
        </is>
      </c>
      <c r="M100" t="inlineStr">
        <is>
          <t>sale_only</t>
        </is>
      </c>
      <c r="N100" t="inlineStr">
        <is>
          <t>no</t>
        </is>
      </c>
      <c r="O100" t="inlineStr">
        <is>
          <t>none</t>
        </is>
      </c>
      <c r="P100">
        <f>HYPERLINK("https://knru.ru/catalog/khersonskaya-8-lit-d/","ссылка")</f>
        <v/>
      </c>
      <c r="Q100">
        <f>HYPERLINK("https://app.worldcafe.ru/object/18880","ссылка")</f>
        <v/>
      </c>
      <c r="R100" t="inlineStr">
        <is>
          <t>По адресу есть, но площадь другая</t>
        </is>
      </c>
      <c r="S100" t="n">
        <v>1</v>
      </c>
      <c r="T100" t="inlineStr">
        <is>
          <t>Архив sale 189 м² 30 000 000 =HYPERLINK("https://app.worldcafe.ru/object/18880","ссылка")</t>
        </is>
      </c>
      <c r="U100" t="n">
        <v>515</v>
      </c>
      <c r="V100" t="n">
        <v>22</v>
      </c>
      <c r="W100" t="n">
        <v>11</v>
      </c>
      <c r="X100" t="n">
        <v>210000000</v>
      </c>
      <c r="Y100" t="n">
        <v>30000000</v>
      </c>
      <c r="Z100" t="n">
        <v>-180000000</v>
      </c>
      <c r="AA100" t="inlineStr">
        <is>
          <t>https://knru.ru/catalog/khersonskaya-8-lit-d/</t>
        </is>
      </c>
    </row>
    <row r="101">
      <c r="A101" t="n">
        <v>520</v>
      </c>
      <c r="B101" t="n">
        <v>22</v>
      </c>
      <c r="C101" t="n">
        <v>16</v>
      </c>
      <c r="D101" t="n">
        <v>2</v>
      </c>
      <c r="E101" t="inlineStr">
        <is>
          <t>Центральный</t>
        </is>
      </c>
      <c r="F101" t="inlineStr">
        <is>
          <t>Марата ул, 2/73-75</t>
        </is>
      </c>
      <c r="G101" t="n">
        <v>363</v>
      </c>
      <c r="H101" t="inlineStr">
        <is>
          <t>335 000 000</t>
        </is>
      </c>
      <c r="I101" t="inlineStr">
        <is>
          <t>420 000 000</t>
        </is>
      </c>
      <c r="J101" t="inlineStr">
        <is>
          <t>У нас дороже на 85 000 000 (25.4%)</t>
        </is>
      </c>
      <c r="K101" t="inlineStr">
        <is>
          <t>85 000 000</t>
        </is>
      </c>
      <c r="L101" t="inlineStr">
        <is>
          <t>25.4%</t>
        </is>
      </c>
      <c r="M101" t="inlineStr">
        <is>
          <t>sale_only</t>
        </is>
      </c>
      <c r="N101" t="inlineStr">
        <is>
          <t>no</t>
        </is>
      </c>
      <c r="O101" t="inlineStr">
        <is>
          <t>none</t>
        </is>
      </c>
      <c r="P101">
        <f>HYPERLINK("https://knru.ru/catalog/ul-marata-d-2/","ссылка")</f>
        <v/>
      </c>
      <c r="Q101">
        <f>HYPERLINK("https://app.worldcafe.ru/object/9998","ссылка")</f>
        <v/>
      </c>
      <c r="R101" t="inlineStr">
        <is>
          <t>По адресу есть, но площадь другая</t>
        </is>
      </c>
      <c r="S101" t="n">
        <v>2</v>
      </c>
      <c r="T101" t="inlineStr">
        <is>
          <t>Архив rent 200 м² 250 000 =HYPERLINK("https://app.worldcafe.ru/object/10001","ссылка") | На сайте sale 530 м² 420 000 000 =HYPERLINK("https://app.worldcafe.ru/object/9998","ссылка")</t>
        </is>
      </c>
      <c r="U101" t="n">
        <v>520</v>
      </c>
      <c r="V101" t="n">
        <v>22</v>
      </c>
      <c r="W101" t="n">
        <v>16</v>
      </c>
      <c r="X101" t="n">
        <v>335000000</v>
      </c>
      <c r="Y101" t="n">
        <v>420000000</v>
      </c>
      <c r="Z101" t="n">
        <v>85000000</v>
      </c>
      <c r="AA101" t="inlineStr">
        <is>
          <t>https://knru.ru/catalog/ul-marata-d-2/</t>
        </is>
      </c>
    </row>
    <row r="102">
      <c r="A102" t="n">
        <v>539</v>
      </c>
      <c r="B102" t="n">
        <v>23</v>
      </c>
      <c r="C102" t="n">
        <v>11</v>
      </c>
      <c r="D102" t="n">
        <v>41</v>
      </c>
      <c r="E102" t="inlineStr">
        <is>
          <t>Центральный</t>
        </is>
      </c>
      <c r="F102" t="inlineStr">
        <is>
          <t>Гороховая ул, 41</t>
        </is>
      </c>
      <c r="G102" t="n">
        <v>109</v>
      </c>
      <c r="H102" t="inlineStr">
        <is>
          <t>75 000 000</t>
        </is>
      </c>
      <c r="I102" t="inlineStr">
        <is>
          <t>58 700 000</t>
        </is>
      </c>
      <c r="J102" t="inlineStr">
        <is>
          <t>У нас дешевле на 16 300 000 (21.7%)</t>
        </is>
      </c>
      <c r="K102" t="inlineStr">
        <is>
          <t>-16 300 000</t>
        </is>
      </c>
      <c r="L102" t="inlineStr">
        <is>
          <t>-21.7%</t>
        </is>
      </c>
      <c r="M102" t="inlineStr">
        <is>
          <t>sale_only</t>
        </is>
      </c>
      <c r="N102" t="inlineStr">
        <is>
          <t>no</t>
        </is>
      </c>
      <c r="O102" t="inlineStr">
        <is>
          <t>none</t>
        </is>
      </c>
      <c r="P102">
        <f>HYPERLINK("https://knru.ru/catalog/ul-sadovaya-d-33-ul-gorokhovaya-d-41/","ссылка")</f>
        <v/>
      </c>
      <c r="Q102">
        <f>HYPERLINK("https://app.worldcafe.ru/object/8221","ссылка")</f>
        <v/>
      </c>
      <c r="R102" t="inlineStr">
        <is>
          <t>По адресу есть, но площадь другая</t>
        </is>
      </c>
      <c r="S102" t="n">
        <v>3</v>
      </c>
      <c r="T102" t="inlineStr">
        <is>
          <t>Архив rent 168 м² 500 000 =HYPERLINK("https://app.worldcafe.ru/object/10527","ссылка") | Архив rent 168 м² 550 000 =HYPERLINK("https://app.worldcafe.ru/object/10539","ссылка") | Архив sale 242 м² 58 700 000 =HYPERLINK("https://app.worldcafe.ru/object/8221","ссылка")</t>
        </is>
      </c>
      <c r="U102" t="n">
        <v>539</v>
      </c>
      <c r="V102" t="n">
        <v>23</v>
      </c>
      <c r="W102" t="n">
        <v>11</v>
      </c>
      <c r="X102" t="n">
        <v>75000000</v>
      </c>
      <c r="Y102" t="n">
        <v>58700000</v>
      </c>
      <c r="Z102" t="n">
        <v>-16300000</v>
      </c>
      <c r="AA102" t="inlineStr">
        <is>
          <t>https://knru.ru/catalog/ul-sadovaya-d-33-ul-gorokhovaya-d-41/</t>
        </is>
      </c>
    </row>
    <row r="103">
      <c r="A103" t="n">
        <v>542</v>
      </c>
      <c r="B103" t="n">
        <v>23</v>
      </c>
      <c r="C103" t="n">
        <v>14</v>
      </c>
      <c r="D103" t="n">
        <v>258</v>
      </c>
      <c r="E103" t="inlineStr">
        <is>
          <t>Пушкинский</t>
        </is>
      </c>
      <c r="F103" t="inlineStr">
        <is>
          <t>Московское ш, 258</t>
        </is>
      </c>
      <c r="G103" t="n">
        <v>94</v>
      </c>
      <c r="H103" t="inlineStr">
        <is>
          <t>19 000 000</t>
        </is>
      </c>
      <c r="I103" t="inlineStr">
        <is>
          <t>9 800 000</t>
        </is>
      </c>
      <c r="J103" t="inlineStr">
        <is>
          <t>У нас дешевле на 9 200 000 (48.4%)</t>
        </is>
      </c>
      <c r="K103" t="inlineStr">
        <is>
          <t>-9 200 000</t>
        </is>
      </c>
      <c r="L103" t="inlineStr">
        <is>
          <t>-48.4%</t>
        </is>
      </c>
      <c r="M103" t="inlineStr">
        <is>
          <t>sale_only</t>
        </is>
      </c>
      <c r="N103" t="inlineStr">
        <is>
          <t>no</t>
        </is>
      </c>
      <c r="O103" t="inlineStr">
        <is>
          <t>none</t>
        </is>
      </c>
      <c r="P103">
        <f>HYPERLINK("https://knru.ru/catalog/shushary-moskovskoe-d-258/","ссылка")</f>
        <v/>
      </c>
      <c r="Q103">
        <f>HYPERLINK("https://app.worldcafe.ru/object/18949","ссылка")</f>
        <v/>
      </c>
      <c r="R103" t="inlineStr">
        <is>
          <t>По адресу есть, но площадь другая</t>
        </is>
      </c>
      <c r="S103" t="n">
        <v>1</v>
      </c>
      <c r="T103" t="inlineStr">
        <is>
          <t>Архив sale 104 м² 9 800 000 =HYPERLINK("https://app.worldcafe.ru/object/18949","ссылка")</t>
        </is>
      </c>
      <c r="U103" t="n">
        <v>542</v>
      </c>
      <c r="V103" t="n">
        <v>23</v>
      </c>
      <c r="W103" t="n">
        <v>14</v>
      </c>
      <c r="X103" t="n">
        <v>19000000</v>
      </c>
      <c r="Y103" t="n">
        <v>9800000</v>
      </c>
      <c r="Z103" t="n">
        <v>-9200000</v>
      </c>
      <c r="AA103" t="inlineStr">
        <is>
          <t>https://knru.ru/catalog/shushary-moskovskoe-d-258/</t>
        </is>
      </c>
    </row>
    <row r="104">
      <c r="A104" t="n">
        <v>546</v>
      </c>
      <c r="B104" t="n">
        <v>23</v>
      </c>
      <c r="C104" t="n">
        <v>18</v>
      </c>
      <c r="D104" t="n">
        <v>127</v>
      </c>
      <c r="E104" t="inlineStr"/>
      <c r="F104" t="inlineStr">
        <is>
          <t>Савушкина ул, 127</t>
        </is>
      </c>
      <c r="G104" t="n">
        <v>52</v>
      </c>
      <c r="H104" t="inlineStr">
        <is>
          <t>15 910 000</t>
        </is>
      </c>
      <c r="I104" t="inlineStr">
        <is>
          <t>358 000</t>
        </is>
      </c>
      <c r="J104" t="inlineStr">
        <is>
          <t>У нас дешевле на 15 552 000 (97.7%)</t>
        </is>
      </c>
      <c r="K104" t="inlineStr">
        <is>
          <t>-15 552 000</t>
        </is>
      </c>
      <c r="L104" t="inlineStr">
        <is>
          <t>-97.7%</t>
        </is>
      </c>
      <c r="M104" t="inlineStr">
        <is>
          <t>any_type</t>
        </is>
      </c>
      <c r="N104" t="inlineStr">
        <is>
          <t>no</t>
        </is>
      </c>
      <c r="O104" t="inlineStr">
        <is>
          <t>none</t>
        </is>
      </c>
      <c r="P104">
        <f>HYPERLINK("https://knru.ru/catalog/ul-savushkina-d-127/","ссылка")</f>
        <v/>
      </c>
      <c r="Q104">
        <f>HYPERLINK("https://app.worldcafe.ru/object/15310","ссылка")</f>
        <v/>
      </c>
      <c r="R104" t="inlineStr">
        <is>
          <t>По адресу есть, но площадь другая</t>
        </is>
      </c>
      <c r="S104" t="n">
        <v>2</v>
      </c>
      <c r="T104" t="inlineStr">
        <is>
          <t>Архив rent 179 м² 358 000 =HYPERLINK("https://app.worldcafe.ru/object/15310","ссылка") | Архив rent 186 м² 372 000 =HYPERLINK("https://app.worldcafe.ru/object/16072","ссылка")</t>
        </is>
      </c>
      <c r="U104" t="n">
        <v>546</v>
      </c>
      <c r="V104" t="n">
        <v>23</v>
      </c>
      <c r="W104" t="n">
        <v>18</v>
      </c>
      <c r="X104" t="n">
        <v>15910000</v>
      </c>
      <c r="Y104" t="n">
        <v>358000</v>
      </c>
      <c r="Z104" t="n">
        <v>-15552000</v>
      </c>
      <c r="AA104" t="inlineStr">
        <is>
          <t>https://knru.ru/catalog/ul-savushkina-d-127/</t>
        </is>
      </c>
    </row>
    <row r="105">
      <c r="A105" t="n">
        <v>547</v>
      </c>
      <c r="B105" t="n">
        <v>23</v>
      </c>
      <c r="C105" t="n">
        <v>19</v>
      </c>
      <c r="D105" t="n">
        <v>137</v>
      </c>
      <c r="E105" t="inlineStr">
        <is>
          <t>Центральный</t>
        </is>
      </c>
      <c r="F105" t="inlineStr">
        <is>
          <t>Невский пр-кт, 137</t>
        </is>
      </c>
      <c r="G105" t="n">
        <v>519</v>
      </c>
      <c r="H105" t="inlineStr">
        <is>
          <t>540 000 000</t>
        </is>
      </c>
      <c r="I105" t="inlineStr">
        <is>
          <t>80 000 000</t>
        </is>
      </c>
      <c r="J105" t="inlineStr">
        <is>
          <t>У нас дешевле на 460 000 000 (85.2%)</t>
        </is>
      </c>
      <c r="K105" t="inlineStr">
        <is>
          <t>-460 000 000</t>
        </is>
      </c>
      <c r="L105" t="inlineStr">
        <is>
          <t>-85.2%</t>
        </is>
      </c>
      <c r="M105" t="inlineStr">
        <is>
          <t>sale_only</t>
        </is>
      </c>
      <c r="N105" t="inlineStr">
        <is>
          <t>no</t>
        </is>
      </c>
      <c r="O105" t="inlineStr">
        <is>
          <t>none</t>
        </is>
      </c>
      <c r="P105">
        <f>HYPERLINK("https://knru.ru/catalog/nevskiy-pr-d-137/","ссылка")</f>
        <v/>
      </c>
      <c r="Q105">
        <f>HYPERLINK("https://app.worldcafe.ru/object/19868","ссылка")</f>
        <v/>
      </c>
      <c r="R105" t="inlineStr">
        <is>
          <t>По адресу есть, но площадь другая</t>
        </is>
      </c>
      <c r="S105" t="n">
        <v>1</v>
      </c>
      <c r="T105" t="inlineStr">
        <is>
          <t>На сайте sale 92.8 м² 80 000 000 =HYPERLINK("https://app.worldcafe.ru/object/19868","ссылка")</t>
        </is>
      </c>
      <c r="U105" t="n">
        <v>547</v>
      </c>
      <c r="V105" t="n">
        <v>23</v>
      </c>
      <c r="W105" t="n">
        <v>19</v>
      </c>
      <c r="X105" t="n">
        <v>540000000</v>
      </c>
      <c r="Y105" t="n">
        <v>80000000</v>
      </c>
      <c r="Z105" t="n">
        <v>-460000000</v>
      </c>
      <c r="AA105" t="inlineStr">
        <is>
          <t>https://knru.ru/catalog/nevskiy-pr-d-137/</t>
        </is>
      </c>
    </row>
    <row r="106">
      <c r="A106" t="n">
        <v>548</v>
      </c>
      <c r="B106" t="n">
        <v>23</v>
      </c>
      <c r="C106" t="n">
        <v>20</v>
      </c>
      <c r="D106" t="n">
        <v>63</v>
      </c>
      <c r="E106" t="inlineStr">
        <is>
          <t>Московский</t>
        </is>
      </c>
      <c r="F106" t="inlineStr">
        <is>
          <t>Московский пр-кт, 63 А</t>
        </is>
      </c>
      <c r="G106" t="n">
        <v>387</v>
      </c>
      <c r="H106" t="inlineStr">
        <is>
          <t>95 000 000</t>
        </is>
      </c>
      <c r="I106" t="inlineStr">
        <is>
          <t>430 000</t>
        </is>
      </c>
      <c r="J106" t="inlineStr">
        <is>
          <t>У нас дешевле на 94 570 000 (99.5%)</t>
        </is>
      </c>
      <c r="K106" t="inlineStr">
        <is>
          <t>-94 570 000</t>
        </is>
      </c>
      <c r="L106" t="inlineStr">
        <is>
          <t>-99.5%</t>
        </is>
      </c>
      <c r="M106" t="inlineStr">
        <is>
          <t>any_type</t>
        </is>
      </c>
      <c r="N106" t="inlineStr">
        <is>
          <t>no</t>
        </is>
      </c>
      <c r="O106" t="inlineStr">
        <is>
          <t>none</t>
        </is>
      </c>
      <c r="P106">
        <f>HYPERLINK("https://knru.ru/catalog/moskovskiy-d-63/","ссылка")</f>
        <v/>
      </c>
      <c r="Q106">
        <f>HYPERLINK("https://app.worldcafe.ru/object/13208","ссылка")</f>
        <v/>
      </c>
      <c r="R106" t="inlineStr">
        <is>
          <t>По адресу есть, но площадь другая</t>
        </is>
      </c>
      <c r="S106" t="n">
        <v>1</v>
      </c>
      <c r="T106" t="inlineStr">
        <is>
          <t>Архив business_sale 52 м² 430 000 =HYPERLINK("https://app.worldcafe.ru/object/13208","ссылка")</t>
        </is>
      </c>
      <c r="U106" t="n">
        <v>548</v>
      </c>
      <c r="V106" t="n">
        <v>23</v>
      </c>
      <c r="W106" t="n">
        <v>20</v>
      </c>
      <c r="X106" t="n">
        <v>95000000</v>
      </c>
      <c r="Y106" t="n">
        <v>430000</v>
      </c>
      <c r="Z106" t="n">
        <v>-94570000</v>
      </c>
      <c r="AA106" t="inlineStr">
        <is>
          <t>https://knru.ru/catalog/moskovskiy-d-63/</t>
        </is>
      </c>
    </row>
    <row r="107">
      <c r="A107" t="n">
        <v>552</v>
      </c>
      <c r="B107" t="n">
        <v>23</v>
      </c>
      <c r="C107" t="n">
        <v>24</v>
      </c>
      <c r="D107" t="n">
        <v>85</v>
      </c>
      <c r="E107" t="inlineStr">
        <is>
          <t>Калининский</t>
        </is>
      </c>
      <c r="F107" t="inlineStr">
        <is>
          <t>Светлановский пр-кт, 85</t>
        </is>
      </c>
      <c r="G107" t="n">
        <v>326</v>
      </c>
      <c r="H107" t="inlineStr">
        <is>
          <t>81 000 000</t>
        </is>
      </c>
      <c r="I107" t="inlineStr">
        <is>
          <t>40 988 800</t>
        </is>
      </c>
      <c r="J107" t="inlineStr">
        <is>
          <t>У нас дешевле на 40 011 200 (49.4%)</t>
        </is>
      </c>
      <c r="K107" t="inlineStr">
        <is>
          <t>-40 011 200</t>
        </is>
      </c>
      <c r="L107" t="inlineStr">
        <is>
          <t>-49.4%</t>
        </is>
      </c>
      <c r="M107" t="inlineStr">
        <is>
          <t>sale_only</t>
        </is>
      </c>
      <c r="N107" t="inlineStr">
        <is>
          <t>no</t>
        </is>
      </c>
      <c r="O107" t="inlineStr">
        <is>
          <t>none</t>
        </is>
      </c>
      <c r="P107">
        <f>HYPERLINK("https://knru.ru/catalog/svetlanovskiy-pr-d-85/","ссылка")</f>
        <v/>
      </c>
      <c r="Q107">
        <f>HYPERLINK("https://app.worldcafe.ru/object/15547","ссылка")</f>
        <v/>
      </c>
      <c r="R107" t="inlineStr">
        <is>
          <t>По адресу есть, но площадь другая</t>
        </is>
      </c>
      <c r="S107" t="n">
        <v>1</v>
      </c>
      <c r="T107" t="inlineStr">
        <is>
          <t>На сайте sale 128.1 м² 40 988 800 =HYPERLINK("https://app.worldcafe.ru/object/15547","ссылка")</t>
        </is>
      </c>
      <c r="U107" t="n">
        <v>552</v>
      </c>
      <c r="V107" t="n">
        <v>23</v>
      </c>
      <c r="W107" t="n">
        <v>24</v>
      </c>
      <c r="X107" t="n">
        <v>81000000</v>
      </c>
      <c r="Y107" t="n">
        <v>40988800</v>
      </c>
      <c r="Z107" t="n">
        <v>-40011200</v>
      </c>
      <c r="AA107" t="inlineStr">
        <is>
          <t>https://knru.ru/catalog/svetlanovskiy-pr-d-85/</t>
        </is>
      </c>
    </row>
    <row r="108">
      <c r="A108" t="n">
        <v>554</v>
      </c>
      <c r="B108" t="n">
        <v>24</v>
      </c>
      <c r="C108" t="n">
        <v>2</v>
      </c>
      <c r="D108" t="n">
        <v>5</v>
      </c>
      <c r="E108" t="inlineStr">
        <is>
          <t>Выборгский</t>
        </is>
      </c>
      <c r="F108" t="inlineStr">
        <is>
          <t>Валерия Гаврилина ул, 5</t>
        </is>
      </c>
      <c r="G108" t="n">
        <v>78</v>
      </c>
      <c r="H108" t="inlineStr">
        <is>
          <t>19 000 000</t>
        </is>
      </c>
      <c r="I108" t="inlineStr"/>
      <c r="J108" t="inlineStr"/>
      <c r="K108" t="inlineStr"/>
      <c r="L108" t="inlineStr"/>
      <c r="M108" t="inlineStr"/>
      <c r="N108" t="inlineStr">
        <is>
          <t>no</t>
        </is>
      </c>
      <c r="O108" t="inlineStr">
        <is>
          <t>none</t>
        </is>
      </c>
      <c r="P108">
        <f>HYPERLINK("https://knru.ru/catalog/valeriya-gavrilina-ul-5/","ссылка")</f>
        <v/>
      </c>
      <c r="Q108" t="inlineStr"/>
      <c r="R108" t="inlineStr">
        <is>
          <t>По адресу есть, но площадь другая</t>
        </is>
      </c>
      <c r="S108" t="n">
        <v>1</v>
      </c>
      <c r="T108" t="inlineStr">
        <is>
          <t>Без сделки no_deal 30.2 м² =HYPERLINK("https://app.worldcafe.ru/object/16602","ссылка")</t>
        </is>
      </c>
      <c r="U108" t="n">
        <v>554</v>
      </c>
      <c r="V108" t="n">
        <v>24</v>
      </c>
      <c r="W108" t="n">
        <v>2</v>
      </c>
      <c r="X108" t="n">
        <v>19000000</v>
      </c>
      <c r="Y108" t="inlineStr"/>
      <c r="Z108" t="inlineStr"/>
      <c r="AA108" t="inlineStr">
        <is>
          <t>https://knru.ru/catalog/valeriya-gavrilina-ul-5/</t>
        </is>
      </c>
    </row>
    <row r="109">
      <c r="A109" t="n">
        <v>557</v>
      </c>
      <c r="B109" t="n">
        <v>24</v>
      </c>
      <c r="C109" t="n">
        <v>5</v>
      </c>
      <c r="D109" t="n">
        <v>5</v>
      </c>
      <c r="E109" t="inlineStr">
        <is>
          <t>Западный мкр</t>
        </is>
      </c>
      <c r="F109" t="inlineStr">
        <is>
          <t>Авиаторов Балтики пр-кт, 5</t>
        </is>
      </c>
      <c r="G109" t="n">
        <v>265</v>
      </c>
      <c r="H109" t="inlineStr">
        <is>
          <t>15 000 000</t>
        </is>
      </c>
      <c r="I109" t="inlineStr">
        <is>
          <t>630 000</t>
        </is>
      </c>
      <c r="J109" t="inlineStr">
        <is>
          <t>У нас дешевле на 14 370 000 (95.8%)</t>
        </is>
      </c>
      <c r="K109" t="inlineStr">
        <is>
          <t>-14 370 000</t>
        </is>
      </c>
      <c r="L109" t="inlineStr">
        <is>
          <t>-95.8%</t>
        </is>
      </c>
      <c r="M109" t="inlineStr">
        <is>
          <t>any_type</t>
        </is>
      </c>
      <c r="N109" t="inlineStr">
        <is>
          <t>no</t>
        </is>
      </c>
      <c r="O109" t="inlineStr">
        <is>
          <t>none</t>
        </is>
      </c>
      <c r="P109">
        <f>HYPERLINK("https://knru.ru/catalog/murino-pr-aviatorov-baltiki-d-5/","ссылка")</f>
        <v/>
      </c>
      <c r="Q109">
        <f>HYPERLINK("https://app.worldcafe.ru/object/8972","ссылка")</f>
        <v/>
      </c>
      <c r="R109" t="inlineStr">
        <is>
          <t>По адресу есть, но площадь другая</t>
        </is>
      </c>
      <c r="S109" t="n">
        <v>1</v>
      </c>
      <c r="T109" t="inlineStr">
        <is>
          <t>Архив rent 700 м² 630 000 =HYPERLINK("https://app.worldcafe.ru/object/8972","ссылка")</t>
        </is>
      </c>
      <c r="U109" t="n">
        <v>557</v>
      </c>
      <c r="V109" t="n">
        <v>24</v>
      </c>
      <c r="W109" t="n">
        <v>5</v>
      </c>
      <c r="X109" t="n">
        <v>15000000</v>
      </c>
      <c r="Y109" t="n">
        <v>630000</v>
      </c>
      <c r="Z109" t="n">
        <v>-14370000</v>
      </c>
      <c r="AA109" t="inlineStr">
        <is>
          <t>https://knru.ru/catalog/murino-pr-aviatorov-baltiki-d-5/</t>
        </is>
      </c>
    </row>
    <row r="110">
      <c r="A110" t="n">
        <v>559</v>
      </c>
      <c r="B110" t="n">
        <v>24</v>
      </c>
      <c r="C110" t="n">
        <v>7</v>
      </c>
      <c r="D110" t="n">
        <v>83</v>
      </c>
      <c r="E110" t="inlineStr">
        <is>
          <t>Петроградский</t>
        </is>
      </c>
      <c r="F110" t="inlineStr">
        <is>
          <t>Малый П.С. пр-кт, 79-81-83</t>
        </is>
      </c>
      <c r="G110" t="n">
        <v>91.59999999999999</v>
      </c>
      <c r="H110" t="inlineStr">
        <is>
          <t>52 000 000</t>
        </is>
      </c>
      <c r="I110" t="inlineStr"/>
      <c r="J110" t="inlineStr"/>
      <c r="K110" t="inlineStr"/>
      <c r="L110" t="inlineStr"/>
      <c r="M110" t="inlineStr"/>
      <c r="N110" t="inlineStr">
        <is>
          <t>no</t>
        </is>
      </c>
      <c r="O110" t="inlineStr">
        <is>
          <t>none</t>
        </is>
      </c>
      <c r="P110">
        <f>HYPERLINK("https://knru.ru/catalog/malyy-pr-79-81-83/","ссылка")</f>
        <v/>
      </c>
      <c r="Q110" t="inlineStr"/>
      <c r="R110" t="inlineStr">
        <is>
          <t>По адресу есть, но площадь другая</t>
        </is>
      </c>
      <c r="S110" t="n">
        <v>1</v>
      </c>
      <c r="T110" t="inlineStr">
        <is>
          <t>Без сделки no_deal 240.5 м² =HYPERLINK("https://app.worldcafe.ru/object/18344","ссылка")</t>
        </is>
      </c>
      <c r="U110" t="n">
        <v>559</v>
      </c>
      <c r="V110" t="n">
        <v>24</v>
      </c>
      <c r="W110" t="n">
        <v>7</v>
      </c>
      <c r="X110" t="n">
        <v>52000000</v>
      </c>
      <c r="Y110" t="inlineStr"/>
      <c r="Z110" t="inlineStr"/>
      <c r="AA110" t="inlineStr">
        <is>
          <t>https://knru.ru/catalog/malyy-pr-79-81-83/</t>
        </is>
      </c>
    </row>
    <row r="111">
      <c r="A111" t="n">
        <v>564</v>
      </c>
      <c r="B111" t="n">
        <v>24</v>
      </c>
      <c r="C111" t="n">
        <v>12</v>
      </c>
      <c r="D111" t="n">
        <v>44</v>
      </c>
      <c r="E111" t="inlineStr">
        <is>
          <t>Василеостровский</t>
        </is>
      </c>
      <c r="F111" t="inlineStr">
        <is>
          <t>Наличная, 44</t>
        </is>
      </c>
      <c r="G111" t="n">
        <v>1052</v>
      </c>
      <c r="H111" t="inlineStr">
        <is>
          <t>185 000 000</t>
        </is>
      </c>
      <c r="I111" t="inlineStr">
        <is>
          <t>77 000 000</t>
        </is>
      </c>
      <c r="J111" t="inlineStr">
        <is>
          <t>У нас дешевле на 108 000 000 (58.4%)</t>
        </is>
      </c>
      <c r="K111" t="inlineStr">
        <is>
          <t>-108 000 000</t>
        </is>
      </c>
      <c r="L111" t="inlineStr">
        <is>
          <t>-58.4%</t>
        </is>
      </c>
      <c r="M111" t="inlineStr">
        <is>
          <t>sale_only</t>
        </is>
      </c>
      <c r="N111" t="inlineStr">
        <is>
          <t>no</t>
        </is>
      </c>
      <c r="O111" t="inlineStr">
        <is>
          <t>none</t>
        </is>
      </c>
      <c r="P111">
        <f>HYPERLINK("https://knru.ru/catalog/nalichnaya-ul-d-44/","ссылка")</f>
        <v/>
      </c>
      <c r="Q111">
        <f>HYPERLINK("https://app.worldcafe.ru/object/20226","ссылка")</f>
        <v/>
      </c>
      <c r="R111" t="inlineStr">
        <is>
          <t>По адресу есть, но площадь другая</t>
        </is>
      </c>
      <c r="S111" t="n">
        <v>6</v>
      </c>
      <c r="T111" t="inlineStr">
        <is>
          <t>Архив sale 1060.9 м² 171 000 000 =HYPERLINK("https://app.worldcafe.ru/object/13793","ссылка") | Архив rent 1500 м² 2 000 000 =HYPERLINK("https://app.worldcafe.ru/object/12002","ссылка") | На сайте sale 290 м² 77 000 000 =HYPERLINK("https://app.worldcafe.ru/object/20226","ссылка") | Архив rent 271.5 м² 720 000 =HYPERLINK("https://app.worldcafe.ru/object/12000","ссылка") | Архив sale 271.5 м² 100 000 000 =HYPERLINK("https://app.worldcafe.ru/object/12000","ссылка") | Архив rent 25 м² 30 000 =HYPERLINK("https://app.worldcafe.ru/object/14551","ссылка")</t>
        </is>
      </c>
      <c r="U111" t="n">
        <v>564</v>
      </c>
      <c r="V111" t="n">
        <v>24</v>
      </c>
      <c r="W111" t="n">
        <v>12</v>
      </c>
      <c r="X111" t="n">
        <v>185000000</v>
      </c>
      <c r="Y111" t="n">
        <v>77000000</v>
      </c>
      <c r="Z111" t="n">
        <v>-108000000</v>
      </c>
      <c r="AA111" t="inlineStr">
        <is>
          <t>https://knru.ru/catalog/nalichnaya-ul-d-44/</t>
        </is>
      </c>
    </row>
    <row r="112">
      <c r="A112" t="n">
        <v>570</v>
      </c>
      <c r="B112" t="n">
        <v>24</v>
      </c>
      <c r="C112" t="n">
        <v>18</v>
      </c>
      <c r="D112" t="n">
        <v>68</v>
      </c>
      <c r="E112" t="inlineStr">
        <is>
          <t>Приморский</t>
        </is>
      </c>
      <c r="F112" t="inlineStr">
        <is>
          <t>Школьная ул, 68</t>
        </is>
      </c>
      <c r="G112" t="n">
        <v>200</v>
      </c>
      <c r="H112" t="inlineStr">
        <is>
          <t>49 900 000</t>
        </is>
      </c>
      <c r="I112" t="inlineStr">
        <is>
          <t>47 500 000</t>
        </is>
      </c>
      <c r="J112" t="inlineStr">
        <is>
          <t>У нас дешевле на 2 400 000 (4.8%)</t>
        </is>
      </c>
      <c r="K112" t="inlineStr">
        <is>
          <t>-2 400 000</t>
        </is>
      </c>
      <c r="L112" t="inlineStr">
        <is>
          <t>-4.8%</t>
        </is>
      </c>
      <c r="M112" t="inlineStr">
        <is>
          <t>sale_only</t>
        </is>
      </c>
      <c r="N112" t="inlineStr">
        <is>
          <t>no</t>
        </is>
      </c>
      <c r="O112" t="inlineStr">
        <is>
          <t>none</t>
        </is>
      </c>
      <c r="P112">
        <f>HYPERLINK("https://knru.ru/catalog/shkolnaya-ul-68/","ссылка")</f>
        <v/>
      </c>
      <c r="Q112">
        <f>HYPERLINK("https://app.worldcafe.ru/object/15803","ссылка")</f>
        <v/>
      </c>
      <c r="R112" t="inlineStr">
        <is>
          <t>По адресу есть, но площадь другая</t>
        </is>
      </c>
      <c r="S112" t="n">
        <v>5</v>
      </c>
      <c r="T112" t="inlineStr">
        <is>
          <t>На сайте sale 194.1 м² 47 500 000 =HYPERLINK("https://app.worldcafe.ru/object/15803","ссылка") | Без сделки no_deal 188.4 м² =HYPERLINK("https://app.worldcafe.ru/object/15801","ссылка") | Без сделки no_deal 187.9 м² =HYPERLINK("https://app.worldcafe.ru/object/15800","ссылка") | Без сделки no_deal 98.3 м² =HYPERLINK("https://app.worldcafe.ru/object/15802","ссылка") | Без сделки no_deal 72.9 м² =HYPERLINK("https://app.worldcafe.ru/object/15799","ссылка")</t>
        </is>
      </c>
      <c r="U112" t="n">
        <v>570</v>
      </c>
      <c r="V112" t="n">
        <v>24</v>
      </c>
      <c r="W112" t="n">
        <v>18</v>
      </c>
      <c r="X112" t="n">
        <v>49900000</v>
      </c>
      <c r="Y112" t="n">
        <v>47500000</v>
      </c>
      <c r="Z112" t="n">
        <v>-2400000</v>
      </c>
      <c r="AA112" t="inlineStr">
        <is>
          <t>https://knru.ru/catalog/shkolnaya-ul-68/</t>
        </is>
      </c>
    </row>
    <row r="113">
      <c r="A113" t="n">
        <v>572</v>
      </c>
      <c r="B113" t="n">
        <v>24</v>
      </c>
      <c r="C113" t="n">
        <v>20</v>
      </c>
      <c r="D113" t="n">
        <v>50</v>
      </c>
      <c r="E113" t="inlineStr">
        <is>
          <t>Адмиралтейский</t>
        </is>
      </c>
      <c r="F113" t="inlineStr">
        <is>
          <t>Лермонтовский пр-кт, 50</t>
        </is>
      </c>
      <c r="G113" t="n">
        <v>761</v>
      </c>
      <c r="H113" t="inlineStr">
        <is>
          <t>217 000 000</t>
        </is>
      </c>
      <c r="I113" t="inlineStr">
        <is>
          <t>1</t>
        </is>
      </c>
      <c r="J113" t="inlineStr">
        <is>
          <t>У нас дешевле на 216 999 999 (100.0%)</t>
        </is>
      </c>
      <c r="K113" t="inlineStr">
        <is>
          <t>-216 999 999</t>
        </is>
      </c>
      <c r="L113" t="inlineStr">
        <is>
          <t>-100.0%</t>
        </is>
      </c>
      <c r="M113" t="inlineStr">
        <is>
          <t>sale_only</t>
        </is>
      </c>
      <c r="N113" t="inlineStr">
        <is>
          <t>no</t>
        </is>
      </c>
      <c r="O113" t="inlineStr">
        <is>
          <t>none</t>
        </is>
      </c>
      <c r="P113">
        <f>HYPERLINK("https://knru.ru/catalog/lermontovskiy-pr-kt-50/","ссылка")</f>
        <v/>
      </c>
      <c r="Q113">
        <f>HYPERLINK("https://app.worldcafe.ru/object/13568","ссылка")</f>
        <v/>
      </c>
      <c r="R113" t="inlineStr">
        <is>
          <t>По адресу есть, но площадь другая</t>
        </is>
      </c>
      <c r="S113" t="n">
        <v>1</v>
      </c>
      <c r="T113" t="inlineStr">
        <is>
          <t>Архив sale 105 м² 1 =HYPERLINK("https://app.worldcafe.ru/object/13568","ссылка")</t>
        </is>
      </c>
      <c r="U113" t="n">
        <v>572</v>
      </c>
      <c r="V113" t="n">
        <v>24</v>
      </c>
      <c r="W113" t="n">
        <v>20</v>
      </c>
      <c r="X113" t="n">
        <v>217000000</v>
      </c>
      <c r="Y113" t="n">
        <v>1</v>
      </c>
      <c r="Z113" t="n">
        <v>-216999999</v>
      </c>
      <c r="AA113" t="inlineStr">
        <is>
          <t>https://knru.ru/catalog/lermontovskiy-pr-kt-50/</t>
        </is>
      </c>
    </row>
    <row r="114">
      <c r="A114" t="n">
        <v>579</v>
      </c>
      <c r="B114" t="n">
        <v>25</v>
      </c>
      <c r="C114" t="n">
        <v>3</v>
      </c>
      <c r="D114" t="n">
        <v>875604145</v>
      </c>
      <c r="E114" t="inlineStr">
        <is>
          <t>Фрунзенский</t>
        </is>
      </c>
      <c r="F114" t="inlineStr">
        <is>
          <t>Ярослава Гашека ул, 5</t>
        </is>
      </c>
      <c r="G114" t="n">
        <v>677</v>
      </c>
      <c r="H114" t="inlineStr">
        <is>
          <t>99 500 000</t>
        </is>
      </c>
      <c r="I114" t="inlineStr">
        <is>
          <t>0</t>
        </is>
      </c>
      <c r="J114" t="inlineStr">
        <is>
          <t>У нас дешевле на 99 500 000 (100.0%)</t>
        </is>
      </c>
      <c r="K114" t="inlineStr">
        <is>
          <t>-99 500 000</t>
        </is>
      </c>
      <c r="L114" t="inlineStr">
        <is>
          <t>-100.0%</t>
        </is>
      </c>
      <c r="M114" t="inlineStr">
        <is>
          <t>any_type</t>
        </is>
      </c>
      <c r="N114" t="inlineStr">
        <is>
          <t>no</t>
        </is>
      </c>
      <c r="O114" t="inlineStr">
        <is>
          <t>none</t>
        </is>
      </c>
      <c r="P114">
        <f>HYPERLINK("https://knru.ru/catalog/ul-yaroslava-gasheka-d-5-875604145/","ссылка")</f>
        <v/>
      </c>
      <c r="Q114">
        <f>HYPERLINK("https://app.worldcafe.ru/object/10711","ссылка")</f>
        <v/>
      </c>
      <c r="R114" t="inlineStr">
        <is>
          <t>По адресу есть, но площадь другая</t>
        </is>
      </c>
      <c r="S114" t="n">
        <v>4</v>
      </c>
      <c r="T114" t="inlineStr">
        <is>
          <t>Архив rent 230 м² 290 000 =HYPERLINK("https://app.worldcafe.ru/object/8714","ссылка") | Архив rent 216.6 м² 850 000 =HYPERLINK("https://app.worldcafe.ru/object/18938","ссылка") | rent 190 м² 0 =HYPERLINK("https://app.worldcafe.ru/object/10711","ссылка") | Архив rent 185 м² 665 000 =HYPERLINK("https://app.worldcafe.ru/object/10714","ссылка")</t>
        </is>
      </c>
      <c r="U114" t="n">
        <v>579</v>
      </c>
      <c r="V114" t="n">
        <v>25</v>
      </c>
      <c r="W114" t="n">
        <v>3</v>
      </c>
      <c r="X114" t="n">
        <v>99500000</v>
      </c>
      <c r="Y114" t="n">
        <v>0</v>
      </c>
      <c r="Z114" t="n">
        <v>-99500000</v>
      </c>
      <c r="AA114" t="inlineStr">
        <is>
          <t>https://knru.ru/catalog/ul-yaroslava-gasheka-d-5-875604145/</t>
        </is>
      </c>
    </row>
    <row r="115">
      <c r="A115" t="n">
        <v>585</v>
      </c>
      <c r="B115" t="n">
        <v>25</v>
      </c>
      <c r="C115" t="n">
        <v>9</v>
      </c>
      <c r="D115" t="n">
        <v>1030192373</v>
      </c>
      <c r="E115" t="inlineStr">
        <is>
          <t>Невский</t>
        </is>
      </c>
      <c r="F115" t="inlineStr">
        <is>
          <t>Прибрежная ул, 4</t>
        </is>
      </c>
      <c r="G115" t="n">
        <v>74</v>
      </c>
      <c r="H115" t="inlineStr">
        <is>
          <t>25 000 000</t>
        </is>
      </c>
      <c r="I115" t="inlineStr">
        <is>
          <t>18 000 000</t>
        </is>
      </c>
      <c r="J115" t="inlineStr">
        <is>
          <t>У нас дешевле на 7 000 000 (28.0%)</t>
        </is>
      </c>
      <c r="K115" t="inlineStr">
        <is>
          <t>-7 000 000</t>
        </is>
      </c>
      <c r="L115" t="inlineStr">
        <is>
          <t>-28.0%</t>
        </is>
      </c>
      <c r="M115" t="inlineStr">
        <is>
          <t>sale_only</t>
        </is>
      </c>
      <c r="N115" t="inlineStr">
        <is>
          <t>no</t>
        </is>
      </c>
      <c r="O115" t="inlineStr">
        <is>
          <t>none</t>
        </is>
      </c>
      <c r="P115">
        <f>HYPERLINK("https://knru.ru/catalog/pribrezhnaya-ul-d-4-1030192373/","ссылка")</f>
        <v/>
      </c>
      <c r="Q115">
        <f>HYPERLINK("https://app.worldcafe.ru/object/18610","ссылка")</f>
        <v/>
      </c>
      <c r="R115" t="inlineStr">
        <is>
          <t>По адресу есть, но площадь другая</t>
        </is>
      </c>
      <c r="S115" t="n">
        <v>1</v>
      </c>
      <c r="T115" t="inlineStr">
        <is>
          <t>На сайте sale 60 м² 18 000 000 =HYPERLINK("https://app.worldcafe.ru/object/18610","ссылка")</t>
        </is>
      </c>
      <c r="U115" t="n">
        <v>585</v>
      </c>
      <c r="V115" t="n">
        <v>25</v>
      </c>
      <c r="W115" t="n">
        <v>9</v>
      </c>
      <c r="X115" t="n">
        <v>25000000</v>
      </c>
      <c r="Y115" t="n">
        <v>18000000</v>
      </c>
      <c r="Z115" t="n">
        <v>-7000000</v>
      </c>
      <c r="AA115" t="inlineStr">
        <is>
          <t>https://knru.ru/catalog/pribrezhnaya-ul-d-4-1030192373/</t>
        </is>
      </c>
    </row>
    <row r="116">
      <c r="A116" t="n">
        <v>590</v>
      </c>
      <c r="B116" t="n">
        <v>25</v>
      </c>
      <c r="C116" t="n">
        <v>14</v>
      </c>
      <c r="D116" t="n">
        <v>26</v>
      </c>
      <c r="E116" t="inlineStr">
        <is>
          <t>Адмиралтейский</t>
        </is>
      </c>
      <c r="F116" t="inlineStr">
        <is>
          <t>Английский пр-кт, 26</t>
        </is>
      </c>
      <c r="G116" t="n">
        <v>80</v>
      </c>
      <c r="H116" t="inlineStr">
        <is>
          <t>14 000 000</t>
        </is>
      </c>
      <c r="I116" t="inlineStr">
        <is>
          <t>11 000 000</t>
        </is>
      </c>
      <c r="J116" t="inlineStr">
        <is>
          <t>У нас дешевле на 3 000 000 (21.4%)</t>
        </is>
      </c>
      <c r="K116" t="inlineStr">
        <is>
          <t>-3 000 000</t>
        </is>
      </c>
      <c r="L116" t="inlineStr">
        <is>
          <t>-21.4%</t>
        </is>
      </c>
      <c r="M116" t="inlineStr">
        <is>
          <t>sale_only</t>
        </is>
      </c>
      <c r="N116" t="inlineStr">
        <is>
          <t>no</t>
        </is>
      </c>
      <c r="O116" t="inlineStr">
        <is>
          <t>none</t>
        </is>
      </c>
      <c r="P116">
        <f>HYPERLINK("https://knru.ru/catalog/angliyskiy-pr-d-26/","ссылка")</f>
        <v/>
      </c>
      <c r="Q116">
        <f>HYPERLINK("https://app.worldcafe.ru/object/19729","ссылка")</f>
        <v/>
      </c>
      <c r="R116" t="inlineStr">
        <is>
          <t>По адресу есть, но площадь другая</t>
        </is>
      </c>
      <c r="S116" t="n">
        <v>3</v>
      </c>
      <c r="T116" t="inlineStr">
        <is>
          <t>Архив sale 52 м² 11 000 000 =HYPERLINK("https://app.worldcafe.ru/object/19729","ссылка") | Архив rent 268 м² 345 000 =HYPERLINK("https://app.worldcafe.ru/object/10041","ссылка") | Архив sale 268 м² 35 000 000 =HYPERLINK("https://app.worldcafe.ru/object/10041","ссылка")</t>
        </is>
      </c>
      <c r="U116" t="n">
        <v>590</v>
      </c>
      <c r="V116" t="n">
        <v>25</v>
      </c>
      <c r="W116" t="n">
        <v>14</v>
      </c>
      <c r="X116" t="n">
        <v>14000000</v>
      </c>
      <c r="Y116" t="n">
        <v>11000000</v>
      </c>
      <c r="Z116" t="n">
        <v>-3000000</v>
      </c>
      <c r="AA116" t="inlineStr">
        <is>
          <t>https://knru.ru/catalog/angliyskiy-pr-d-26/</t>
        </is>
      </c>
    </row>
    <row r="117">
      <c r="A117" t="n">
        <v>600</v>
      </c>
      <c r="B117" t="n">
        <v>25</v>
      </c>
      <c r="C117" t="n">
        <v>24</v>
      </c>
      <c r="D117" t="n">
        <v>52100754</v>
      </c>
      <c r="E117" t="inlineStr">
        <is>
          <t>Петроградский</t>
        </is>
      </c>
      <c r="F117" t="inlineStr">
        <is>
          <t>Профессора Попова ул, 47к7</t>
        </is>
      </c>
      <c r="G117" t="n">
        <v>86.09999999999999</v>
      </c>
      <c r="H117" t="inlineStr">
        <is>
          <t>75 713 406</t>
        </is>
      </c>
      <c r="I117" t="inlineStr">
        <is>
          <t>180 000</t>
        </is>
      </c>
      <c r="J117" t="inlineStr">
        <is>
          <t>У нас дешевле на 75 533 406 (99.8%)</t>
        </is>
      </c>
      <c r="K117" t="inlineStr">
        <is>
          <t>-75 533 406</t>
        </is>
      </c>
      <c r="L117" t="inlineStr">
        <is>
          <t>-99.8%</t>
        </is>
      </c>
      <c r="M117" t="inlineStr">
        <is>
          <t>any_type</t>
        </is>
      </c>
      <c r="N117" t="inlineStr">
        <is>
          <t>no</t>
        </is>
      </c>
      <c r="O117" t="inlineStr">
        <is>
          <t>none</t>
        </is>
      </c>
      <c r="P117">
        <f>HYPERLINK("https://knru.ru/catalog/professora-popova-ul-47k7-52100754/","ссылка")</f>
        <v/>
      </c>
      <c r="Q117">
        <f>HYPERLINK("https://app.worldcafe.ru/object/12806","ссылка")</f>
        <v/>
      </c>
      <c r="R117" t="inlineStr">
        <is>
          <t>По адресу есть, но площадь другая</t>
        </is>
      </c>
      <c r="S117" t="n">
        <v>2</v>
      </c>
      <c r="T117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17" t="n">
        <v>600</v>
      </c>
      <c r="V117" t="n">
        <v>25</v>
      </c>
      <c r="W117" t="n">
        <v>24</v>
      </c>
      <c r="X117" t="n">
        <v>75713406</v>
      </c>
      <c r="Y117" t="n">
        <v>180000</v>
      </c>
      <c r="Z117" t="n">
        <v>-75533406</v>
      </c>
      <c r="AA117" t="inlineStr">
        <is>
          <t>https://knru.ru/catalog/professora-popova-ul-47k7-52100754/</t>
        </is>
      </c>
    </row>
    <row r="118">
      <c r="A118" t="n">
        <v>601</v>
      </c>
      <c r="B118" t="n">
        <v>26</v>
      </c>
      <c r="C118" t="n">
        <v>1</v>
      </c>
      <c r="D118" t="inlineStr"/>
      <c r="E118" t="inlineStr">
        <is>
          <t>Петроградский</t>
        </is>
      </c>
      <c r="F118" t="inlineStr">
        <is>
          <t>Профессора Попова ул, 47к7</t>
        </is>
      </c>
      <c r="G118" t="n">
        <v>124.8</v>
      </c>
      <c r="H118" t="inlineStr">
        <is>
          <t>108 636 334</t>
        </is>
      </c>
      <c r="I118" t="inlineStr">
        <is>
          <t>180 000</t>
        </is>
      </c>
      <c r="J118" t="inlineStr">
        <is>
          <t>У нас дешевле на 108 456 334 (99.8%)</t>
        </is>
      </c>
      <c r="K118" t="inlineStr">
        <is>
          <t>-108 456 334</t>
        </is>
      </c>
      <c r="L118" t="inlineStr">
        <is>
          <t>-99.8%</t>
        </is>
      </c>
      <c r="M118" t="inlineStr">
        <is>
          <t>any_type</t>
        </is>
      </c>
      <c r="N118" t="inlineStr">
        <is>
          <t>no</t>
        </is>
      </c>
      <c r="O118" t="inlineStr">
        <is>
          <t>none</t>
        </is>
      </c>
      <c r="P118">
        <f>HYPERLINK("https://knru.ru/catalog/professora-popova-ul-47k7/","ссылка")</f>
        <v/>
      </c>
      <c r="Q118">
        <f>HYPERLINK("https://app.worldcafe.ru/object/12806","ссылка")</f>
        <v/>
      </c>
      <c r="R118" t="inlineStr">
        <is>
          <t>По адресу есть, но площадь другая</t>
        </is>
      </c>
      <c r="S118" t="n">
        <v>2</v>
      </c>
      <c r="T118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18" t="n">
        <v>601</v>
      </c>
      <c r="V118" t="n">
        <v>26</v>
      </c>
      <c r="W118" t="n">
        <v>1</v>
      </c>
      <c r="X118" t="n">
        <v>108636334</v>
      </c>
      <c r="Y118" t="n">
        <v>180000</v>
      </c>
      <c r="Z118" t="n">
        <v>-108456334</v>
      </c>
      <c r="AA118" t="inlineStr">
        <is>
          <t>https://knru.ru/catalog/professora-popova-ul-47k7/</t>
        </is>
      </c>
    </row>
    <row r="119">
      <c r="A119" t="n">
        <v>602</v>
      </c>
      <c r="B119" t="n">
        <v>26</v>
      </c>
      <c r="C119" t="n">
        <v>2</v>
      </c>
      <c r="D119" t="inlineStr"/>
      <c r="E119" t="inlineStr">
        <is>
          <t>Петроградский</t>
        </is>
      </c>
      <c r="F119" t="inlineStr">
        <is>
          <t>Профессора Попова ул, 47к6</t>
        </is>
      </c>
      <c r="G119" t="n">
        <v>73.40000000000001</v>
      </c>
      <c r="H119" t="inlineStr">
        <is>
          <t>41 090 819</t>
        </is>
      </c>
      <c r="I119" t="inlineStr">
        <is>
          <t>180 000</t>
        </is>
      </c>
      <c r="J119" t="inlineStr">
        <is>
          <t>У нас дешевле на 40 910 819 (99.6%)</t>
        </is>
      </c>
      <c r="K119" t="inlineStr">
        <is>
          <t>-40 910 819</t>
        </is>
      </c>
      <c r="L119" t="inlineStr">
        <is>
          <t>-99.6%</t>
        </is>
      </c>
      <c r="M119" t="inlineStr">
        <is>
          <t>any_type</t>
        </is>
      </c>
      <c r="N119" t="inlineStr">
        <is>
          <t>no</t>
        </is>
      </c>
      <c r="O119" t="inlineStr">
        <is>
          <t>none</t>
        </is>
      </c>
      <c r="P119">
        <f>HYPERLINK("https://knru.ru/catalog/professora-popova-ul-47k6/","ссылка")</f>
        <v/>
      </c>
      <c r="Q119">
        <f>HYPERLINK("https://app.worldcafe.ru/object/12806","ссылка")</f>
        <v/>
      </c>
      <c r="R119" t="inlineStr">
        <is>
          <t>По адресу есть, но площадь другая</t>
        </is>
      </c>
      <c r="S119" t="n">
        <v>2</v>
      </c>
      <c r="T119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19" t="n">
        <v>602</v>
      </c>
      <c r="V119" t="n">
        <v>26</v>
      </c>
      <c r="W119" t="n">
        <v>2</v>
      </c>
      <c r="X119" t="n">
        <v>41090819</v>
      </c>
      <c r="Y119" t="n">
        <v>180000</v>
      </c>
      <c r="Z119" t="n">
        <v>-40910819</v>
      </c>
      <c r="AA119" t="inlineStr">
        <is>
          <t>https://knru.ru/catalog/professora-popova-ul-47k6/</t>
        </is>
      </c>
    </row>
    <row r="120">
      <c r="A120" t="n">
        <v>603</v>
      </c>
      <c r="B120" t="n">
        <v>26</v>
      </c>
      <c r="C120" t="n">
        <v>3</v>
      </c>
      <c r="D120" t="inlineStr"/>
      <c r="E120" t="inlineStr">
        <is>
          <t>Петроградский</t>
        </is>
      </c>
      <c r="F120" t="inlineStr">
        <is>
          <t>Профессора Попова ул, 47к3</t>
        </is>
      </c>
      <c r="G120" t="n">
        <v>81.8</v>
      </c>
      <c r="H120" t="inlineStr">
        <is>
          <t>56 173 128</t>
        </is>
      </c>
      <c r="I120" t="inlineStr">
        <is>
          <t>180 000</t>
        </is>
      </c>
      <c r="J120" t="inlineStr">
        <is>
          <t>У нас дешевле на 55 993 128 (99.7%)</t>
        </is>
      </c>
      <c r="K120" t="inlineStr">
        <is>
          <t>-55 993 128</t>
        </is>
      </c>
      <c r="L120" t="inlineStr">
        <is>
          <t>-99.7%</t>
        </is>
      </c>
      <c r="M120" t="inlineStr">
        <is>
          <t>any_type</t>
        </is>
      </c>
      <c r="N120" t="inlineStr">
        <is>
          <t>no</t>
        </is>
      </c>
      <c r="O120" t="inlineStr">
        <is>
          <t>none</t>
        </is>
      </c>
      <c r="P120">
        <f>HYPERLINK("https://knru.ru/catalog/professora-popova-ul-47k3/","ссылка")</f>
        <v/>
      </c>
      <c r="Q120">
        <f>HYPERLINK("https://app.worldcafe.ru/object/12806","ссылка")</f>
        <v/>
      </c>
      <c r="R120" t="inlineStr">
        <is>
          <t>По адресу есть, но площадь другая</t>
        </is>
      </c>
      <c r="S120" t="n">
        <v>2</v>
      </c>
      <c r="T120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20" t="n">
        <v>603</v>
      </c>
      <c r="V120" t="n">
        <v>26</v>
      </c>
      <c r="W120" t="n">
        <v>3</v>
      </c>
      <c r="X120" t="n">
        <v>56173128</v>
      </c>
      <c r="Y120" t="n">
        <v>180000</v>
      </c>
      <c r="Z120" t="n">
        <v>-55993128</v>
      </c>
      <c r="AA120" t="inlineStr">
        <is>
          <t>https://knru.ru/catalog/professora-popova-ul-47k3/</t>
        </is>
      </c>
    </row>
    <row r="121">
      <c r="A121" t="n">
        <v>604</v>
      </c>
      <c r="B121" t="n">
        <v>26</v>
      </c>
      <c r="C121" t="n">
        <v>4</v>
      </c>
      <c r="D121" t="n">
        <v>424608133</v>
      </c>
      <c r="E121" t="inlineStr">
        <is>
          <t>Петроградский</t>
        </is>
      </c>
      <c r="F121" t="inlineStr">
        <is>
          <t>Профессора Попова ул, 47к2</t>
        </is>
      </c>
      <c r="G121" t="n">
        <v>94.09999999999999</v>
      </c>
      <c r="H121" t="inlineStr">
        <is>
          <t>48 711 542</t>
        </is>
      </c>
      <c r="I121" t="inlineStr">
        <is>
          <t>180 000</t>
        </is>
      </c>
      <c r="J121" t="inlineStr">
        <is>
          <t>У нас дешевле на 48 531 542 (99.6%)</t>
        </is>
      </c>
      <c r="K121" t="inlineStr">
        <is>
          <t>-48 531 542</t>
        </is>
      </c>
      <c r="L121" t="inlineStr">
        <is>
          <t>-99.6%</t>
        </is>
      </c>
      <c r="M121" t="inlineStr">
        <is>
          <t>any_type</t>
        </is>
      </c>
      <c r="N121" t="inlineStr">
        <is>
          <t>no</t>
        </is>
      </c>
      <c r="O121" t="inlineStr">
        <is>
          <t>none</t>
        </is>
      </c>
      <c r="P121">
        <f>HYPERLINK("https://knru.ru/catalog/professora-popova-ul-47k2-424608133/","ссылка")</f>
        <v/>
      </c>
      <c r="Q121">
        <f>HYPERLINK("https://app.worldcafe.ru/object/12806","ссылка")</f>
        <v/>
      </c>
      <c r="R121" t="inlineStr">
        <is>
          <t>По адресу есть, но площадь другая</t>
        </is>
      </c>
      <c r="S121" t="n">
        <v>2</v>
      </c>
      <c r="T121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21" t="n">
        <v>604</v>
      </c>
      <c r="V121" t="n">
        <v>26</v>
      </c>
      <c r="W121" t="n">
        <v>4</v>
      </c>
      <c r="X121" t="n">
        <v>48711542</v>
      </c>
      <c r="Y121" t="n">
        <v>180000</v>
      </c>
      <c r="Z121" t="n">
        <v>-48531542</v>
      </c>
      <c r="AA121" t="inlineStr">
        <is>
          <t>https://knru.ru/catalog/professora-popova-ul-47k2-424608133/</t>
        </is>
      </c>
    </row>
    <row r="122">
      <c r="A122" t="n">
        <v>605</v>
      </c>
      <c r="B122" t="n">
        <v>26</v>
      </c>
      <c r="C122" t="n">
        <v>5</v>
      </c>
      <c r="D122" t="n">
        <v>1863591767</v>
      </c>
      <c r="E122" t="inlineStr">
        <is>
          <t>Петроградский</t>
        </is>
      </c>
      <c r="F122" t="inlineStr">
        <is>
          <t>Профессора Попова ул, 47к2</t>
        </is>
      </c>
      <c r="G122" t="n">
        <v>92.2</v>
      </c>
      <c r="H122" t="inlineStr">
        <is>
          <t>59 784 448</t>
        </is>
      </c>
      <c r="I122" t="inlineStr">
        <is>
          <t>180 000</t>
        </is>
      </c>
      <c r="J122" t="inlineStr">
        <is>
          <t>У нас дешевле на 59 604 448 (99.7%)</t>
        </is>
      </c>
      <c r="K122" t="inlineStr">
        <is>
          <t>-59 604 448</t>
        </is>
      </c>
      <c r="L122" t="inlineStr">
        <is>
          <t>-99.7%</t>
        </is>
      </c>
      <c r="M122" t="inlineStr">
        <is>
          <t>any_type</t>
        </is>
      </c>
      <c r="N122" t="inlineStr">
        <is>
          <t>no</t>
        </is>
      </c>
      <c r="O122" t="inlineStr">
        <is>
          <t>none</t>
        </is>
      </c>
      <c r="P122">
        <f>HYPERLINK("https://knru.ru/catalog/professora-popova-ul-47k2-1863591767/","ссылка")</f>
        <v/>
      </c>
      <c r="Q122">
        <f>HYPERLINK("https://app.worldcafe.ru/object/12806","ссылка")</f>
        <v/>
      </c>
      <c r="R122" t="inlineStr">
        <is>
          <t>По адресу есть, но площадь другая</t>
        </is>
      </c>
      <c r="S122" t="n">
        <v>2</v>
      </c>
      <c r="T122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22" t="n">
        <v>605</v>
      </c>
      <c r="V122" t="n">
        <v>26</v>
      </c>
      <c r="W122" t="n">
        <v>5</v>
      </c>
      <c r="X122" t="n">
        <v>59784448</v>
      </c>
      <c r="Y122" t="n">
        <v>180000</v>
      </c>
      <c r="Z122" t="n">
        <v>-59604448</v>
      </c>
      <c r="AA122" t="inlineStr">
        <is>
          <t>https://knru.ru/catalog/professora-popova-ul-47k2-1863591767/</t>
        </is>
      </c>
    </row>
    <row r="123">
      <c r="A123" t="n">
        <v>606</v>
      </c>
      <c r="B123" t="n">
        <v>26</v>
      </c>
      <c r="C123" t="n">
        <v>6</v>
      </c>
      <c r="D123" t="inlineStr"/>
      <c r="E123" t="inlineStr">
        <is>
          <t>Петроградский</t>
        </is>
      </c>
      <c r="F123" t="inlineStr">
        <is>
          <t>Профессора Попова ул, 47к2</t>
        </is>
      </c>
      <c r="G123" t="n">
        <v>118.8</v>
      </c>
      <c r="H123" t="inlineStr">
        <is>
          <t>100 247 715</t>
        </is>
      </c>
      <c r="I123" t="inlineStr">
        <is>
          <t>180 000</t>
        </is>
      </c>
      <c r="J123" t="inlineStr">
        <is>
          <t>У нас дешевле на 100 067 715 (99.8%)</t>
        </is>
      </c>
      <c r="K123" t="inlineStr">
        <is>
          <t>-100 067 715</t>
        </is>
      </c>
      <c r="L123" t="inlineStr">
        <is>
          <t>-99.8%</t>
        </is>
      </c>
      <c r="M123" t="inlineStr">
        <is>
          <t>any_type</t>
        </is>
      </c>
      <c r="N123" t="inlineStr">
        <is>
          <t>no</t>
        </is>
      </c>
      <c r="O123" t="inlineStr">
        <is>
          <t>none</t>
        </is>
      </c>
      <c r="P123">
        <f>HYPERLINK("https://knru.ru/catalog/professora-popova-ul-47k2/","ссылка")</f>
        <v/>
      </c>
      <c r="Q123">
        <f>HYPERLINK("https://app.worldcafe.ru/object/12806","ссылка")</f>
        <v/>
      </c>
      <c r="R123" t="inlineStr">
        <is>
          <t>По адресу есть, но площадь другая</t>
        </is>
      </c>
      <c r="S123" t="n">
        <v>2</v>
      </c>
      <c r="T123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23" t="n">
        <v>606</v>
      </c>
      <c r="V123" t="n">
        <v>26</v>
      </c>
      <c r="W123" t="n">
        <v>6</v>
      </c>
      <c r="X123" t="n">
        <v>100247715</v>
      </c>
      <c r="Y123" t="n">
        <v>180000</v>
      </c>
      <c r="Z123" t="n">
        <v>-100067715</v>
      </c>
      <c r="AA123" t="inlineStr">
        <is>
          <t>https://knru.ru/catalog/professora-popova-ul-47k2/</t>
        </is>
      </c>
    </row>
    <row r="124">
      <c r="A124" t="n">
        <v>607</v>
      </c>
      <c r="B124" t="n">
        <v>26</v>
      </c>
      <c r="C124" t="n">
        <v>7</v>
      </c>
      <c r="D124" t="inlineStr"/>
      <c r="E124" t="inlineStr">
        <is>
          <t>Петроградский</t>
        </is>
      </c>
      <c r="F124" t="inlineStr">
        <is>
          <t>Профессора Попова ул, 47к1</t>
        </is>
      </c>
      <c r="G124" t="n">
        <v>115.8</v>
      </c>
      <c r="H124" t="inlineStr">
        <is>
          <t>100 801 984</t>
        </is>
      </c>
      <c r="I124" t="inlineStr">
        <is>
          <t>180 000</t>
        </is>
      </c>
      <c r="J124" t="inlineStr">
        <is>
          <t>У нас дешевле на 100 621 984 (99.8%)</t>
        </is>
      </c>
      <c r="K124" t="inlineStr">
        <is>
          <t>-100 621 984</t>
        </is>
      </c>
      <c r="L124" t="inlineStr">
        <is>
          <t>-99.8%</t>
        </is>
      </c>
      <c r="M124" t="inlineStr">
        <is>
          <t>any_type</t>
        </is>
      </c>
      <c r="N124" t="inlineStr">
        <is>
          <t>no</t>
        </is>
      </c>
      <c r="O124" t="inlineStr">
        <is>
          <t>none</t>
        </is>
      </c>
      <c r="P124">
        <f>HYPERLINK("https://knru.ru/catalog/professora-popova-ul-47k1/","ссылка")</f>
        <v/>
      </c>
      <c r="Q124">
        <f>HYPERLINK("https://app.worldcafe.ru/object/12806","ссылка")</f>
        <v/>
      </c>
      <c r="R124" t="inlineStr">
        <is>
          <t>По адресу есть, но площадь другая</t>
        </is>
      </c>
      <c r="S124" t="n">
        <v>2</v>
      </c>
      <c r="T124" t="inlineStr">
        <is>
          <t>Архив rent 300 м² 180 000 =HYPERLINK("https://app.worldcafe.ru/object/12806","ссылка") | На сайте rent 350 м² 250 000 =HYPERLINK("https://app.worldcafe.ru/object/12877","ссылка")</t>
        </is>
      </c>
      <c r="U124" t="n">
        <v>607</v>
      </c>
      <c r="V124" t="n">
        <v>26</v>
      </c>
      <c r="W124" t="n">
        <v>7</v>
      </c>
      <c r="X124" t="n">
        <v>100801984</v>
      </c>
      <c r="Y124" t="n">
        <v>180000</v>
      </c>
      <c r="Z124" t="n">
        <v>-100621984</v>
      </c>
      <c r="AA124" t="inlineStr">
        <is>
          <t>https://knru.ru/catalog/professora-popova-ul-47k1/</t>
        </is>
      </c>
    </row>
    <row r="125">
      <c r="A125" t="n">
        <v>608</v>
      </c>
      <c r="B125" t="n">
        <v>26</v>
      </c>
      <c r="C125" t="n">
        <v>8</v>
      </c>
      <c r="D125" t="n">
        <v>394890104</v>
      </c>
      <c r="E125" t="inlineStr">
        <is>
          <t>Красносельский</t>
        </is>
      </c>
      <c r="F125" t="inlineStr">
        <is>
          <t>Восстановления ул, 19</t>
        </is>
      </c>
      <c r="G125" t="n">
        <v>117</v>
      </c>
      <c r="H125" t="inlineStr">
        <is>
          <t>20 889 855</t>
        </is>
      </c>
      <c r="I125" t="inlineStr">
        <is>
          <t>17 813 400</t>
        </is>
      </c>
      <c r="J125" t="inlineStr">
        <is>
          <t>У нас дешевле на 3 076 455 (14.7%)</t>
        </is>
      </c>
      <c r="K125" t="inlineStr">
        <is>
          <t>-3 076 455</t>
        </is>
      </c>
      <c r="L125" t="inlineStr">
        <is>
          <t>-14.7%</t>
        </is>
      </c>
      <c r="M125" t="inlineStr">
        <is>
          <t>sale_only</t>
        </is>
      </c>
      <c r="N125" t="inlineStr">
        <is>
          <t>no</t>
        </is>
      </c>
      <c r="O125" t="inlineStr">
        <is>
          <t>none</t>
        </is>
      </c>
      <c r="P125">
        <f>HYPERLINK("https://knru.ru/catalog/ul-vosstanovleniya-d-19-394890104/","ссылка")</f>
        <v/>
      </c>
      <c r="Q125">
        <f>HYPERLINK("https://app.worldcafe.ru/object/15625","ссылка")</f>
        <v/>
      </c>
      <c r="R125" t="inlineStr">
        <is>
          <t>По адресу есть, но площадь другая</t>
        </is>
      </c>
      <c r="S125" t="n">
        <v>2</v>
      </c>
      <c r="T125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125" t="n">
        <v>608</v>
      </c>
      <c r="V125" t="n">
        <v>26</v>
      </c>
      <c r="W125" t="n">
        <v>8</v>
      </c>
      <c r="X125" t="n">
        <v>20889855</v>
      </c>
      <c r="Y125" t="n">
        <v>17813400</v>
      </c>
      <c r="Z125" t="n">
        <v>-3076455</v>
      </c>
      <c r="AA125" t="inlineStr">
        <is>
          <t>https://knru.ru/catalog/ul-vosstanovleniya-d-19-394890104/</t>
        </is>
      </c>
    </row>
    <row r="126">
      <c r="A126" t="n">
        <v>616</v>
      </c>
      <c r="B126" t="n">
        <v>26</v>
      </c>
      <c r="C126" t="n">
        <v>16</v>
      </c>
      <c r="D126" t="n">
        <v>996340439</v>
      </c>
      <c r="E126" t="inlineStr">
        <is>
          <t>Всеволожский</t>
        </is>
      </c>
      <c r="F126" t="inlineStr">
        <is>
          <t>Ленинградская, 1</t>
        </is>
      </c>
      <c r="G126" t="n">
        <v>99</v>
      </c>
      <c r="H126" t="inlineStr">
        <is>
          <t>33 171 700</t>
        </is>
      </c>
      <c r="I126" t="inlineStr">
        <is>
          <t>200 000</t>
        </is>
      </c>
      <c r="J126" t="inlineStr">
        <is>
          <t>У нас дешевле на 32 971 700 (99.4%)</t>
        </is>
      </c>
      <c r="K126" t="inlineStr">
        <is>
          <t>-32 971 700</t>
        </is>
      </c>
      <c r="L126" t="inlineStr">
        <is>
          <t>-99.4%</t>
        </is>
      </c>
      <c r="M126" t="inlineStr">
        <is>
          <t>any_type</t>
        </is>
      </c>
      <c r="N126" t="inlineStr">
        <is>
          <t>no</t>
        </is>
      </c>
      <c r="O126" t="inlineStr">
        <is>
          <t>none</t>
        </is>
      </c>
      <c r="P126">
        <f>HYPERLINK("https://knru.ru/catalog/zhk-id-kudrovo-ii-korpus-1-3-996340439/","ссылка")</f>
        <v/>
      </c>
      <c r="Q126">
        <f>HYPERLINK("https://app.worldcafe.ru/object/12009","ссылка")</f>
        <v/>
      </c>
      <c r="R126" t="inlineStr">
        <is>
          <t>По адресу есть, но площадь другая</t>
        </is>
      </c>
      <c r="S126" t="n">
        <v>1</v>
      </c>
      <c r="T126" t="inlineStr">
        <is>
          <t>Архив rent 80 м² 200 000 =HYPERLINK("https://app.worldcafe.ru/object/12009","ссылка")</t>
        </is>
      </c>
      <c r="U126" t="n">
        <v>616</v>
      </c>
      <c r="V126" t="n">
        <v>26</v>
      </c>
      <c r="W126" t="n">
        <v>16</v>
      </c>
      <c r="X126" t="n">
        <v>33171700</v>
      </c>
      <c r="Y126" t="n">
        <v>200000</v>
      </c>
      <c r="Z126" t="n">
        <v>-32971700</v>
      </c>
      <c r="AA126" t="inlineStr">
        <is>
          <t>https://knru.ru/catalog/zhk-id-kudrovo-ii-korpus-1-3-996340439/</t>
        </is>
      </c>
    </row>
    <row r="127">
      <c r="A127" t="n">
        <v>617</v>
      </c>
      <c r="B127" t="n">
        <v>26</v>
      </c>
      <c r="C127" t="n">
        <v>17</v>
      </c>
      <c r="D127" t="n">
        <v>915829351</v>
      </c>
      <c r="E127" t="inlineStr">
        <is>
          <t>Всеволожский</t>
        </is>
      </c>
      <c r="F127" t="inlineStr">
        <is>
          <t>Ленинградская, 1</t>
        </is>
      </c>
      <c r="G127" t="n">
        <v>52</v>
      </c>
      <c r="H127" t="inlineStr">
        <is>
          <t>16 790 400</t>
        </is>
      </c>
      <c r="I127" t="inlineStr">
        <is>
          <t>200 000</t>
        </is>
      </c>
      <c r="J127" t="inlineStr">
        <is>
          <t>У нас дешевле на 16 590 400 (98.8%)</t>
        </is>
      </c>
      <c r="K127" t="inlineStr">
        <is>
          <t>-16 590 400</t>
        </is>
      </c>
      <c r="L127" t="inlineStr">
        <is>
          <t>-98.8%</t>
        </is>
      </c>
      <c r="M127" t="inlineStr">
        <is>
          <t>any_type</t>
        </is>
      </c>
      <c r="N127" t="inlineStr">
        <is>
          <t>no</t>
        </is>
      </c>
      <c r="O127" t="inlineStr">
        <is>
          <t>none</t>
        </is>
      </c>
      <c r="P127">
        <f>HYPERLINK("https://knru.ru/catalog/zhk-id-kudrovo-ii-korpus-1-3-915829351/","ссылка")</f>
        <v/>
      </c>
      <c r="Q127">
        <f>HYPERLINK("https://app.worldcafe.ru/object/12009","ссылка")</f>
        <v/>
      </c>
      <c r="R127" t="inlineStr">
        <is>
          <t>По адресу есть, но площадь другая</t>
        </is>
      </c>
      <c r="S127" t="n">
        <v>1</v>
      </c>
      <c r="T127" t="inlineStr">
        <is>
          <t>Архив rent 80 м² 200 000 =HYPERLINK("https://app.worldcafe.ru/object/12009","ссылка")</t>
        </is>
      </c>
      <c r="U127" t="n">
        <v>617</v>
      </c>
      <c r="V127" t="n">
        <v>26</v>
      </c>
      <c r="W127" t="n">
        <v>17</v>
      </c>
      <c r="X127" t="n">
        <v>16790400</v>
      </c>
      <c r="Y127" t="n">
        <v>200000</v>
      </c>
      <c r="Z127" t="n">
        <v>-16590400</v>
      </c>
      <c r="AA127" t="inlineStr">
        <is>
          <t>https://knru.ru/catalog/zhk-id-kudrovo-ii-korpus-1-3-915829351/</t>
        </is>
      </c>
    </row>
    <row r="128">
      <c r="A128" t="n">
        <v>618</v>
      </c>
      <c r="B128" t="n">
        <v>26</v>
      </c>
      <c r="C128" t="n">
        <v>18</v>
      </c>
      <c r="D128" t="n">
        <v>3</v>
      </c>
      <c r="E128" t="inlineStr">
        <is>
          <t>Всеволожский</t>
        </is>
      </c>
      <c r="F128" t="inlineStr">
        <is>
          <t>Ленинградская, 1</t>
        </is>
      </c>
      <c r="G128" t="n">
        <v>69</v>
      </c>
      <c r="H128" t="inlineStr">
        <is>
          <t>22 083 200</t>
        </is>
      </c>
      <c r="I128" t="inlineStr">
        <is>
          <t>200 000</t>
        </is>
      </c>
      <c r="J128" t="inlineStr">
        <is>
          <t>У нас дешевле на 21 883 200 (99.1%)</t>
        </is>
      </c>
      <c r="K128" t="inlineStr">
        <is>
          <t>-21 883 200</t>
        </is>
      </c>
      <c r="L128" t="inlineStr">
        <is>
          <t>-99.1%</t>
        </is>
      </c>
      <c r="M128" t="inlineStr">
        <is>
          <t>any_type</t>
        </is>
      </c>
      <c r="N128" t="inlineStr">
        <is>
          <t>no</t>
        </is>
      </c>
      <c r="O128" t="inlineStr">
        <is>
          <t>none</t>
        </is>
      </c>
      <c r="P128">
        <f>HYPERLINK("https://knru.ru/catalog/zhk-id-kudrovo-ii-korpus-1-3/","ссылка")</f>
        <v/>
      </c>
      <c r="Q128">
        <f>HYPERLINK("https://app.worldcafe.ru/object/12009","ссылка")</f>
        <v/>
      </c>
      <c r="R128" t="inlineStr">
        <is>
          <t>По адресу есть, но площадь другая</t>
        </is>
      </c>
      <c r="S128" t="n">
        <v>1</v>
      </c>
      <c r="T128" t="inlineStr">
        <is>
          <t>Архив rent 80 м² 200 000 =HYPERLINK("https://app.worldcafe.ru/object/12009","ссылка")</t>
        </is>
      </c>
      <c r="U128" t="n">
        <v>618</v>
      </c>
      <c r="V128" t="n">
        <v>26</v>
      </c>
      <c r="W128" t="n">
        <v>18</v>
      </c>
      <c r="X128" t="n">
        <v>22083200</v>
      </c>
      <c r="Y128" t="n">
        <v>200000</v>
      </c>
      <c r="Z128" t="n">
        <v>-21883200</v>
      </c>
      <c r="AA128" t="inlineStr">
        <is>
          <t>https://knru.ru/catalog/zhk-id-kudrovo-ii-korpus-1-3/</t>
        </is>
      </c>
    </row>
    <row r="129">
      <c r="A129" t="n">
        <v>631</v>
      </c>
      <c r="B129" t="n">
        <v>27</v>
      </c>
      <c r="C129" t="n">
        <v>7</v>
      </c>
      <c r="D129" t="n">
        <v>1122086068</v>
      </c>
      <c r="E129" t="inlineStr">
        <is>
          <t>Центральный</t>
        </is>
      </c>
      <c r="F129" t="inlineStr">
        <is>
          <t>Херсонская ул, 43к2</t>
        </is>
      </c>
      <c r="G129" t="n">
        <v>93.3</v>
      </c>
      <c r="H129" t="inlineStr">
        <is>
          <t>70 000 000</t>
        </is>
      </c>
      <c r="I129" t="inlineStr">
        <is>
          <t>10 300 000</t>
        </is>
      </c>
      <c r="J129" t="inlineStr">
        <is>
          <t>У нас дешевле на 59 700 000 (85.3%)</t>
        </is>
      </c>
      <c r="K129" t="inlineStr">
        <is>
          <t>-59 700 000</t>
        </is>
      </c>
      <c r="L129" t="inlineStr">
        <is>
          <t>-85.3%</t>
        </is>
      </c>
      <c r="M129" t="inlineStr">
        <is>
          <t>sale_only</t>
        </is>
      </c>
      <c r="N129" t="inlineStr">
        <is>
          <t>no</t>
        </is>
      </c>
      <c r="O129" t="inlineStr">
        <is>
          <t>none</t>
        </is>
      </c>
      <c r="P129">
        <f>HYPERLINK("https://knru.ru/catalog/khersonskaya-ul43-k2-1122086068/","ссылка")</f>
        <v/>
      </c>
      <c r="Q129">
        <f>HYPERLINK("https://app.worldcafe.ru/object/19781","ссылка")</f>
        <v/>
      </c>
      <c r="R129" t="inlineStr">
        <is>
          <t>По адресу есть, но площадь другая</t>
        </is>
      </c>
      <c r="S129" t="n">
        <v>1</v>
      </c>
      <c r="T129" t="inlineStr">
        <is>
          <t>На сайте sale 25.8 м² 10 300 000 =HYPERLINK("https://app.worldcafe.ru/object/19781","ссылка")</t>
        </is>
      </c>
      <c r="U129" t="n">
        <v>631</v>
      </c>
      <c r="V129" t="n">
        <v>27</v>
      </c>
      <c r="W129" t="n">
        <v>7</v>
      </c>
      <c r="X129" t="n">
        <v>70000000</v>
      </c>
      <c r="Y129" t="n">
        <v>10300000</v>
      </c>
      <c r="Z129" t="n">
        <v>-59700000</v>
      </c>
      <c r="AA129" t="inlineStr">
        <is>
          <t>https://knru.ru/catalog/khersonskaya-ul43-k2-1122086068/</t>
        </is>
      </c>
    </row>
    <row r="130">
      <c r="A130" t="n">
        <v>633</v>
      </c>
      <c r="B130" t="n">
        <v>27</v>
      </c>
      <c r="C130" t="n">
        <v>9</v>
      </c>
      <c r="D130" t="n">
        <v>1</v>
      </c>
      <c r="E130" t="inlineStr">
        <is>
          <t>Московский</t>
        </is>
      </c>
      <c r="F130" t="inlineStr">
        <is>
          <t>Юрия Гагарина пр-кт, 1</t>
        </is>
      </c>
      <c r="G130" t="n">
        <v>261.1</v>
      </c>
      <c r="H130" t="inlineStr">
        <is>
          <t>33 000 000</t>
        </is>
      </c>
      <c r="I130" t="inlineStr">
        <is>
          <t>490 000</t>
        </is>
      </c>
      <c r="J130" t="inlineStr">
        <is>
          <t>У нас дешевле на 32 510 000 (98.5%)</t>
        </is>
      </c>
      <c r="K130" t="inlineStr">
        <is>
          <t>-32 510 000</t>
        </is>
      </c>
      <c r="L130" t="inlineStr">
        <is>
          <t>-98.5%</t>
        </is>
      </c>
      <c r="M130" t="inlineStr">
        <is>
          <t>any_type</t>
        </is>
      </c>
      <c r="N130" t="inlineStr">
        <is>
          <t>no</t>
        </is>
      </c>
      <c r="O130" t="inlineStr">
        <is>
          <t>none</t>
        </is>
      </c>
      <c r="P130">
        <f>HYPERLINK("https://knru.ru/catalog/yuriya-gagarina-pr-kt-1/","ссылка")</f>
        <v/>
      </c>
      <c r="Q130">
        <f>HYPERLINK("https://app.worldcafe.ru/object/15393","ссылка")</f>
        <v/>
      </c>
      <c r="R130" t="inlineStr">
        <is>
          <t>По адресу есть, но площадь другая</t>
        </is>
      </c>
      <c r="S130" t="n">
        <v>1</v>
      </c>
      <c r="T130" t="inlineStr">
        <is>
          <t>Архив rent 250 м² 490 000 =HYPERLINK("https://app.worldcafe.ru/object/15393","ссылка")</t>
        </is>
      </c>
      <c r="U130" t="n">
        <v>633</v>
      </c>
      <c r="V130" t="n">
        <v>27</v>
      </c>
      <c r="W130" t="n">
        <v>9</v>
      </c>
      <c r="X130" t="n">
        <v>33000000</v>
      </c>
      <c r="Y130" t="n">
        <v>490000</v>
      </c>
      <c r="Z130" t="n">
        <v>-32510000</v>
      </c>
      <c r="AA130" t="inlineStr">
        <is>
          <t>https://knru.ru/catalog/yuriya-gagarina-pr-kt-1/</t>
        </is>
      </c>
    </row>
    <row r="131">
      <c r="A131" t="n">
        <v>634</v>
      </c>
      <c r="B131" t="n">
        <v>27</v>
      </c>
      <c r="C131" t="n">
        <v>10</v>
      </c>
      <c r="D131" t="n">
        <v>1</v>
      </c>
      <c r="E131" t="inlineStr">
        <is>
          <t>Московский</t>
        </is>
      </c>
      <c r="F131" t="inlineStr">
        <is>
          <t>Юрия Гагарина пр-кт, 1</t>
        </is>
      </c>
      <c r="G131" t="n">
        <v>261.1</v>
      </c>
      <c r="H131" t="inlineStr">
        <is>
          <t>31 800 000</t>
        </is>
      </c>
      <c r="I131" t="inlineStr">
        <is>
          <t>490 000</t>
        </is>
      </c>
      <c r="J131" t="inlineStr">
        <is>
          <t>У нас дешевле на 31 310 000 (98.5%)</t>
        </is>
      </c>
      <c r="K131" t="inlineStr">
        <is>
          <t>-31 310 000</t>
        </is>
      </c>
      <c r="L131" t="inlineStr">
        <is>
          <t>-98.5%</t>
        </is>
      </c>
      <c r="M131" t="inlineStr">
        <is>
          <t>any_type</t>
        </is>
      </c>
      <c r="N131" t="inlineStr">
        <is>
          <t>no</t>
        </is>
      </c>
      <c r="O131" t="inlineStr">
        <is>
          <t>none</t>
        </is>
      </c>
      <c r="P131">
        <f>HYPERLINK("https://knru.ru/catalog/pr-yuriya-gagarina-d-1/","ссылка")</f>
        <v/>
      </c>
      <c r="Q131">
        <f>HYPERLINK("https://app.worldcafe.ru/object/15393","ссылка")</f>
        <v/>
      </c>
      <c r="R131" t="inlineStr">
        <is>
          <t>По адресу есть, но площадь другая</t>
        </is>
      </c>
      <c r="S131" t="n">
        <v>1</v>
      </c>
      <c r="T131" t="inlineStr">
        <is>
          <t>Архив rent 250 м² 490 000 =HYPERLINK("https://app.worldcafe.ru/object/15393","ссылка")</t>
        </is>
      </c>
      <c r="U131" t="n">
        <v>634</v>
      </c>
      <c r="V131" t="n">
        <v>27</v>
      </c>
      <c r="W131" t="n">
        <v>10</v>
      </c>
      <c r="X131" t="n">
        <v>31800000</v>
      </c>
      <c r="Y131" t="n">
        <v>490000</v>
      </c>
      <c r="Z131" t="n">
        <v>-31310000</v>
      </c>
      <c r="AA131" t="inlineStr">
        <is>
          <t>https://knru.ru/catalog/pr-yuriya-gagarina-d-1/</t>
        </is>
      </c>
    </row>
    <row r="132">
      <c r="A132" t="n">
        <v>640</v>
      </c>
      <c r="B132" t="n">
        <v>27</v>
      </c>
      <c r="C132" t="n">
        <v>16</v>
      </c>
      <c r="D132" t="n">
        <v>4</v>
      </c>
      <c r="E132" t="inlineStr">
        <is>
          <t>Адмиралтейский</t>
        </is>
      </c>
      <c r="F132" t="inlineStr">
        <is>
          <t>Гривцова пер, 4</t>
        </is>
      </c>
      <c r="G132" t="n">
        <v>571</v>
      </c>
      <c r="H132" t="inlineStr">
        <is>
          <t>30 000 000</t>
        </is>
      </c>
      <c r="I132" t="inlineStr">
        <is>
          <t>270 000</t>
        </is>
      </c>
      <c r="J132" t="inlineStr">
        <is>
          <t>У нас дешевле на 29 730 000 (99.1%)</t>
        </is>
      </c>
      <c r="K132" t="inlineStr">
        <is>
          <t>-29 730 000</t>
        </is>
      </c>
      <c r="L132" t="inlineStr">
        <is>
          <t>-99.1%</t>
        </is>
      </c>
      <c r="M132" t="inlineStr">
        <is>
          <t>any_type</t>
        </is>
      </c>
      <c r="N132" t="inlineStr">
        <is>
          <t>no</t>
        </is>
      </c>
      <c r="O132" t="inlineStr">
        <is>
          <t>none</t>
        </is>
      </c>
      <c r="P132">
        <f>HYPERLINK("https://knru.ru/catalog/per-grivtsova-d-4/","ссылка")</f>
        <v/>
      </c>
      <c r="Q132">
        <f>HYPERLINK("https://app.worldcafe.ru/object/11636","ссылка")</f>
        <v/>
      </c>
      <c r="R132" t="inlineStr">
        <is>
          <t>По адресу есть, но площадь другая</t>
        </is>
      </c>
      <c r="S132" t="n">
        <v>1</v>
      </c>
      <c r="T132" t="inlineStr">
        <is>
          <t>Архив rent 180 м² 270 000 =HYPERLINK("https://app.worldcafe.ru/object/11636","ссылка")</t>
        </is>
      </c>
      <c r="U132" t="n">
        <v>640</v>
      </c>
      <c r="V132" t="n">
        <v>27</v>
      </c>
      <c r="W132" t="n">
        <v>16</v>
      </c>
      <c r="X132" t="n">
        <v>30000000</v>
      </c>
      <c r="Y132" t="n">
        <v>270000</v>
      </c>
      <c r="Z132" t="n">
        <v>-29730000</v>
      </c>
      <c r="AA132" t="inlineStr">
        <is>
          <t>https://knru.ru/catalog/per-grivtsova-d-4/</t>
        </is>
      </c>
    </row>
    <row r="133">
      <c r="A133" t="n">
        <v>671</v>
      </c>
      <c r="B133" t="n">
        <v>28</v>
      </c>
      <c r="C133" t="n">
        <v>23</v>
      </c>
      <c r="D133" t="n">
        <v>751473184</v>
      </c>
      <c r="E133" t="inlineStr">
        <is>
          <t>Приморский</t>
        </is>
      </c>
      <c r="F133" t="inlineStr">
        <is>
          <t>Реки Каменки наб, 15к2 стр 1</t>
        </is>
      </c>
      <c r="G133" t="n">
        <v>337</v>
      </c>
      <c r="H133" t="inlineStr">
        <is>
          <t>33 705 000</t>
        </is>
      </c>
      <c r="I133" t="inlineStr">
        <is>
          <t>200 000</t>
        </is>
      </c>
      <c r="J133" t="inlineStr">
        <is>
          <t>У нас дешевле на 33 505 000 (99.4%)</t>
        </is>
      </c>
      <c r="K133" t="inlineStr">
        <is>
          <t>-33 505 000</t>
        </is>
      </c>
      <c r="L133" t="inlineStr">
        <is>
          <t>-99.4%</t>
        </is>
      </c>
      <c r="M133" t="inlineStr">
        <is>
          <t>any_type</t>
        </is>
      </c>
      <c r="N133" t="inlineStr">
        <is>
          <t>no</t>
        </is>
      </c>
      <c r="O133" t="inlineStr">
        <is>
          <t>none</t>
        </is>
      </c>
      <c r="P133">
        <f>HYPERLINK("https://knru.ru/catalog/nab-reki-kamenki-d-15k2-751473184/","ссылка")</f>
        <v/>
      </c>
      <c r="Q133">
        <f>HYPERLINK("https://app.worldcafe.ru/object/20167","ссылка")</f>
        <v/>
      </c>
      <c r="R133" t="inlineStr">
        <is>
          <t>Корпус/строение не совпало</t>
        </is>
      </c>
      <c r="S133" t="n">
        <v>1</v>
      </c>
      <c r="T133" t="inlineStr">
        <is>
          <t>На сайте rent 94.6 м² 200 000 =HYPERLINK("https://app.worldcafe.ru/object/20167","ссылка")</t>
        </is>
      </c>
      <c r="U133" t="n">
        <v>671</v>
      </c>
      <c r="V133" t="n">
        <v>28</v>
      </c>
      <c r="W133" t="n">
        <v>23</v>
      </c>
      <c r="X133" t="n">
        <v>33705000</v>
      </c>
      <c r="Y133" t="n">
        <v>200000</v>
      </c>
      <c r="Z133" t="n">
        <v>-33505000</v>
      </c>
      <c r="AA133" t="inlineStr">
        <is>
          <t>https://knru.ru/catalog/nab-reki-kamenki-d-15k2-751473184/</t>
        </is>
      </c>
    </row>
    <row r="134">
      <c r="A134" t="n">
        <v>672</v>
      </c>
      <c r="B134" t="n">
        <v>28</v>
      </c>
      <c r="C134" t="n">
        <v>24</v>
      </c>
      <c r="D134" t="inlineStr"/>
      <c r="E134" t="inlineStr">
        <is>
          <t>Приморский</t>
        </is>
      </c>
      <c r="F134" t="inlineStr">
        <is>
          <t>Реки Каменки наб, 15к2 стр 1</t>
        </is>
      </c>
      <c r="G134" t="n">
        <v>72</v>
      </c>
      <c r="H134" t="inlineStr">
        <is>
          <t>17 975 000</t>
        </is>
      </c>
      <c r="I134" t="inlineStr">
        <is>
          <t>200 000</t>
        </is>
      </c>
      <c r="J134" t="inlineStr">
        <is>
          <t>У нас дешевле на 17 775 000 (98.9%)</t>
        </is>
      </c>
      <c r="K134" t="inlineStr">
        <is>
          <t>-17 775 000</t>
        </is>
      </c>
      <c r="L134" t="inlineStr">
        <is>
          <t>-98.9%</t>
        </is>
      </c>
      <c r="M134" t="inlineStr">
        <is>
          <t>any_type</t>
        </is>
      </c>
      <c r="N134" t="inlineStr">
        <is>
          <t>no</t>
        </is>
      </c>
      <c r="O134" t="inlineStr">
        <is>
          <t>none</t>
        </is>
      </c>
      <c r="P134">
        <f>HYPERLINK("https://knru.ru/catalog/nab-reki-kamenki-d-15k2/","ссылка")</f>
        <v/>
      </c>
      <c r="Q134">
        <f>HYPERLINK("https://app.worldcafe.ru/object/20167","ссылка")</f>
        <v/>
      </c>
      <c r="R134" t="inlineStr">
        <is>
          <t>Корпус/строение не совпало</t>
        </is>
      </c>
      <c r="S134" t="n">
        <v>1</v>
      </c>
      <c r="T134" t="inlineStr">
        <is>
          <t>На сайте rent 94.6 м² 200 000 =HYPERLINK("https://app.worldcafe.ru/object/20167","ссылка")</t>
        </is>
      </c>
      <c r="U134" t="n">
        <v>672</v>
      </c>
      <c r="V134" t="n">
        <v>28</v>
      </c>
      <c r="W134" t="n">
        <v>24</v>
      </c>
      <c r="X134" t="n">
        <v>17975000</v>
      </c>
      <c r="Y134" t="n">
        <v>200000</v>
      </c>
      <c r="Z134" t="n">
        <v>-17775000</v>
      </c>
      <c r="AA134" t="inlineStr">
        <is>
          <t>https://knru.ru/catalog/nab-reki-kamenki-d-15k2/</t>
        </is>
      </c>
    </row>
    <row r="135">
      <c r="A135" t="n">
        <v>685</v>
      </c>
      <c r="B135" t="n">
        <v>29</v>
      </c>
      <c r="C135" t="n">
        <v>13</v>
      </c>
      <c r="D135" t="n">
        <v>127879038</v>
      </c>
      <c r="E135" t="inlineStr"/>
      <c r="F135" t="inlineStr">
        <is>
          <t>Ручьевский пр-кт, 15</t>
        </is>
      </c>
      <c r="G135" t="n">
        <v>232.5</v>
      </c>
      <c r="H135" t="inlineStr">
        <is>
          <t>57 243 209</t>
        </is>
      </c>
      <c r="I135" t="inlineStr">
        <is>
          <t>16 700 000</t>
        </is>
      </c>
      <c r="J135" t="inlineStr">
        <is>
          <t>У нас дешевле на 40 543 209 (70.8%)</t>
        </is>
      </c>
      <c r="K135" t="inlineStr">
        <is>
          <t>-40 543 209</t>
        </is>
      </c>
      <c r="L135" t="inlineStr">
        <is>
          <t>-70.8%</t>
        </is>
      </c>
      <c r="M135" t="inlineStr">
        <is>
          <t>sale_only</t>
        </is>
      </c>
      <c r="N135" t="inlineStr">
        <is>
          <t>no</t>
        </is>
      </c>
      <c r="O135" t="inlineStr">
        <is>
          <t>none</t>
        </is>
      </c>
      <c r="P135">
        <f>HYPERLINK("https://knru.ru/catalog/ruchyevskiy-pr-127879038/","ссылка")</f>
        <v/>
      </c>
      <c r="Q135">
        <f>HYPERLINK("https://app.worldcafe.ru/object/16878","ссылка")</f>
        <v/>
      </c>
      <c r="R135" t="inlineStr">
        <is>
          <t>По адресу есть, но площадь другая</t>
        </is>
      </c>
      <c r="S135" t="n">
        <v>2</v>
      </c>
      <c r="T135" t="inlineStr">
        <is>
          <t>Архив rent 80 м² 128 000 =HYPERLINK("https://app.worldcafe.ru/object/13962","ссылка") | Архив sale 65 м² 16 700 000 =HYPERLINK("https://app.worldcafe.ru/object/16878","ссылка")</t>
        </is>
      </c>
      <c r="U135" t="n">
        <v>685</v>
      </c>
      <c r="V135" t="n">
        <v>29</v>
      </c>
      <c r="W135" t="n">
        <v>13</v>
      </c>
      <c r="X135" t="n">
        <v>57243209</v>
      </c>
      <c r="Y135" t="n">
        <v>16700000</v>
      </c>
      <c r="Z135" t="n">
        <v>-40543209</v>
      </c>
      <c r="AA135" t="inlineStr">
        <is>
          <t>https://knru.ru/catalog/ruchyevskiy-pr-127879038/</t>
        </is>
      </c>
    </row>
    <row r="136">
      <c r="A136" t="n">
        <v>686</v>
      </c>
      <c r="B136" t="n">
        <v>29</v>
      </c>
      <c r="C136" t="n">
        <v>14</v>
      </c>
      <c r="D136" t="inlineStr"/>
      <c r="E136" t="inlineStr"/>
      <c r="F136" t="inlineStr">
        <is>
          <t>Ручьевский пр-кт, 15</t>
        </is>
      </c>
      <c r="G136" t="n">
        <v>93</v>
      </c>
      <c r="H136" t="inlineStr">
        <is>
          <t>22 732 556</t>
        </is>
      </c>
      <c r="I136" t="inlineStr">
        <is>
          <t>16 700 000</t>
        </is>
      </c>
      <c r="J136" t="inlineStr">
        <is>
          <t>У нас дешевле на 6 032 556 (26.5%)</t>
        </is>
      </c>
      <c r="K136" t="inlineStr">
        <is>
          <t>-6 032 556</t>
        </is>
      </c>
      <c r="L136" t="inlineStr">
        <is>
          <t>-26.5%</t>
        </is>
      </c>
      <c r="M136" t="inlineStr">
        <is>
          <t>sale_only</t>
        </is>
      </c>
      <c r="N136" t="inlineStr">
        <is>
          <t>no</t>
        </is>
      </c>
      <c r="O136" t="inlineStr">
        <is>
          <t>none</t>
        </is>
      </c>
      <c r="P136">
        <f>HYPERLINK("https://knru.ru/catalog/ruchyevskiy-pr/","ссылка")</f>
        <v/>
      </c>
      <c r="Q136">
        <f>HYPERLINK("https://app.worldcafe.ru/object/16878","ссылка")</f>
        <v/>
      </c>
      <c r="R136" t="inlineStr">
        <is>
          <t>По адресу есть, но площадь другая</t>
        </is>
      </c>
      <c r="S136" t="n">
        <v>2</v>
      </c>
      <c r="T136" t="inlineStr">
        <is>
          <t>Архив rent 80 м² 128 000 =HYPERLINK("https://app.worldcafe.ru/object/13962","ссылка") | Архив sale 65 м² 16 700 000 =HYPERLINK("https://app.worldcafe.ru/object/16878","ссылка")</t>
        </is>
      </c>
      <c r="U136" t="n">
        <v>686</v>
      </c>
      <c r="V136" t="n">
        <v>29</v>
      </c>
      <c r="W136" t="n">
        <v>14</v>
      </c>
      <c r="X136" t="n">
        <v>22732556</v>
      </c>
      <c r="Y136" t="n">
        <v>16700000</v>
      </c>
      <c r="Z136" t="n">
        <v>-6032556</v>
      </c>
      <c r="AA136" t="inlineStr">
        <is>
          <t>https://knru.ru/catalog/ruchyevskiy-pr/</t>
        </is>
      </c>
    </row>
    <row r="137">
      <c r="A137" t="n">
        <v>691</v>
      </c>
      <c r="B137" t="n">
        <v>29</v>
      </c>
      <c r="C137" t="n">
        <v>19</v>
      </c>
      <c r="D137" t="n">
        <v>7466080</v>
      </c>
      <c r="E137" t="inlineStr">
        <is>
          <t>ЖК ID Кудрово</t>
        </is>
      </c>
      <c r="F137" t="inlineStr">
        <is>
          <t>Строителей пр-кт, 5к1</t>
        </is>
      </c>
      <c r="G137" t="n">
        <v>153.5</v>
      </c>
      <c r="H137" t="inlineStr">
        <is>
          <t>52 203 600</t>
        </is>
      </c>
      <c r="I137" t="inlineStr">
        <is>
          <t>77 800</t>
        </is>
      </c>
      <c r="J137" t="inlineStr">
        <is>
          <t>У нас дешевле на 52 125 800 (99.9%)</t>
        </is>
      </c>
      <c r="K137" t="inlineStr">
        <is>
          <t>-52 125 800</t>
        </is>
      </c>
      <c r="L137" t="inlineStr">
        <is>
          <t>-99.9%</t>
        </is>
      </c>
      <c r="M137" t="inlineStr">
        <is>
          <t>any_type</t>
        </is>
      </c>
      <c r="N137" t="inlineStr">
        <is>
          <t>no</t>
        </is>
      </c>
      <c r="O137" t="inlineStr">
        <is>
          <t>none</t>
        </is>
      </c>
      <c r="P137">
        <f>HYPERLINK("https://knru.ru/catalog/pr-t-stroiteley-d-5-k-1-7466080/","ссылка")</f>
        <v/>
      </c>
      <c r="Q137">
        <f>HYPERLINK("https://app.worldcafe.ru/object/19413","ссылка")</f>
        <v/>
      </c>
      <c r="R137" t="inlineStr">
        <is>
          <t>По адресу есть, но площадь другая</t>
        </is>
      </c>
      <c r="S137" t="n">
        <v>2</v>
      </c>
      <c r="T137" t="inlineStr">
        <is>
          <t>На сайте rent 39.2 м² 77 800 =HYPERLINK("https://app.worldcafe.ru/object/19413","ссылка") | Без сделки no_deal 38.9 м² =HYPERLINK("https://app.worldcafe.ru/object/19411","ссылка")</t>
        </is>
      </c>
      <c r="U137" t="n">
        <v>691</v>
      </c>
      <c r="V137" t="n">
        <v>29</v>
      </c>
      <c r="W137" t="n">
        <v>19</v>
      </c>
      <c r="X137" t="n">
        <v>52203600</v>
      </c>
      <c r="Y137" t="n">
        <v>77800</v>
      </c>
      <c r="Z137" t="n">
        <v>-52125800</v>
      </c>
      <c r="AA137" t="inlineStr">
        <is>
          <t>https://knru.ru/catalog/pr-t-stroiteley-d-5-k-1-7466080/</t>
        </is>
      </c>
    </row>
    <row r="138">
      <c r="A138" t="n">
        <v>692</v>
      </c>
      <c r="B138" t="n">
        <v>29</v>
      </c>
      <c r="C138" t="n">
        <v>20</v>
      </c>
      <c r="D138" t="n">
        <v>2108345061</v>
      </c>
      <c r="E138" t="inlineStr">
        <is>
          <t>ЖК ID Кудрово</t>
        </is>
      </c>
      <c r="F138" t="inlineStr">
        <is>
          <t>Строителей пр-кт, 5к1</t>
        </is>
      </c>
      <c r="G138" t="n">
        <v>75.40000000000001</v>
      </c>
      <c r="H138" t="inlineStr">
        <is>
          <t>25 639 400</t>
        </is>
      </c>
      <c r="I138" t="inlineStr">
        <is>
          <t>77 800</t>
        </is>
      </c>
      <c r="J138" t="inlineStr">
        <is>
          <t>У нас дешевле на 25 561 600 (99.7%)</t>
        </is>
      </c>
      <c r="K138" t="inlineStr">
        <is>
          <t>-25 561 600</t>
        </is>
      </c>
      <c r="L138" t="inlineStr">
        <is>
          <t>-99.7%</t>
        </is>
      </c>
      <c r="M138" t="inlineStr">
        <is>
          <t>any_type</t>
        </is>
      </c>
      <c r="N138" t="inlineStr">
        <is>
          <t>no</t>
        </is>
      </c>
      <c r="O138" t="inlineStr">
        <is>
          <t>none</t>
        </is>
      </c>
      <c r="P138">
        <f>HYPERLINK("https://knru.ru/catalog/pr-t-stroiteley-d-5-k-1-2108345061/","ссылка")</f>
        <v/>
      </c>
      <c r="Q138">
        <f>HYPERLINK("https://app.worldcafe.ru/object/19413","ссылка")</f>
        <v/>
      </c>
      <c r="R138" t="inlineStr">
        <is>
          <t>По адресу есть, но площадь другая</t>
        </is>
      </c>
      <c r="S138" t="n">
        <v>2</v>
      </c>
      <c r="T138" t="inlineStr">
        <is>
          <t>На сайте rent 39.2 м² 77 800 =HYPERLINK("https://app.worldcafe.ru/object/19413","ссылка") | Без сделки no_deal 38.9 м² =HYPERLINK("https://app.worldcafe.ru/object/19411","ссылка")</t>
        </is>
      </c>
      <c r="U138" t="n">
        <v>692</v>
      </c>
      <c r="V138" t="n">
        <v>29</v>
      </c>
      <c r="W138" t="n">
        <v>20</v>
      </c>
      <c r="X138" t="n">
        <v>25639400</v>
      </c>
      <c r="Y138" t="n">
        <v>77800</v>
      </c>
      <c r="Z138" t="n">
        <v>-25561600</v>
      </c>
      <c r="AA138" t="inlineStr">
        <is>
          <t>https://knru.ru/catalog/pr-t-stroiteley-d-5-k-1-2108345061/</t>
        </is>
      </c>
    </row>
    <row r="139">
      <c r="A139" t="n">
        <v>695</v>
      </c>
      <c r="B139" t="n">
        <v>29</v>
      </c>
      <c r="C139" t="n">
        <v>23</v>
      </c>
      <c r="D139" t="n">
        <v>48521736</v>
      </c>
      <c r="E139" t="inlineStr">
        <is>
          <t>Невский</t>
        </is>
      </c>
      <c r="F139" t="inlineStr">
        <is>
          <t>Октябрьская наб, 34к4</t>
        </is>
      </c>
      <c r="G139" t="n">
        <v>88.2</v>
      </c>
      <c r="H139" t="inlineStr">
        <is>
          <t>26 201 340</t>
        </is>
      </c>
      <c r="I139" t="inlineStr"/>
      <c r="J139" t="inlineStr"/>
      <c r="K139" t="inlineStr"/>
      <c r="L139" t="inlineStr"/>
      <c r="M139" t="inlineStr"/>
      <c r="N139" t="inlineStr">
        <is>
          <t>no</t>
        </is>
      </c>
      <c r="O139" t="inlineStr">
        <is>
          <t>none</t>
        </is>
      </c>
      <c r="P139">
        <f>HYPERLINK("https://knru.ru/catalog/oktyabrskaya-nab-d-34-k-4-48521736/","ссылка")</f>
        <v/>
      </c>
      <c r="Q139" t="inlineStr"/>
      <c r="R139" t="inlineStr">
        <is>
          <t>По адресу есть, но площадь другая</t>
        </is>
      </c>
      <c r="S139" t="n">
        <v>2</v>
      </c>
      <c r="T139" t="inlineStr">
        <is>
          <t>Без сделки no_deal 240 м² =HYPERLINK("https://app.worldcafe.ru/object/13195","ссылка") | Без сделки no_deal 921 м² =HYPERLINK("https://app.worldcafe.ru/object/13193","ссылка")</t>
        </is>
      </c>
      <c r="U139" t="n">
        <v>695</v>
      </c>
      <c r="V139" t="n">
        <v>29</v>
      </c>
      <c r="W139" t="n">
        <v>23</v>
      </c>
      <c r="X139" t="n">
        <v>26201340</v>
      </c>
      <c r="Y139" t="inlineStr"/>
      <c r="Z139" t="inlineStr"/>
      <c r="AA139" t="inlineStr">
        <is>
          <t>https://knru.ru/catalog/oktyabrskaya-nab-d-34-k-4-48521736/</t>
        </is>
      </c>
    </row>
    <row r="140">
      <c r="A140" t="n">
        <v>696</v>
      </c>
      <c r="B140" t="n">
        <v>29</v>
      </c>
      <c r="C140" t="n">
        <v>24</v>
      </c>
      <c r="D140" t="n">
        <v>1</v>
      </c>
      <c r="E140" t="inlineStr">
        <is>
          <t>ЖК ID Кудрово</t>
        </is>
      </c>
      <c r="F140" t="inlineStr">
        <is>
          <t>Строителей пр-кт, 5к1</t>
        </is>
      </c>
      <c r="G140" t="n">
        <v>78.09999999999999</v>
      </c>
      <c r="H140" t="inlineStr">
        <is>
          <t>26 564 200</t>
        </is>
      </c>
      <c r="I140" t="inlineStr">
        <is>
          <t>77 800</t>
        </is>
      </c>
      <c r="J140" t="inlineStr">
        <is>
          <t>У нас дешевле на 26 486 400 (99.7%)</t>
        </is>
      </c>
      <c r="K140" t="inlineStr">
        <is>
          <t>-26 486 400</t>
        </is>
      </c>
      <c r="L140" t="inlineStr">
        <is>
          <t>-99.7%</t>
        </is>
      </c>
      <c r="M140" t="inlineStr">
        <is>
          <t>any_type</t>
        </is>
      </c>
      <c r="N140" t="inlineStr">
        <is>
          <t>no</t>
        </is>
      </c>
      <c r="O140" t="inlineStr">
        <is>
          <t>none</t>
        </is>
      </c>
      <c r="P140">
        <f>HYPERLINK("https://knru.ru/catalog/pr-t-stroiteley-d-5-k-1/","ссылка")</f>
        <v/>
      </c>
      <c r="Q140">
        <f>HYPERLINK("https://app.worldcafe.ru/object/19413","ссылка")</f>
        <v/>
      </c>
      <c r="R140" t="inlineStr">
        <is>
          <t>По адресу есть, но площадь другая</t>
        </is>
      </c>
      <c r="S140" t="n">
        <v>2</v>
      </c>
      <c r="T140" t="inlineStr">
        <is>
          <t>На сайте rent 39.2 м² 77 800 =HYPERLINK("https://app.worldcafe.ru/object/19413","ссылка") | Без сделки no_deal 38.9 м² =HYPERLINK("https://app.worldcafe.ru/object/19411","ссылка")</t>
        </is>
      </c>
      <c r="U140" t="n">
        <v>696</v>
      </c>
      <c r="V140" t="n">
        <v>29</v>
      </c>
      <c r="W140" t="n">
        <v>24</v>
      </c>
      <c r="X140" t="n">
        <v>26564200</v>
      </c>
      <c r="Y140" t="n">
        <v>77800</v>
      </c>
      <c r="Z140" t="n">
        <v>-26486400</v>
      </c>
      <c r="AA140" t="inlineStr">
        <is>
          <t>https://knru.ru/catalog/pr-t-stroiteley-d-5-k-1/</t>
        </is>
      </c>
    </row>
    <row r="141">
      <c r="A141" t="n">
        <v>698</v>
      </c>
      <c r="B141" t="n">
        <v>30</v>
      </c>
      <c r="C141" t="n">
        <v>2</v>
      </c>
      <c r="D141" t="inlineStr"/>
      <c r="E141" t="inlineStr"/>
      <c r="F141" t="inlineStr">
        <is>
          <t>Херсонская ул, 43к2</t>
        </is>
      </c>
      <c r="G141" t="n">
        <v>127</v>
      </c>
      <c r="H141" t="inlineStr">
        <is>
          <t>88 900 000</t>
        </is>
      </c>
      <c r="I141" t="inlineStr">
        <is>
          <t>10 300 000</t>
        </is>
      </c>
      <c r="J141" t="inlineStr">
        <is>
          <t>У нас дешевле на 78 600 000 (88.4%)</t>
        </is>
      </c>
      <c r="K141" t="inlineStr">
        <is>
          <t>-78 600 000</t>
        </is>
      </c>
      <c r="L141" t="inlineStr">
        <is>
          <t>-88.4%</t>
        </is>
      </c>
      <c r="M141" t="inlineStr">
        <is>
          <t>sale_only</t>
        </is>
      </c>
      <c r="N141" t="inlineStr">
        <is>
          <t>no</t>
        </is>
      </c>
      <c r="O141" t="inlineStr">
        <is>
          <t>none</t>
        </is>
      </c>
      <c r="P141">
        <f>HYPERLINK("https://knru.ru/catalog/khersonskaya-ul43-k2/","ссылка")</f>
        <v/>
      </c>
      <c r="Q141">
        <f>HYPERLINK("https://app.worldcafe.ru/object/19781","ссылка")</f>
        <v/>
      </c>
      <c r="R141" t="inlineStr">
        <is>
          <t>По адресу есть, но площадь другая</t>
        </is>
      </c>
      <c r="S141" t="n">
        <v>1</v>
      </c>
      <c r="T141" t="inlineStr">
        <is>
          <t>На сайте sale 25.8 м² 10 300 000 =HYPERLINK("https://app.worldcafe.ru/object/19781","ссылка")</t>
        </is>
      </c>
      <c r="U141" t="n">
        <v>698</v>
      </c>
      <c r="V141" t="n">
        <v>30</v>
      </c>
      <c r="W141" t="n">
        <v>2</v>
      </c>
      <c r="X141" t="n">
        <v>88900000</v>
      </c>
      <c r="Y141" t="n">
        <v>10300000</v>
      </c>
      <c r="Z141" t="n">
        <v>-78600000</v>
      </c>
      <c r="AA141" t="inlineStr">
        <is>
          <t>https://knru.ru/catalog/khersonskaya-ul43-k2/</t>
        </is>
      </c>
    </row>
    <row r="142">
      <c r="A142" t="n">
        <v>701</v>
      </c>
      <c r="B142" t="n">
        <v>30</v>
      </c>
      <c r="C142" t="n">
        <v>5</v>
      </c>
      <c r="D142" t="n">
        <v>101</v>
      </c>
      <c r="E142" t="inlineStr">
        <is>
          <t>Кировский</t>
        </is>
      </c>
      <c r="F142" t="inlineStr">
        <is>
          <t>Ветеранов пр-кт, 101</t>
        </is>
      </c>
      <c r="G142" t="n">
        <v>2659.6</v>
      </c>
      <c r="H142" t="inlineStr">
        <is>
          <t>352 000 000</t>
        </is>
      </c>
      <c r="I142" t="inlineStr">
        <is>
          <t>110 000 000</t>
        </is>
      </c>
      <c r="J142" t="inlineStr">
        <is>
          <t>У нас дешевле на 242 000 000 (68.8%)</t>
        </is>
      </c>
      <c r="K142" t="inlineStr">
        <is>
          <t>-242 000 000</t>
        </is>
      </c>
      <c r="L142" t="inlineStr">
        <is>
          <t>-68.8%</t>
        </is>
      </c>
      <c r="M142" t="inlineStr">
        <is>
          <t>sale_only</t>
        </is>
      </c>
      <c r="N142" t="inlineStr">
        <is>
          <t>no</t>
        </is>
      </c>
      <c r="O142" t="inlineStr">
        <is>
          <t>none</t>
        </is>
      </c>
      <c r="P142">
        <f>HYPERLINK("https://knru.ru/catalog/pr-veteranov-d-101/","ссылка")</f>
        <v/>
      </c>
      <c r="Q142">
        <f>HYPERLINK("https://app.worldcafe.ru/object/13401","ссылка")</f>
        <v/>
      </c>
      <c r="R142" t="inlineStr">
        <is>
          <t>По адресу есть, но площадь другая</t>
        </is>
      </c>
      <c r="S142" t="n">
        <v>5</v>
      </c>
      <c r="T142" t="inlineStr">
        <is>
          <t>Архив rent 500 м² 350 000 =HYPERLINK("https://app.worldcafe.ru/object/18256","ссылка") | Архив rent 482.5 м² 500 000 =HYPERLINK("https://app.worldcafe.ru/object/13401","ссылка") | Архив sale 482.5 м² 110 000 000 =HYPERLINK("https://app.worldcafe.ru/object/13401","ссылка") | Архив rent 167 м² 250 000 =HYPERLINK("https://app.worldcafe.ru/object/14618","ссылка") | Без сделки no_deal 166 м² =HYPERLINK("https://app.worldcafe.ru/object/19133","ссылка")</t>
        </is>
      </c>
      <c r="U142" t="n">
        <v>701</v>
      </c>
      <c r="V142" t="n">
        <v>30</v>
      </c>
      <c r="W142" t="n">
        <v>5</v>
      </c>
      <c r="X142" t="n">
        <v>352000000</v>
      </c>
      <c r="Y142" t="n">
        <v>110000000</v>
      </c>
      <c r="Z142" t="n">
        <v>-242000000</v>
      </c>
      <c r="AA142" t="inlineStr">
        <is>
          <t>https://knru.ru/catalog/pr-veteranov-d-101/</t>
        </is>
      </c>
    </row>
    <row r="143">
      <c r="A143" t="n">
        <v>712</v>
      </c>
      <c r="B143" t="n">
        <v>30</v>
      </c>
      <c r="C143" t="n">
        <v>16</v>
      </c>
      <c r="D143" t="n">
        <v>6</v>
      </c>
      <c r="E143" t="inlineStr">
        <is>
          <t>Красногвардейский</t>
        </is>
      </c>
      <c r="F143" t="inlineStr">
        <is>
          <t>Энергетиков пр-кт, 6</t>
        </is>
      </c>
      <c r="G143" t="n">
        <v>42.7</v>
      </c>
      <c r="H143" t="inlineStr">
        <is>
          <t>19 181 280</t>
        </is>
      </c>
      <c r="I143" t="inlineStr">
        <is>
          <t>90 000 000</t>
        </is>
      </c>
      <c r="J143" t="inlineStr">
        <is>
          <t>У нас дороже на 70 818 720 (369.2%)</t>
        </is>
      </c>
      <c r="K143" t="inlineStr">
        <is>
          <t>70 818 720</t>
        </is>
      </c>
      <c r="L143" t="inlineStr">
        <is>
          <t>369.2%</t>
        </is>
      </c>
      <c r="M143" t="inlineStr">
        <is>
          <t>sale_only</t>
        </is>
      </c>
      <c r="N143" t="inlineStr">
        <is>
          <t>no</t>
        </is>
      </c>
      <c r="O143" t="inlineStr">
        <is>
          <t>none</t>
        </is>
      </c>
      <c r="P143">
        <f>HYPERLINK("https://knru.ru/catalog/pr-energetikov-d-6/","ссылка")</f>
        <v/>
      </c>
      <c r="Q143">
        <f>HYPERLINK("https://app.worldcafe.ru/object/18923","ссылка")</f>
        <v/>
      </c>
      <c r="R143" t="inlineStr">
        <is>
          <t>По адресу есть, но площадь другая</t>
        </is>
      </c>
      <c r="S143" t="n">
        <v>3</v>
      </c>
      <c r="T143" t="inlineStr">
        <is>
          <t>Архив rent 311.9 м² 700 000 =HYPERLINK("https://app.worldcafe.ru/object/18923","ссылка") | Архив sale 311.9 м² 90 000 000 =HYPERLINK("https://app.worldcafe.ru/object/18923","ссылка") | Архив sale 419.2 м² 90 000 000 =HYPERLINK("https://app.worldcafe.ru/object/19152","ссылка")</t>
        </is>
      </c>
      <c r="U143" t="n">
        <v>712</v>
      </c>
      <c r="V143" t="n">
        <v>30</v>
      </c>
      <c r="W143" t="n">
        <v>16</v>
      </c>
      <c r="X143" t="n">
        <v>19181280</v>
      </c>
      <c r="Y143" t="n">
        <v>90000000</v>
      </c>
      <c r="Z143" t="n">
        <v>70818720</v>
      </c>
      <c r="AA143" t="inlineStr">
        <is>
          <t>https://knru.ru/catalog/pr-energetikov-d-6/</t>
        </is>
      </c>
    </row>
    <row r="144">
      <c r="A144" t="n">
        <v>721</v>
      </c>
      <c r="B144" t="n">
        <v>31</v>
      </c>
      <c r="C144" t="n">
        <v>1</v>
      </c>
      <c r="D144" t="n">
        <v>43987853</v>
      </c>
      <c r="E144" t="inlineStr">
        <is>
          <t>Красносельский</t>
        </is>
      </c>
      <c r="F144" t="inlineStr">
        <is>
          <t>Восстановления ул, 19</t>
        </is>
      </c>
      <c r="G144" t="n">
        <v>75.8</v>
      </c>
      <c r="H144" t="inlineStr">
        <is>
          <t>12 734 400</t>
        </is>
      </c>
      <c r="I144" t="inlineStr">
        <is>
          <t>17 813 400</t>
        </is>
      </c>
      <c r="J144" t="inlineStr">
        <is>
          <t>У нас дороже на 5 079 000 (39.9%)</t>
        </is>
      </c>
      <c r="K144" t="inlineStr">
        <is>
          <t>5 079 000</t>
        </is>
      </c>
      <c r="L144" t="inlineStr">
        <is>
          <t>39.9%</t>
        </is>
      </c>
      <c r="M144" t="inlineStr">
        <is>
          <t>sale_only</t>
        </is>
      </c>
      <c r="N144" t="inlineStr">
        <is>
          <t>no</t>
        </is>
      </c>
      <c r="O144" t="inlineStr">
        <is>
          <t>none</t>
        </is>
      </c>
      <c r="P144">
        <f>HYPERLINK("https://knru.ru/catalog/ul-vosstanovleniya-d-19-43987853/","ссылка")</f>
        <v/>
      </c>
      <c r="Q144">
        <f>HYPERLINK("https://app.worldcafe.ru/object/15625","ссылка")</f>
        <v/>
      </c>
      <c r="R144" t="inlineStr">
        <is>
          <t>По адресу есть, но площадь другая</t>
        </is>
      </c>
      <c r="S144" t="n">
        <v>2</v>
      </c>
      <c r="T144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144" t="n">
        <v>721</v>
      </c>
      <c r="V144" t="n">
        <v>31</v>
      </c>
      <c r="W144" t="n">
        <v>1</v>
      </c>
      <c r="X144" t="n">
        <v>12734400</v>
      </c>
      <c r="Y144" t="n">
        <v>17813400</v>
      </c>
      <c r="Z144" t="n">
        <v>5079000</v>
      </c>
      <c r="AA144" t="inlineStr">
        <is>
          <t>https://knru.ru/catalog/ul-vosstanovleniya-d-19-43987853/</t>
        </is>
      </c>
    </row>
    <row r="145">
      <c r="A145" t="n">
        <v>722</v>
      </c>
      <c r="B145" t="n">
        <v>31</v>
      </c>
      <c r="C145" t="n">
        <v>2</v>
      </c>
      <c r="D145" t="n">
        <v>562763947</v>
      </c>
      <c r="E145" t="inlineStr">
        <is>
          <t>Фрунзенский</t>
        </is>
      </c>
      <c r="F145" t="inlineStr">
        <is>
          <t>Салова ул, 61</t>
        </is>
      </c>
      <c r="G145" t="n">
        <v>39.6</v>
      </c>
      <c r="H145" t="inlineStr">
        <is>
          <t>10 692 000</t>
        </is>
      </c>
      <c r="I145" t="inlineStr">
        <is>
          <t>95 000 000</t>
        </is>
      </c>
      <c r="J145" t="inlineStr">
        <is>
          <t>У нас дороже на 84 308 000 (788.5%)</t>
        </is>
      </c>
      <c r="K145" t="inlineStr">
        <is>
          <t>84 308 000</t>
        </is>
      </c>
      <c r="L145" t="inlineStr">
        <is>
          <t>788.5%</t>
        </is>
      </c>
      <c r="M145" t="inlineStr">
        <is>
          <t>sale_only</t>
        </is>
      </c>
      <c r="N145" t="inlineStr">
        <is>
          <t>no</t>
        </is>
      </c>
      <c r="O145" t="inlineStr">
        <is>
          <t>none</t>
        </is>
      </c>
      <c r="P145">
        <f>HYPERLINK("https://knru.ru/catalog/ul-salova-d-61-562763947/","ссылка")</f>
        <v/>
      </c>
      <c r="Q145">
        <f>HYPERLINK("https://app.worldcafe.ru/object/12710","ссылка")</f>
        <v/>
      </c>
      <c r="R145" t="inlineStr">
        <is>
          <t>По адресу есть, но площадь другая</t>
        </is>
      </c>
      <c r="S145" t="n">
        <v>2</v>
      </c>
      <c r="T145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45" t="n">
        <v>722</v>
      </c>
      <c r="V145" t="n">
        <v>31</v>
      </c>
      <c r="W145" t="n">
        <v>2</v>
      </c>
      <c r="X145" t="n">
        <v>10692000</v>
      </c>
      <c r="Y145" t="n">
        <v>95000000</v>
      </c>
      <c r="Z145" t="n">
        <v>84308000</v>
      </c>
      <c r="AA145" t="inlineStr">
        <is>
          <t>https://knru.ru/catalog/ul-salova-d-61-562763947/</t>
        </is>
      </c>
    </row>
    <row r="146">
      <c r="A146" t="n">
        <v>723</v>
      </c>
      <c r="B146" t="n">
        <v>31</v>
      </c>
      <c r="C146" t="n">
        <v>3</v>
      </c>
      <c r="D146" t="n">
        <v>2125267199</v>
      </c>
      <c r="E146" t="inlineStr">
        <is>
          <t>Фрунзенский</t>
        </is>
      </c>
      <c r="F146" t="inlineStr">
        <is>
          <t>Салова ул, 61</t>
        </is>
      </c>
      <c r="G146" t="n">
        <v>83</v>
      </c>
      <c r="H146" t="inlineStr">
        <is>
          <t>21 762 000</t>
        </is>
      </c>
      <c r="I146" t="inlineStr">
        <is>
          <t>95 000 000</t>
        </is>
      </c>
      <c r="J146" t="inlineStr">
        <is>
          <t>У нас дороже на 73 238 000 (336.5%)</t>
        </is>
      </c>
      <c r="K146" t="inlineStr">
        <is>
          <t>73 238 000</t>
        </is>
      </c>
      <c r="L146" t="inlineStr">
        <is>
          <t>336.5%</t>
        </is>
      </c>
      <c r="M146" t="inlineStr">
        <is>
          <t>sale_only</t>
        </is>
      </c>
      <c r="N146" t="inlineStr">
        <is>
          <t>no</t>
        </is>
      </c>
      <c r="O146" t="inlineStr">
        <is>
          <t>none</t>
        </is>
      </c>
      <c r="P146">
        <f>HYPERLINK("https://knru.ru/catalog/ul-salova-d-61-2125267199/","ссылка")</f>
        <v/>
      </c>
      <c r="Q146">
        <f>HYPERLINK("https://app.worldcafe.ru/object/12710","ссылка")</f>
        <v/>
      </c>
      <c r="R146" t="inlineStr">
        <is>
          <t>По адресу есть, но площадь другая</t>
        </is>
      </c>
      <c r="S146" t="n">
        <v>2</v>
      </c>
      <c r="T146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46" t="n">
        <v>723</v>
      </c>
      <c r="V146" t="n">
        <v>31</v>
      </c>
      <c r="W146" t="n">
        <v>3</v>
      </c>
      <c r="X146" t="n">
        <v>21762000</v>
      </c>
      <c r="Y146" t="n">
        <v>95000000</v>
      </c>
      <c r="Z146" t="n">
        <v>73238000</v>
      </c>
      <c r="AA146" t="inlineStr">
        <is>
          <t>https://knru.ru/catalog/ul-salova-d-61-2125267199/</t>
        </is>
      </c>
    </row>
    <row r="147">
      <c r="A147" t="n">
        <v>724</v>
      </c>
      <c r="B147" t="n">
        <v>31</v>
      </c>
      <c r="C147" t="n">
        <v>4</v>
      </c>
      <c r="D147" t="n">
        <v>966007628</v>
      </c>
      <c r="E147" t="inlineStr">
        <is>
          <t>Фрунзенский</t>
        </is>
      </c>
      <c r="F147" t="inlineStr">
        <is>
          <t>Салова ул, 61</t>
        </is>
      </c>
      <c r="G147" t="n">
        <v>83.2</v>
      </c>
      <c r="H147" t="inlineStr">
        <is>
          <t>25 792 000</t>
        </is>
      </c>
      <c r="I147" t="inlineStr">
        <is>
          <t>95 000 000</t>
        </is>
      </c>
      <c r="J147" t="inlineStr">
        <is>
          <t>У нас дороже на 69 208 000 (268.3%)</t>
        </is>
      </c>
      <c r="K147" t="inlineStr">
        <is>
          <t>69 208 000</t>
        </is>
      </c>
      <c r="L147" t="inlineStr">
        <is>
          <t>268.3%</t>
        </is>
      </c>
      <c r="M147" t="inlineStr">
        <is>
          <t>sale_only</t>
        </is>
      </c>
      <c r="N147" t="inlineStr">
        <is>
          <t>no</t>
        </is>
      </c>
      <c r="O147" t="inlineStr">
        <is>
          <t>none</t>
        </is>
      </c>
      <c r="P147">
        <f>HYPERLINK("https://knru.ru/catalog/ul-salova-d-61-966007628/","ссылка")</f>
        <v/>
      </c>
      <c r="Q147">
        <f>HYPERLINK("https://app.worldcafe.ru/object/12710","ссылка")</f>
        <v/>
      </c>
      <c r="R147" t="inlineStr">
        <is>
          <t>По адресу есть, но площадь другая</t>
        </is>
      </c>
      <c r="S147" t="n">
        <v>2</v>
      </c>
      <c r="T147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47" t="n">
        <v>724</v>
      </c>
      <c r="V147" t="n">
        <v>31</v>
      </c>
      <c r="W147" t="n">
        <v>4</v>
      </c>
      <c r="X147" t="n">
        <v>25792000</v>
      </c>
      <c r="Y147" t="n">
        <v>95000000</v>
      </c>
      <c r="Z147" t="n">
        <v>69208000</v>
      </c>
      <c r="AA147" t="inlineStr">
        <is>
          <t>https://knru.ru/catalog/ul-salova-d-61-966007628/</t>
        </is>
      </c>
    </row>
    <row r="148">
      <c r="A148" t="n">
        <v>725</v>
      </c>
      <c r="B148" t="n">
        <v>31</v>
      </c>
      <c r="C148" t="n">
        <v>5</v>
      </c>
      <c r="D148" t="n">
        <v>121238694</v>
      </c>
      <c r="E148" t="inlineStr">
        <is>
          <t>Фрунзенский</t>
        </is>
      </c>
      <c r="F148" t="inlineStr">
        <is>
          <t>Салова ул, 61</t>
        </is>
      </c>
      <c r="G148" t="n">
        <v>71.2</v>
      </c>
      <c r="H148" t="inlineStr">
        <is>
          <t>18 512 000</t>
        </is>
      </c>
      <c r="I148" t="inlineStr">
        <is>
          <t>95 000 000</t>
        </is>
      </c>
      <c r="J148" t="inlineStr">
        <is>
          <t>У нас дороже на 76 488 000 (413.2%)</t>
        </is>
      </c>
      <c r="K148" t="inlineStr">
        <is>
          <t>76 488 000</t>
        </is>
      </c>
      <c r="L148" t="inlineStr">
        <is>
          <t>413.2%</t>
        </is>
      </c>
      <c r="M148" t="inlineStr">
        <is>
          <t>sale_only</t>
        </is>
      </c>
      <c r="N148" t="inlineStr">
        <is>
          <t>no</t>
        </is>
      </c>
      <c r="O148" t="inlineStr">
        <is>
          <t>none</t>
        </is>
      </c>
      <c r="P148">
        <f>HYPERLINK("https://knru.ru/catalog/ul-salova-d-61-121238694/","ссылка")</f>
        <v/>
      </c>
      <c r="Q148">
        <f>HYPERLINK("https://app.worldcafe.ru/object/12710","ссылка")</f>
        <v/>
      </c>
      <c r="R148" t="inlineStr">
        <is>
          <t>По адресу есть, но площадь другая</t>
        </is>
      </c>
      <c r="S148" t="n">
        <v>2</v>
      </c>
      <c r="T148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48" t="n">
        <v>725</v>
      </c>
      <c r="V148" t="n">
        <v>31</v>
      </c>
      <c r="W148" t="n">
        <v>5</v>
      </c>
      <c r="X148" t="n">
        <v>18512000</v>
      </c>
      <c r="Y148" t="n">
        <v>95000000</v>
      </c>
      <c r="Z148" t="n">
        <v>76488000</v>
      </c>
      <c r="AA148" t="inlineStr">
        <is>
          <t>https://knru.ru/catalog/ul-salova-d-61-121238694/</t>
        </is>
      </c>
    </row>
    <row r="149">
      <c r="A149" t="n">
        <v>726</v>
      </c>
      <c r="B149" t="n">
        <v>31</v>
      </c>
      <c r="C149" t="n">
        <v>6</v>
      </c>
      <c r="D149" t="n">
        <v>1035842874</v>
      </c>
      <c r="E149" t="inlineStr">
        <is>
          <t>Фрунзенский</t>
        </is>
      </c>
      <c r="F149" t="inlineStr">
        <is>
          <t>Салова ул, 61</t>
        </is>
      </c>
      <c r="G149" t="n">
        <v>56.4</v>
      </c>
      <c r="H149" t="inlineStr">
        <is>
          <t>15 228 000</t>
        </is>
      </c>
      <c r="I149" t="inlineStr">
        <is>
          <t>95 000 000</t>
        </is>
      </c>
      <c r="J149" t="inlineStr">
        <is>
          <t>У нас дороже на 79 772 000 (523.9%)</t>
        </is>
      </c>
      <c r="K149" t="inlineStr">
        <is>
          <t>79 772 000</t>
        </is>
      </c>
      <c r="L149" t="inlineStr">
        <is>
          <t>523.9%</t>
        </is>
      </c>
      <c r="M149" t="inlineStr">
        <is>
          <t>sale_only</t>
        </is>
      </c>
      <c r="N149" t="inlineStr">
        <is>
          <t>no</t>
        </is>
      </c>
      <c r="O149" t="inlineStr">
        <is>
          <t>none</t>
        </is>
      </c>
      <c r="P149">
        <f>HYPERLINK("https://knru.ru/catalog/ul-salova-d-61-1035842874/","ссылка")</f>
        <v/>
      </c>
      <c r="Q149">
        <f>HYPERLINK("https://app.worldcafe.ru/object/12710","ссылка")</f>
        <v/>
      </c>
      <c r="R149" t="inlineStr">
        <is>
          <t>По адресу есть, но площадь другая</t>
        </is>
      </c>
      <c r="S149" t="n">
        <v>2</v>
      </c>
      <c r="T149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49" t="n">
        <v>726</v>
      </c>
      <c r="V149" t="n">
        <v>31</v>
      </c>
      <c r="W149" t="n">
        <v>6</v>
      </c>
      <c r="X149" t="n">
        <v>15228000</v>
      </c>
      <c r="Y149" t="n">
        <v>95000000</v>
      </c>
      <c r="Z149" t="n">
        <v>79772000</v>
      </c>
      <c r="AA149" t="inlineStr">
        <is>
          <t>https://knru.ru/catalog/ul-salova-d-61-1035842874/</t>
        </is>
      </c>
    </row>
    <row r="150">
      <c r="A150" t="n">
        <v>727</v>
      </c>
      <c r="B150" t="n">
        <v>31</v>
      </c>
      <c r="C150" t="n">
        <v>7</v>
      </c>
      <c r="D150" t="n">
        <v>1914773371</v>
      </c>
      <c r="E150" t="inlineStr">
        <is>
          <t>Фрунзенский</t>
        </is>
      </c>
      <c r="F150" t="inlineStr">
        <is>
          <t>Салова ул, 61</t>
        </is>
      </c>
      <c r="G150" t="n">
        <v>82.09999999999999</v>
      </c>
      <c r="H150" t="inlineStr">
        <is>
          <t>20 935 500</t>
        </is>
      </c>
      <c r="I150" t="inlineStr">
        <is>
          <t>95 000 000</t>
        </is>
      </c>
      <c r="J150" t="inlineStr">
        <is>
          <t>У нас дороже на 74 064 500 (353.8%)</t>
        </is>
      </c>
      <c r="K150" t="inlineStr">
        <is>
          <t>74 064 500</t>
        </is>
      </c>
      <c r="L150" t="inlineStr">
        <is>
          <t>353.8%</t>
        </is>
      </c>
      <c r="M150" t="inlineStr">
        <is>
          <t>sale_only</t>
        </is>
      </c>
      <c r="N150" t="inlineStr">
        <is>
          <t>no</t>
        </is>
      </c>
      <c r="O150" t="inlineStr">
        <is>
          <t>none</t>
        </is>
      </c>
      <c r="P150">
        <f>HYPERLINK("https://knru.ru/catalog/ul-salova-d-61-1914773371/","ссылка")</f>
        <v/>
      </c>
      <c r="Q150">
        <f>HYPERLINK("https://app.worldcafe.ru/object/12710","ссылка")</f>
        <v/>
      </c>
      <c r="R150" t="inlineStr">
        <is>
          <t>По адресу есть, но площадь другая</t>
        </is>
      </c>
      <c r="S150" t="n">
        <v>2</v>
      </c>
      <c r="T150" t="inlineStr">
        <is>
          <t>Архив rent 232 м² 580 000 =HYPERLINK("https://app.worldcafe.ru/object/12710","ссылка") | Архив sale 232 м² 95 000 000 =HYPERLINK("https://app.worldcafe.ru/object/12710","ссылка")</t>
        </is>
      </c>
      <c r="U150" t="n">
        <v>727</v>
      </c>
      <c r="V150" t="n">
        <v>31</v>
      </c>
      <c r="W150" t="n">
        <v>7</v>
      </c>
      <c r="X150" t="n">
        <v>20935500</v>
      </c>
      <c r="Y150" t="n">
        <v>95000000</v>
      </c>
      <c r="Z150" t="n">
        <v>74064500</v>
      </c>
      <c r="AA150" t="inlineStr">
        <is>
          <t>https://knru.ru/catalog/ul-salova-d-61-1914773371/</t>
        </is>
      </c>
    </row>
    <row r="151">
      <c r="A151" t="n">
        <v>751</v>
      </c>
      <c r="B151" t="n">
        <v>32</v>
      </c>
      <c r="C151" t="n">
        <v>7</v>
      </c>
      <c r="D151" t="n">
        <v>1815446905</v>
      </c>
      <c r="E151" t="inlineStr">
        <is>
          <t>Невский</t>
        </is>
      </c>
      <c r="F151" t="inlineStr">
        <is>
          <t>Обуховской Обороны пр-кт, 38</t>
        </is>
      </c>
      <c r="G151" t="n">
        <v>103.7</v>
      </c>
      <c r="H151" t="inlineStr">
        <is>
          <t>42 944 220</t>
        </is>
      </c>
      <c r="I151" t="inlineStr">
        <is>
          <t>0</t>
        </is>
      </c>
      <c r="J151" t="inlineStr">
        <is>
          <t>У нас дешевле на 42 944 220 (100.0%)</t>
        </is>
      </c>
      <c r="K151" t="inlineStr">
        <is>
          <t>-42 944 220</t>
        </is>
      </c>
      <c r="L151" t="inlineStr">
        <is>
          <t>-100.0%</t>
        </is>
      </c>
      <c r="M151" t="inlineStr">
        <is>
          <t>any_type</t>
        </is>
      </c>
      <c r="N151" t="inlineStr">
        <is>
          <t>no</t>
        </is>
      </c>
      <c r="O151" t="inlineStr">
        <is>
          <t>none</t>
        </is>
      </c>
      <c r="P151">
        <f>HYPERLINK("https://knru.ru/catalog/pr-obukhovskoy-oborony-d-38-1815446905/","ссылка")</f>
        <v/>
      </c>
      <c r="Q151">
        <f>HYPERLINK("https://app.worldcafe.ru/object/19747","ссылка")</f>
        <v/>
      </c>
      <c r="R151" t="inlineStr">
        <is>
          <t>По адресу есть, но площадь другая</t>
        </is>
      </c>
      <c r="S151" t="n">
        <v>2</v>
      </c>
      <c r="T151" t="inlineStr">
        <is>
          <t>Архив rent 76.5 м² 0 =HYPERLINK("https://app.worldcafe.ru/object/19747","ссылка") | На сайте rent 803.3 м² 1 600 000 =HYPERLINK("https://app.worldcafe.ru/object/19284","ссылка")</t>
        </is>
      </c>
      <c r="U151" t="n">
        <v>751</v>
      </c>
      <c r="V151" t="n">
        <v>32</v>
      </c>
      <c r="W151" t="n">
        <v>7</v>
      </c>
      <c r="X151" t="n">
        <v>42944220</v>
      </c>
      <c r="Y151" t="n">
        <v>0</v>
      </c>
      <c r="Z151" t="n">
        <v>-42944220</v>
      </c>
      <c r="AA151" t="inlineStr">
        <is>
          <t>https://knru.ru/catalog/pr-obukhovskoy-oborony-d-38-1815446905/</t>
        </is>
      </c>
    </row>
    <row r="152">
      <c r="A152" t="n">
        <v>752</v>
      </c>
      <c r="B152" t="n">
        <v>32</v>
      </c>
      <c r="C152" t="n">
        <v>8</v>
      </c>
      <c r="D152" t="n">
        <v>463718154</v>
      </c>
      <c r="E152" t="inlineStr">
        <is>
          <t>Невский</t>
        </is>
      </c>
      <c r="F152" t="inlineStr">
        <is>
          <t>Обуховской Обороны пр-кт, 38</t>
        </is>
      </c>
      <c r="G152" t="n">
        <v>58</v>
      </c>
      <c r="H152" t="inlineStr">
        <is>
          <t>23 999 580</t>
        </is>
      </c>
      <c r="I152" t="inlineStr">
        <is>
          <t>0</t>
        </is>
      </c>
      <c r="J152" t="inlineStr">
        <is>
          <t>У нас дешевле на 23 999 580 (100.0%)</t>
        </is>
      </c>
      <c r="K152" t="inlineStr">
        <is>
          <t>-23 999 580</t>
        </is>
      </c>
      <c r="L152" t="inlineStr">
        <is>
          <t>-100.0%</t>
        </is>
      </c>
      <c r="M152" t="inlineStr">
        <is>
          <t>any_type</t>
        </is>
      </c>
      <c r="N152" t="inlineStr">
        <is>
          <t>no</t>
        </is>
      </c>
      <c r="O152" t="inlineStr">
        <is>
          <t>none</t>
        </is>
      </c>
      <c r="P152">
        <f>HYPERLINK("https://knru.ru/catalog/pr-obukhovskoy-oborony-d-38-463718154/","ссылка")</f>
        <v/>
      </c>
      <c r="Q152">
        <f>HYPERLINK("https://app.worldcafe.ru/object/19747","ссылка")</f>
        <v/>
      </c>
      <c r="R152" t="inlineStr">
        <is>
          <t>По адресу есть, но площадь другая</t>
        </is>
      </c>
      <c r="S152" t="n">
        <v>2</v>
      </c>
      <c r="T152" t="inlineStr">
        <is>
          <t>Архив rent 76.5 м² 0 =HYPERLINK("https://app.worldcafe.ru/object/19747","ссылка") | На сайте rent 803.3 м² 1 600 000 =HYPERLINK("https://app.worldcafe.ru/object/19284","ссылка")</t>
        </is>
      </c>
      <c r="U152" t="n">
        <v>752</v>
      </c>
      <c r="V152" t="n">
        <v>32</v>
      </c>
      <c r="W152" t="n">
        <v>8</v>
      </c>
      <c r="X152" t="n">
        <v>23999580</v>
      </c>
      <c r="Y152" t="n">
        <v>0</v>
      </c>
      <c r="Z152" t="n">
        <v>-23999580</v>
      </c>
      <c r="AA152" t="inlineStr">
        <is>
          <t>https://knru.ru/catalog/pr-obukhovskoy-oborony-d-38-463718154/</t>
        </is>
      </c>
    </row>
    <row r="153">
      <c r="A153" t="n">
        <v>762</v>
      </c>
      <c r="B153" t="n">
        <v>32</v>
      </c>
      <c r="C153" t="n">
        <v>18</v>
      </c>
      <c r="D153" t="n">
        <v>1271126333</v>
      </c>
      <c r="E153" t="inlineStr">
        <is>
          <t>Красносельский</t>
        </is>
      </c>
      <c r="F153" t="inlineStr">
        <is>
          <t>Патриотов пр-кт, 35</t>
        </is>
      </c>
      <c r="G153" t="n">
        <v>72.90000000000001</v>
      </c>
      <c r="H153" t="inlineStr">
        <is>
          <t>24 276 020</t>
        </is>
      </c>
      <c r="I153" t="inlineStr">
        <is>
          <t>0</t>
        </is>
      </c>
      <c r="J153" t="inlineStr">
        <is>
          <t>У нас дешевле на 24 276 020 (100.0%)</t>
        </is>
      </c>
      <c r="K153" t="inlineStr">
        <is>
          <t>-24 276 020</t>
        </is>
      </c>
      <c r="L153" t="inlineStr">
        <is>
          <t>-100.0%</t>
        </is>
      </c>
      <c r="M153" t="inlineStr">
        <is>
          <t>any_type</t>
        </is>
      </c>
      <c r="N153" t="inlineStr">
        <is>
          <t>no</t>
        </is>
      </c>
      <c r="O153" t="inlineStr">
        <is>
          <t>none</t>
        </is>
      </c>
      <c r="P153">
        <f>HYPERLINK("https://knru.ru/catalog/pr-patriotov-d-35-1271126333/","ссылка")</f>
        <v/>
      </c>
      <c r="Q153">
        <f>HYPERLINK("https://app.worldcafe.ru/object/14935","ссылка")</f>
        <v/>
      </c>
      <c r="R153" t="inlineStr">
        <is>
          <t>По адресу есть, но площадь другая</t>
        </is>
      </c>
      <c r="S153" t="n">
        <v>1</v>
      </c>
      <c r="T153" t="inlineStr">
        <is>
          <t>Архив rent 36.1 м² 0 =HYPERLINK("https://app.worldcafe.ru/object/14935","ссылка")</t>
        </is>
      </c>
      <c r="U153" t="n">
        <v>762</v>
      </c>
      <c r="V153" t="n">
        <v>32</v>
      </c>
      <c r="W153" t="n">
        <v>18</v>
      </c>
      <c r="X153" t="n">
        <v>24276020</v>
      </c>
      <c r="Y153" t="n">
        <v>0</v>
      </c>
      <c r="Z153" t="n">
        <v>-24276020</v>
      </c>
      <c r="AA153" t="inlineStr">
        <is>
          <t>https://knru.ru/catalog/pr-patriotov-d-35-1271126333/</t>
        </is>
      </c>
    </row>
    <row r="154">
      <c r="A154" t="n">
        <v>763</v>
      </c>
      <c r="B154" t="n">
        <v>32</v>
      </c>
      <c r="C154" t="n">
        <v>19</v>
      </c>
      <c r="D154" t="n">
        <v>35</v>
      </c>
      <c r="E154" t="inlineStr">
        <is>
          <t>Красносельский</t>
        </is>
      </c>
      <c r="F154" t="inlineStr">
        <is>
          <t>Патриотов пр-кт, 35</t>
        </is>
      </c>
      <c r="G154" t="n">
        <v>80.2</v>
      </c>
      <c r="H154" t="inlineStr">
        <is>
          <t>27 276 020</t>
        </is>
      </c>
      <c r="I154" t="inlineStr">
        <is>
          <t>0</t>
        </is>
      </c>
      <c r="J154" t="inlineStr">
        <is>
          <t>У нас дешевле на 27 276 020 (100.0%)</t>
        </is>
      </c>
      <c r="K154" t="inlineStr">
        <is>
          <t>-27 276 020</t>
        </is>
      </c>
      <c r="L154" t="inlineStr">
        <is>
          <t>-100.0%</t>
        </is>
      </c>
      <c r="M154" t="inlineStr">
        <is>
          <t>any_type</t>
        </is>
      </c>
      <c r="N154" t="inlineStr">
        <is>
          <t>no</t>
        </is>
      </c>
      <c r="O154" t="inlineStr">
        <is>
          <t>none</t>
        </is>
      </c>
      <c r="P154">
        <f>HYPERLINK("https://knru.ru/catalog/pr-patriotov-d-35/","ссылка")</f>
        <v/>
      </c>
      <c r="Q154">
        <f>HYPERLINK("https://app.worldcafe.ru/object/14935","ссылка")</f>
        <v/>
      </c>
      <c r="R154" t="inlineStr">
        <is>
          <t>По адресу есть, но площадь другая</t>
        </is>
      </c>
      <c r="S154" t="n">
        <v>1</v>
      </c>
      <c r="T154" t="inlineStr">
        <is>
          <t>Архив rent 36.1 м² 0 =HYPERLINK("https://app.worldcafe.ru/object/14935","ссылка")</t>
        </is>
      </c>
      <c r="U154" t="n">
        <v>763</v>
      </c>
      <c r="V154" t="n">
        <v>32</v>
      </c>
      <c r="W154" t="n">
        <v>19</v>
      </c>
      <c r="X154" t="n">
        <v>27276020</v>
      </c>
      <c r="Y154" t="n">
        <v>0</v>
      </c>
      <c r="Z154" t="n">
        <v>-27276020</v>
      </c>
      <c r="AA154" t="inlineStr">
        <is>
          <t>https://knru.ru/catalog/pr-patriotov-d-35/</t>
        </is>
      </c>
    </row>
    <row r="155">
      <c r="A155" t="n">
        <v>770</v>
      </c>
      <c r="B155" t="n">
        <v>33</v>
      </c>
      <c r="C155" t="n">
        <v>2</v>
      </c>
      <c r="D155" t="inlineStr"/>
      <c r="E155" t="inlineStr">
        <is>
          <t>Приморский</t>
        </is>
      </c>
      <c r="F155" t="inlineStr">
        <is>
          <t>Королёва пр-кт, 7 А</t>
        </is>
      </c>
      <c r="G155" t="n">
        <v>31.7</v>
      </c>
      <c r="H155" t="inlineStr">
        <is>
          <t>8 400 000</t>
        </is>
      </c>
      <c r="I155" t="inlineStr">
        <is>
          <t>1 750 000 000</t>
        </is>
      </c>
      <c r="J155" t="inlineStr">
        <is>
          <t>У нас дороже на 1 741 600 000 (20733.3%)</t>
        </is>
      </c>
      <c r="K155" t="inlineStr">
        <is>
          <t>1 741 600 000</t>
        </is>
      </c>
      <c r="L155" t="inlineStr">
        <is>
          <t>20733.3%</t>
        </is>
      </c>
      <c r="M155" t="inlineStr">
        <is>
          <t>sale_only</t>
        </is>
      </c>
      <c r="N155" t="inlineStr">
        <is>
          <t>no</t>
        </is>
      </c>
      <c r="O155" t="inlineStr">
        <is>
          <t>none</t>
        </is>
      </c>
      <c r="P155">
        <f>HYPERLINK("https://knru.ru/catalog/korolyeva-pr-kt-7-a/","ссылка")</f>
        <v/>
      </c>
      <c r="Q155">
        <f>HYPERLINK("https://app.worldcafe.ru/object/19000","ссылка")</f>
        <v/>
      </c>
      <c r="R155" t="inlineStr">
        <is>
          <t>По адресу есть, но площадь другая</t>
        </is>
      </c>
      <c r="S155" t="n">
        <v>2</v>
      </c>
      <c r="T155" t="inlineStr">
        <is>
          <t>Архив rent 1174 м² 2 113 200 =HYPERLINK("https://app.worldcafe.ru/object/7881","ссылка") | На сайте sale 1200000 м² 1 750 000 000 =HYPERLINK("https://app.worldcafe.ru/object/19000","ссылка")</t>
        </is>
      </c>
      <c r="U155" t="n">
        <v>770</v>
      </c>
      <c r="V155" t="n">
        <v>33</v>
      </c>
      <c r="W155" t="n">
        <v>2</v>
      </c>
      <c r="X155" t="n">
        <v>8400000</v>
      </c>
      <c r="Y155" t="n">
        <v>1750000000</v>
      </c>
      <c r="Z155" t="n">
        <v>1741600000</v>
      </c>
      <c r="AA155" t="inlineStr">
        <is>
          <t>https://knru.ru/catalog/korolyeva-pr-kt-7-a/</t>
        </is>
      </c>
    </row>
    <row r="156">
      <c r="A156" t="n">
        <v>774</v>
      </c>
      <c r="B156" t="n">
        <v>33</v>
      </c>
      <c r="C156" t="n">
        <v>6</v>
      </c>
      <c r="D156" t="n">
        <v>183</v>
      </c>
      <c r="E156" t="inlineStr">
        <is>
          <t>Фрунзенский</t>
        </is>
      </c>
      <c r="F156" t="inlineStr">
        <is>
          <t>Лиговский пр-кт, 183</t>
        </is>
      </c>
      <c r="G156" t="n">
        <v>167</v>
      </c>
      <c r="H156" t="inlineStr">
        <is>
          <t>6 000 000</t>
        </is>
      </c>
      <c r="I156" t="inlineStr">
        <is>
          <t>200 000</t>
        </is>
      </c>
      <c r="J156" t="inlineStr">
        <is>
          <t>У нас дешевле на 5 800 000 (96.7%)</t>
        </is>
      </c>
      <c r="K156" t="inlineStr">
        <is>
          <t>-5 800 000</t>
        </is>
      </c>
      <c r="L156" t="inlineStr">
        <is>
          <t>-96.7%</t>
        </is>
      </c>
      <c r="M156" t="inlineStr">
        <is>
          <t>any_type</t>
        </is>
      </c>
      <c r="N156" t="inlineStr">
        <is>
          <t>no</t>
        </is>
      </c>
      <c r="O156" t="inlineStr">
        <is>
          <t>none</t>
        </is>
      </c>
      <c r="P156">
        <f>HYPERLINK("https://knru.ru/catalog/ligovskiy-prospekt-d-183/","ссылка")</f>
        <v/>
      </c>
      <c r="Q156">
        <f>HYPERLINK("https://app.worldcafe.ru/object/8651","ссылка")</f>
        <v/>
      </c>
      <c r="R156" t="inlineStr">
        <is>
          <t>По адресу есть, но площадь другая</t>
        </is>
      </c>
      <c r="S156" t="n">
        <v>1</v>
      </c>
      <c r="T156" t="inlineStr">
        <is>
          <t>Архив rent 291 м² 200 000 =HYPERLINK("https://app.worldcafe.ru/object/8651","ссылка")</t>
        </is>
      </c>
      <c r="U156" t="n">
        <v>774</v>
      </c>
      <c r="V156" t="n">
        <v>33</v>
      </c>
      <c r="W156" t="n">
        <v>6</v>
      </c>
      <c r="X156" t="n">
        <v>6000000</v>
      </c>
      <c r="Y156" t="n">
        <v>200000</v>
      </c>
      <c r="Z156" t="n">
        <v>-5800000</v>
      </c>
      <c r="AA156" t="inlineStr">
        <is>
          <t>https://knru.ru/catalog/ligovskiy-prospekt-d-183/</t>
        </is>
      </c>
    </row>
    <row r="157">
      <c r="A157" t="n">
        <v>781</v>
      </c>
      <c r="B157" t="n">
        <v>33</v>
      </c>
      <c r="C157" t="n">
        <v>13</v>
      </c>
      <c r="D157" t="n">
        <v>59</v>
      </c>
      <c r="E157" t="inlineStr">
        <is>
          <t>Кировский</t>
        </is>
      </c>
      <c r="F157" t="inlineStr">
        <is>
          <t>Стачек, 59</t>
        </is>
      </c>
      <c r="G157" t="n">
        <v>717</v>
      </c>
      <c r="H157" t="inlineStr">
        <is>
          <t>158 500 000</t>
        </is>
      </c>
      <c r="I157" t="inlineStr">
        <is>
          <t>3 500 000</t>
        </is>
      </c>
      <c r="J157" t="inlineStr">
        <is>
          <t>У нас дешевле на 155 000 000 (97.8%)</t>
        </is>
      </c>
      <c r="K157" t="inlineStr">
        <is>
          <t>-155 000 000</t>
        </is>
      </c>
      <c r="L157" t="inlineStr">
        <is>
          <t>-97.8%</t>
        </is>
      </c>
      <c r="M157" t="inlineStr">
        <is>
          <t>sale_only</t>
        </is>
      </c>
      <c r="N157" t="inlineStr">
        <is>
          <t>no</t>
        </is>
      </c>
      <c r="O157" t="inlineStr">
        <is>
          <t>none</t>
        </is>
      </c>
      <c r="P157">
        <f>HYPERLINK("https://knru.ru/catalog/stachek-pr-kt-d-59/","ссылка")</f>
        <v/>
      </c>
      <c r="Q157">
        <f>HYPERLINK("https://app.worldcafe.ru/object/13169","ссылка")</f>
        <v/>
      </c>
      <c r="R157" t="inlineStr">
        <is>
          <t>По адресу есть, но площадь другая</t>
        </is>
      </c>
      <c r="S157" t="n">
        <v>2</v>
      </c>
      <c r="T157" t="inlineStr">
        <is>
          <t>Архив sale 445 м² 85 500 000 =HYPERLINK("https://app.worldcafe.ru/object/11148","ссылка") | Архив sale 37 м² 3 500 000 =HYPERLINK("https://app.worldcafe.ru/object/13169","ссылка")</t>
        </is>
      </c>
      <c r="U157" t="n">
        <v>781</v>
      </c>
      <c r="V157" t="n">
        <v>33</v>
      </c>
      <c r="W157" t="n">
        <v>13</v>
      </c>
      <c r="X157" t="n">
        <v>158500000</v>
      </c>
      <c r="Y157" t="n">
        <v>3500000</v>
      </c>
      <c r="Z157" t="n">
        <v>-155000000</v>
      </c>
      <c r="AA157" t="inlineStr">
        <is>
          <t>https://knru.ru/catalog/stachek-pr-kt-d-59/</t>
        </is>
      </c>
    </row>
    <row r="158">
      <c r="A158" t="n">
        <v>782</v>
      </c>
      <c r="B158" t="n">
        <v>33</v>
      </c>
      <c r="C158" t="n">
        <v>14</v>
      </c>
      <c r="D158" t="n">
        <v>42</v>
      </c>
      <c r="E158" t="inlineStr">
        <is>
          <t>Петроградский</t>
        </is>
      </c>
      <c r="F158" t="inlineStr">
        <is>
          <t>Зверинская ул, 42</t>
        </is>
      </c>
      <c r="G158" t="n">
        <v>118</v>
      </c>
      <c r="H158" t="inlineStr">
        <is>
          <t>16 500 000</t>
        </is>
      </c>
      <c r="I158" t="inlineStr">
        <is>
          <t>45 000 000</t>
        </is>
      </c>
      <c r="J158" t="inlineStr">
        <is>
          <t>У нас дороже на 28 500 000 (172.7%)</t>
        </is>
      </c>
      <c r="K158" t="inlineStr">
        <is>
          <t>28 500 000</t>
        </is>
      </c>
      <c r="L158" t="inlineStr">
        <is>
          <t>172.7%</t>
        </is>
      </c>
      <c r="M158" t="inlineStr">
        <is>
          <t>sale_only</t>
        </is>
      </c>
      <c r="N158" t="inlineStr">
        <is>
          <t>no</t>
        </is>
      </c>
      <c r="O158" t="inlineStr">
        <is>
          <t>none</t>
        </is>
      </c>
      <c r="P158">
        <f>HYPERLINK("https://knru.ru/catalog/zverinskaya-ul-d-42/","ссылка")</f>
        <v/>
      </c>
      <c r="Q158">
        <f>HYPERLINK("https://app.worldcafe.ru/object/15561","ссылка")</f>
        <v/>
      </c>
      <c r="R158" t="inlineStr">
        <is>
          <t>По адресу есть, но площадь другая</t>
        </is>
      </c>
      <c r="S158" t="n">
        <v>2</v>
      </c>
      <c r="T158" t="inlineStr">
        <is>
          <t>Архив rent 155 м² 330 000 =HYPERLINK("https://app.worldcafe.ru/object/15561","ссылка") | На сайте sale 155 м² 45 000 000 =HYPERLINK("https://app.worldcafe.ru/object/15561","ссылка")</t>
        </is>
      </c>
      <c r="U158" t="n">
        <v>782</v>
      </c>
      <c r="V158" t="n">
        <v>33</v>
      </c>
      <c r="W158" t="n">
        <v>14</v>
      </c>
      <c r="X158" t="n">
        <v>16500000</v>
      </c>
      <c r="Y158" t="n">
        <v>45000000</v>
      </c>
      <c r="Z158" t="n">
        <v>28500000</v>
      </c>
      <c r="AA158" t="inlineStr">
        <is>
          <t>https://knru.ru/catalog/zverinskaya-ul-d-42/</t>
        </is>
      </c>
    </row>
    <row r="159">
      <c r="A159" t="n">
        <v>786</v>
      </c>
      <c r="B159" t="n">
        <v>33</v>
      </c>
      <c r="C159" t="n">
        <v>18</v>
      </c>
      <c r="D159" t="n">
        <v>2046365849</v>
      </c>
      <c r="E159" t="inlineStr">
        <is>
          <t>Красносельский</t>
        </is>
      </c>
      <c r="F159" t="inlineStr">
        <is>
          <t>Ветеранов пр-кт, 198</t>
        </is>
      </c>
      <c r="G159" t="n">
        <v>54.3</v>
      </c>
      <c r="H159" t="inlineStr">
        <is>
          <t>14 211 668</t>
        </is>
      </c>
      <c r="I159" t="inlineStr">
        <is>
          <t>16 500 000</t>
        </is>
      </c>
      <c r="J159" t="inlineStr">
        <is>
          <t>У нас дороже на 2 288 332 (16.1%)</t>
        </is>
      </c>
      <c r="K159" t="inlineStr">
        <is>
          <t>2 288 332</t>
        </is>
      </c>
      <c r="L159" t="inlineStr">
        <is>
          <t>16.1%</t>
        </is>
      </c>
      <c r="M159" t="inlineStr">
        <is>
          <t>sale_only</t>
        </is>
      </c>
      <c r="N159" t="inlineStr">
        <is>
          <t>no</t>
        </is>
      </c>
      <c r="O159" t="inlineStr">
        <is>
          <t>none</t>
        </is>
      </c>
      <c r="P159">
        <f>HYPERLINK("https://knru.ru/catalog/pr-veteranov-d-198-2046365849/","ссылка")</f>
        <v/>
      </c>
      <c r="Q159">
        <f>HYPERLINK("https://app.worldcafe.ru/object/18003","ссылка")</f>
        <v/>
      </c>
      <c r="R159" t="inlineStr">
        <is>
          <t>По адресу есть, но площадь другая</t>
        </is>
      </c>
      <c r="S159" t="n">
        <v>2</v>
      </c>
      <c r="T159" t="inlineStr">
        <is>
          <t>На сайте rent 25 м² 90 000 =HYPERLINK("https://app.worldcafe.ru/object/18003","ссылка") | На сайте sale 25 м² 16 500 000 =HYPERLINK("https://app.worldcafe.ru/object/18003","ссылка")</t>
        </is>
      </c>
      <c r="U159" t="n">
        <v>786</v>
      </c>
      <c r="V159" t="n">
        <v>33</v>
      </c>
      <c r="W159" t="n">
        <v>18</v>
      </c>
      <c r="X159" t="n">
        <v>14211668</v>
      </c>
      <c r="Y159" t="n">
        <v>16500000</v>
      </c>
      <c r="Z159" t="n">
        <v>2288332</v>
      </c>
      <c r="AA159" t="inlineStr">
        <is>
          <t>https://knru.ru/catalog/pr-veteranov-d-198-2046365849/</t>
        </is>
      </c>
    </row>
    <row r="160">
      <c r="A160" t="n">
        <v>787</v>
      </c>
      <c r="B160" t="n">
        <v>33</v>
      </c>
      <c r="C160" t="n">
        <v>19</v>
      </c>
      <c r="D160" t="n">
        <v>1736335152</v>
      </c>
      <c r="E160" t="inlineStr">
        <is>
          <t>Красносельский</t>
        </is>
      </c>
      <c r="F160" t="inlineStr">
        <is>
          <t>Ветеранов пр-кт, 198</t>
        </is>
      </c>
      <c r="G160" t="n">
        <v>85.3</v>
      </c>
      <c r="H160" t="inlineStr">
        <is>
          <t>18 475 980</t>
        </is>
      </c>
      <c r="I160" t="inlineStr">
        <is>
          <t>16 500 000</t>
        </is>
      </c>
      <c r="J160" t="inlineStr">
        <is>
          <t>У нас дешевле на 1 975 980 (10.7%)</t>
        </is>
      </c>
      <c r="K160" t="inlineStr">
        <is>
          <t>-1 975 980</t>
        </is>
      </c>
      <c r="L160" t="inlineStr">
        <is>
          <t>-10.7%</t>
        </is>
      </c>
      <c r="M160" t="inlineStr">
        <is>
          <t>sale_only</t>
        </is>
      </c>
      <c r="N160" t="inlineStr">
        <is>
          <t>no</t>
        </is>
      </c>
      <c r="O160" t="inlineStr">
        <is>
          <t>none</t>
        </is>
      </c>
      <c r="P160">
        <f>HYPERLINK("https://knru.ru/catalog/pr-veteranov-d-198-1736335152/","ссылка")</f>
        <v/>
      </c>
      <c r="Q160">
        <f>HYPERLINK("https://app.worldcafe.ru/object/18003","ссылка")</f>
        <v/>
      </c>
      <c r="R160" t="inlineStr">
        <is>
          <t>По адресу есть, но площадь другая</t>
        </is>
      </c>
      <c r="S160" t="n">
        <v>2</v>
      </c>
      <c r="T160" t="inlineStr">
        <is>
          <t>На сайте rent 25 м² 90 000 =HYPERLINK("https://app.worldcafe.ru/object/18003","ссылка") | На сайте sale 25 м² 16 500 000 =HYPERLINK("https://app.worldcafe.ru/object/18003","ссылка")</t>
        </is>
      </c>
      <c r="U160" t="n">
        <v>787</v>
      </c>
      <c r="V160" t="n">
        <v>33</v>
      </c>
      <c r="W160" t="n">
        <v>19</v>
      </c>
      <c r="X160" t="n">
        <v>18475980</v>
      </c>
      <c r="Y160" t="n">
        <v>16500000</v>
      </c>
      <c r="Z160" t="n">
        <v>-1975980</v>
      </c>
      <c r="AA160" t="inlineStr">
        <is>
          <t>https://knru.ru/catalog/pr-veteranov-d-198-1736335152/</t>
        </is>
      </c>
    </row>
    <row r="161">
      <c r="A161" t="n">
        <v>788</v>
      </c>
      <c r="B161" t="n">
        <v>33</v>
      </c>
      <c r="C161" t="n">
        <v>20</v>
      </c>
      <c r="D161" t="n">
        <v>198</v>
      </c>
      <c r="E161" t="inlineStr">
        <is>
          <t>Красносельский</t>
        </is>
      </c>
      <c r="F161" t="inlineStr">
        <is>
          <t>Ветеранов пр-кт, 198</t>
        </is>
      </c>
      <c r="G161" t="n">
        <v>139.6</v>
      </c>
      <c r="H161" t="inlineStr">
        <is>
          <t>234 152</t>
        </is>
      </c>
      <c r="I161" t="inlineStr">
        <is>
          <t>16 500 000</t>
        </is>
      </c>
      <c r="J161" t="inlineStr">
        <is>
          <t>У нас дороже на 16 265 848 (6946.7%)</t>
        </is>
      </c>
      <c r="K161" t="inlineStr">
        <is>
          <t>16 265 848</t>
        </is>
      </c>
      <c r="L161" t="inlineStr">
        <is>
          <t>6946.7%</t>
        </is>
      </c>
      <c r="M161" t="inlineStr">
        <is>
          <t>sale_only</t>
        </is>
      </c>
      <c r="N161" t="inlineStr">
        <is>
          <t>no</t>
        </is>
      </c>
      <c r="O161" t="inlineStr">
        <is>
          <t>none</t>
        </is>
      </c>
      <c r="P161">
        <f>HYPERLINK("https://knru.ru/catalog/pr-veteranov-d-198/","ссылка")</f>
        <v/>
      </c>
      <c r="Q161">
        <f>HYPERLINK("https://app.worldcafe.ru/object/18003","ссылка")</f>
        <v/>
      </c>
      <c r="R161" t="inlineStr">
        <is>
          <t>По адресу есть, но площадь другая</t>
        </is>
      </c>
      <c r="S161" t="n">
        <v>2</v>
      </c>
      <c r="T161" t="inlineStr">
        <is>
          <t>На сайте rent 25 м² 90 000 =HYPERLINK("https://app.worldcafe.ru/object/18003","ссылка") | На сайте sale 25 м² 16 500 000 =HYPERLINK("https://app.worldcafe.ru/object/18003","ссылка")</t>
        </is>
      </c>
      <c r="U161" t="n">
        <v>788</v>
      </c>
      <c r="V161" t="n">
        <v>33</v>
      </c>
      <c r="W161" t="n">
        <v>20</v>
      </c>
      <c r="X161" t="n">
        <v>234152</v>
      </c>
      <c r="Y161" t="n">
        <v>16500000</v>
      </c>
      <c r="Z161" t="n">
        <v>16265848</v>
      </c>
      <c r="AA161" t="inlineStr">
        <is>
          <t>https://knru.ru/catalog/pr-veteranov-d-198/</t>
        </is>
      </c>
    </row>
    <row r="162">
      <c r="A162" t="n">
        <v>811</v>
      </c>
      <c r="B162" t="n">
        <v>34</v>
      </c>
      <c r="C162" t="n">
        <v>19</v>
      </c>
      <c r="D162" t="n">
        <v>1081043822</v>
      </c>
      <c r="E162" t="inlineStr">
        <is>
          <t>Московский</t>
        </is>
      </c>
      <c r="F162" t="inlineStr">
        <is>
          <t>Среднерогатская ул, 11</t>
        </is>
      </c>
      <c r="G162" t="n">
        <v>470.1</v>
      </c>
      <c r="H162" t="inlineStr">
        <is>
          <t>278 541 985</t>
        </is>
      </c>
      <c r="I162" t="inlineStr">
        <is>
          <t>26 105 127</t>
        </is>
      </c>
      <c r="J162" t="inlineStr">
        <is>
          <t>У нас дешевле на 252 436 858 (90.6%)</t>
        </is>
      </c>
      <c r="K162" t="inlineStr">
        <is>
          <t>-252 436 858</t>
        </is>
      </c>
      <c r="L162" t="inlineStr">
        <is>
          <t>-90.6%</t>
        </is>
      </c>
      <c r="M162" t="inlineStr">
        <is>
          <t>sale_only</t>
        </is>
      </c>
      <c r="N162" t="inlineStr">
        <is>
          <t>no</t>
        </is>
      </c>
      <c r="O162" t="inlineStr">
        <is>
          <t>none</t>
        </is>
      </c>
      <c r="P162">
        <f>HYPERLINK("https://knru.ru/catalog/ul-srednerogatskaya-k-1-1-1081043822/","ссылка")</f>
        <v/>
      </c>
      <c r="Q162">
        <f>HYPERLINK("https://app.worldcafe.ru/object/19641","ссылка")</f>
        <v/>
      </c>
      <c r="R162" t="inlineStr">
        <is>
          <t>По адресу есть, но площадь другая</t>
        </is>
      </c>
      <c r="S162" t="n">
        <v>3</v>
      </c>
      <c r="T162" t="inlineStr">
        <is>
          <t>Архив rent 448 м² 537 600 =HYPERLINK("https://app.worldcafe.ru/object/10645","ссылка") | На сайте sale 71 м² 26 105 127 =HYPERLINK("https://app.worldcafe.ru/object/19641","ссылка") | Архив rent 70 м² 199 999 =HYPERLINK("https://app.worldcafe.ru/object/19214","ссылка")</t>
        </is>
      </c>
      <c r="U162" t="n">
        <v>811</v>
      </c>
      <c r="V162" t="n">
        <v>34</v>
      </c>
      <c r="W162" t="n">
        <v>19</v>
      </c>
      <c r="X162" t="n">
        <v>278541985</v>
      </c>
      <c r="Y162" t="n">
        <v>26105127</v>
      </c>
      <c r="Z162" t="n">
        <v>-252436858</v>
      </c>
      <c r="AA162" t="inlineStr">
        <is>
          <t>https://knru.ru/catalog/ul-srednerogatskaya-k-1-1-1081043822/</t>
        </is>
      </c>
    </row>
    <row r="163">
      <c r="A163" t="n">
        <v>830</v>
      </c>
      <c r="B163" t="n">
        <v>35</v>
      </c>
      <c r="C163" t="n">
        <v>14</v>
      </c>
      <c r="D163" t="n">
        <v>1114060101</v>
      </c>
      <c r="E163" t="inlineStr">
        <is>
          <t>Невский</t>
        </is>
      </c>
      <c r="F163" t="inlineStr">
        <is>
          <t>Обуховской Обороны пр-кт, 38</t>
        </is>
      </c>
      <c r="G163" t="n">
        <v>100.6</v>
      </c>
      <c r="H163" t="inlineStr">
        <is>
          <t>40 738 950</t>
        </is>
      </c>
      <c r="I163" t="inlineStr">
        <is>
          <t>0</t>
        </is>
      </c>
      <c r="J163" t="inlineStr">
        <is>
          <t>У нас дешевле на 40 738 950 (100.0%)</t>
        </is>
      </c>
      <c r="K163" t="inlineStr">
        <is>
          <t>-40 738 950</t>
        </is>
      </c>
      <c r="L163" t="inlineStr">
        <is>
          <t>-100.0%</t>
        </is>
      </c>
      <c r="M163" t="inlineStr">
        <is>
          <t>any_type</t>
        </is>
      </c>
      <c r="N163" t="inlineStr">
        <is>
          <t>no</t>
        </is>
      </c>
      <c r="O163" t="inlineStr">
        <is>
          <t>none</t>
        </is>
      </c>
      <c r="P163">
        <f>HYPERLINK("https://knru.ru/catalog/pr-obukhovskoy-oborony-d-38-1114060101/","ссылка")</f>
        <v/>
      </c>
      <c r="Q163">
        <f>HYPERLINK("https://app.worldcafe.ru/object/19747","ссылка")</f>
        <v/>
      </c>
      <c r="R163" t="inlineStr">
        <is>
          <t>По адресу есть, но площадь другая</t>
        </is>
      </c>
      <c r="S163" t="n">
        <v>2</v>
      </c>
      <c r="T163" t="inlineStr">
        <is>
          <t>Архив rent 76.5 м² 0 =HYPERLINK("https://app.worldcafe.ru/object/19747","ссылка") | На сайте rent 803.3 м² 1 600 000 =HYPERLINK("https://app.worldcafe.ru/object/19284","ссылка")</t>
        </is>
      </c>
      <c r="U163" t="n">
        <v>830</v>
      </c>
      <c r="V163" t="n">
        <v>35</v>
      </c>
      <c r="W163" t="n">
        <v>14</v>
      </c>
      <c r="X163" t="n">
        <v>40738950</v>
      </c>
      <c r="Y163" t="n">
        <v>0</v>
      </c>
      <c r="Z163" t="n">
        <v>-40738950</v>
      </c>
      <c r="AA163" t="inlineStr">
        <is>
          <t>https://knru.ru/catalog/pr-obukhovskoy-oborony-d-38-1114060101/</t>
        </is>
      </c>
    </row>
    <row r="164">
      <c r="A164" t="n">
        <v>831</v>
      </c>
      <c r="B164" t="n">
        <v>35</v>
      </c>
      <c r="C164" t="n">
        <v>15</v>
      </c>
      <c r="D164" t="n">
        <v>38</v>
      </c>
      <c r="E164" t="inlineStr">
        <is>
          <t>Невский</t>
        </is>
      </c>
      <c r="F164" t="inlineStr">
        <is>
          <t>Обуховской Обороны пр-кт, 38</t>
        </is>
      </c>
      <c r="G164" t="n">
        <v>36.6</v>
      </c>
      <c r="H164" t="inlineStr">
        <is>
          <t>17 472 510</t>
        </is>
      </c>
      <c r="I164" t="inlineStr">
        <is>
          <t>0</t>
        </is>
      </c>
      <c r="J164" t="inlineStr">
        <is>
          <t>У нас дешевле на 17 472 510 (100.0%)</t>
        </is>
      </c>
      <c r="K164" t="inlineStr">
        <is>
          <t>-17 472 510</t>
        </is>
      </c>
      <c r="L164" t="inlineStr">
        <is>
          <t>-100.0%</t>
        </is>
      </c>
      <c r="M164" t="inlineStr">
        <is>
          <t>any_type</t>
        </is>
      </c>
      <c r="N164" t="inlineStr">
        <is>
          <t>no</t>
        </is>
      </c>
      <c r="O164" t="inlineStr">
        <is>
          <t>none</t>
        </is>
      </c>
      <c r="P164">
        <f>HYPERLINK("https://knru.ru/catalog/pr-obukhovskoy-oborony-d-38/","ссылка")</f>
        <v/>
      </c>
      <c r="Q164">
        <f>HYPERLINK("https://app.worldcafe.ru/object/19747","ссылка")</f>
        <v/>
      </c>
      <c r="R164" t="inlineStr">
        <is>
          <t>По адресу есть, но площадь другая</t>
        </is>
      </c>
      <c r="S164" t="n">
        <v>2</v>
      </c>
      <c r="T164" t="inlineStr">
        <is>
          <t>Архив rent 76.5 м² 0 =HYPERLINK("https://app.worldcafe.ru/object/19747","ссылка") | На сайте rent 803.3 м² 1 600 000 =HYPERLINK("https://app.worldcafe.ru/object/19284","ссылка")</t>
        </is>
      </c>
      <c r="U164" t="n">
        <v>831</v>
      </c>
      <c r="V164" t="n">
        <v>35</v>
      </c>
      <c r="W164" t="n">
        <v>15</v>
      </c>
      <c r="X164" t="n">
        <v>17472510</v>
      </c>
      <c r="Y164" t="n">
        <v>0</v>
      </c>
      <c r="Z164" t="n">
        <v>-17472510</v>
      </c>
      <c r="AA164" t="inlineStr">
        <is>
          <t>https://knru.ru/catalog/pr-obukhovskoy-oborony-d-38/</t>
        </is>
      </c>
    </row>
    <row r="165">
      <c r="A165" t="n">
        <v>841</v>
      </c>
      <c r="B165" t="n">
        <v>36</v>
      </c>
      <c r="C165" t="n">
        <v>1</v>
      </c>
      <c r="D165" t="n">
        <v>1479793908</v>
      </c>
      <c r="E165" t="inlineStr">
        <is>
          <t>Московский</t>
        </is>
      </c>
      <c r="F165" t="inlineStr">
        <is>
          <t>Пулковское ш, 95к3</t>
        </is>
      </c>
      <c r="G165" t="n">
        <v>107</v>
      </c>
      <c r="H165" t="inlineStr">
        <is>
          <t>22 363 000</t>
        </is>
      </c>
      <c r="I165" t="inlineStr">
        <is>
          <t>60 000 000</t>
        </is>
      </c>
      <c r="J165" t="inlineStr">
        <is>
          <t>У нас дороже на 37 637 000 (168.3%)</t>
        </is>
      </c>
      <c r="K165" t="inlineStr">
        <is>
          <t>37 637 000</t>
        </is>
      </c>
      <c r="L165" t="inlineStr">
        <is>
          <t>168.3%</t>
        </is>
      </c>
      <c r="M165" t="inlineStr">
        <is>
          <t>sale_only</t>
        </is>
      </c>
      <c r="N165" t="inlineStr">
        <is>
          <t>no</t>
        </is>
      </c>
      <c r="O165" t="inlineStr">
        <is>
          <t>none</t>
        </is>
      </c>
      <c r="P165">
        <f>HYPERLINK("https://knru.ru/catalog/pulkovskoe-shosse-d-95-k-5-1479793908/","ссылка")</f>
        <v/>
      </c>
      <c r="Q165">
        <f>HYPERLINK("https://app.worldcafe.ru/object/20099","ссылка")</f>
        <v/>
      </c>
      <c r="R165" t="inlineStr">
        <is>
          <t>По адресу есть, но площадь другая</t>
        </is>
      </c>
      <c r="S165" t="n">
        <v>1</v>
      </c>
      <c r="T165" t="inlineStr">
        <is>
          <t>На сайте sale 128 м² 60 000 000 =HYPERLINK("https://app.worldcafe.ru/object/20099","ссылка")</t>
        </is>
      </c>
      <c r="U165" t="n">
        <v>841</v>
      </c>
      <c r="V165" t="n">
        <v>36</v>
      </c>
      <c r="W165" t="n">
        <v>1</v>
      </c>
      <c r="X165" t="n">
        <v>22363000</v>
      </c>
      <c r="Y165" t="n">
        <v>60000000</v>
      </c>
      <c r="Z165" t="n">
        <v>37637000</v>
      </c>
      <c r="AA165" t="inlineStr">
        <is>
          <t>https://knru.ru/catalog/pulkovskoe-shosse-d-95-k-5-1479793908/</t>
        </is>
      </c>
    </row>
    <row r="166">
      <c r="A166" t="n">
        <v>842</v>
      </c>
      <c r="B166" t="n">
        <v>36</v>
      </c>
      <c r="C166" t="n">
        <v>2</v>
      </c>
      <c r="D166" t="n">
        <v>1851157104</v>
      </c>
      <c r="E166" t="inlineStr">
        <is>
          <t>Московский</t>
        </is>
      </c>
      <c r="F166" t="inlineStr">
        <is>
          <t>Пулковское ш, 95к3</t>
        </is>
      </c>
      <c r="G166" t="n">
        <v>37.1</v>
      </c>
      <c r="H166" t="inlineStr">
        <is>
          <t>9 516 150</t>
        </is>
      </c>
      <c r="I166" t="inlineStr">
        <is>
          <t>60 000 000</t>
        </is>
      </c>
      <c r="J166" t="inlineStr">
        <is>
          <t>У нас дороже на 50 483 850 (530.5%)</t>
        </is>
      </c>
      <c r="K166" t="inlineStr">
        <is>
          <t>50 483 850</t>
        </is>
      </c>
      <c r="L166" t="inlineStr">
        <is>
          <t>530.5%</t>
        </is>
      </c>
      <c r="M166" t="inlineStr">
        <is>
          <t>sale_only</t>
        </is>
      </c>
      <c r="N166" t="inlineStr">
        <is>
          <t>no</t>
        </is>
      </c>
      <c r="O166" t="inlineStr">
        <is>
          <t>none</t>
        </is>
      </c>
      <c r="P166">
        <f>HYPERLINK("https://knru.ru/catalog/pulkovskoe-shosse-d-95-k-5-1851157104/","ссылка")</f>
        <v/>
      </c>
      <c r="Q166">
        <f>HYPERLINK("https://app.worldcafe.ru/object/20099","ссылка")</f>
        <v/>
      </c>
      <c r="R166" t="inlineStr">
        <is>
          <t>По адресу есть, но площадь другая</t>
        </is>
      </c>
      <c r="S166" t="n">
        <v>1</v>
      </c>
      <c r="T166" t="inlineStr">
        <is>
          <t>На сайте sale 128 м² 60 000 000 =HYPERLINK("https://app.worldcafe.ru/object/20099","ссылка")</t>
        </is>
      </c>
      <c r="U166" t="n">
        <v>842</v>
      </c>
      <c r="V166" t="n">
        <v>36</v>
      </c>
      <c r="W166" t="n">
        <v>2</v>
      </c>
      <c r="X166" t="n">
        <v>9516150</v>
      </c>
      <c r="Y166" t="n">
        <v>60000000</v>
      </c>
      <c r="Z166" t="n">
        <v>50483850</v>
      </c>
      <c r="AA166" t="inlineStr">
        <is>
          <t>https://knru.ru/catalog/pulkovskoe-shosse-d-95-k-5-1851157104/</t>
        </is>
      </c>
    </row>
    <row r="167">
      <c r="A167" t="n">
        <v>843</v>
      </c>
      <c r="B167" t="n">
        <v>36</v>
      </c>
      <c r="C167" t="n">
        <v>3</v>
      </c>
      <c r="D167" t="n">
        <v>160745438</v>
      </c>
      <c r="E167" t="inlineStr">
        <is>
          <t>Московский</t>
        </is>
      </c>
      <c r="F167" t="inlineStr">
        <is>
          <t>Пулковское ш, 95к3</t>
        </is>
      </c>
      <c r="G167" t="n">
        <v>27.3</v>
      </c>
      <c r="H167" t="inlineStr">
        <is>
          <t>9 077 250</t>
        </is>
      </c>
      <c r="I167" t="inlineStr">
        <is>
          <t>60 000 000</t>
        </is>
      </c>
      <c r="J167" t="inlineStr">
        <is>
          <t>У нас дороже на 50 922 750 (561.0%)</t>
        </is>
      </c>
      <c r="K167" t="inlineStr">
        <is>
          <t>50 922 750</t>
        </is>
      </c>
      <c r="L167" t="inlineStr">
        <is>
          <t>561.0%</t>
        </is>
      </c>
      <c r="M167" t="inlineStr">
        <is>
          <t>sale_only</t>
        </is>
      </c>
      <c r="N167" t="inlineStr">
        <is>
          <t>no</t>
        </is>
      </c>
      <c r="O167" t="inlineStr">
        <is>
          <t>none</t>
        </is>
      </c>
      <c r="P167">
        <f>HYPERLINK("https://knru.ru/catalog/pulkovskoe-shosse-d-95-k-5-160745438/","ссылка")</f>
        <v/>
      </c>
      <c r="Q167">
        <f>HYPERLINK("https://app.worldcafe.ru/object/20099","ссылка")</f>
        <v/>
      </c>
      <c r="R167" t="inlineStr">
        <is>
          <t>По адресу есть, но площадь другая</t>
        </is>
      </c>
      <c r="S167" t="n">
        <v>1</v>
      </c>
      <c r="T167" t="inlineStr">
        <is>
          <t>На сайте sale 128 м² 60 000 000 =HYPERLINK("https://app.worldcafe.ru/object/20099","ссылка")</t>
        </is>
      </c>
      <c r="U167" t="n">
        <v>843</v>
      </c>
      <c r="V167" t="n">
        <v>36</v>
      </c>
      <c r="W167" t="n">
        <v>3</v>
      </c>
      <c r="X167" t="n">
        <v>9077250</v>
      </c>
      <c r="Y167" t="n">
        <v>60000000</v>
      </c>
      <c r="Z167" t="n">
        <v>50922750</v>
      </c>
      <c r="AA167" t="inlineStr">
        <is>
          <t>https://knru.ru/catalog/pulkovskoe-shosse-d-95-k-5-160745438/</t>
        </is>
      </c>
    </row>
    <row r="168">
      <c r="A168" t="n">
        <v>844</v>
      </c>
      <c r="B168" t="n">
        <v>36</v>
      </c>
      <c r="C168" t="n">
        <v>4</v>
      </c>
      <c r="D168" t="n">
        <v>799547736</v>
      </c>
      <c r="E168" t="inlineStr">
        <is>
          <t>Московский</t>
        </is>
      </c>
      <c r="F168" t="inlineStr">
        <is>
          <t>Пулковское ш, 95к3</t>
        </is>
      </c>
      <c r="G168" t="n">
        <v>102.3</v>
      </c>
      <c r="H168" t="inlineStr">
        <is>
          <t>22 352 550</t>
        </is>
      </c>
      <c r="I168" t="inlineStr">
        <is>
          <t>60 000 000</t>
        </is>
      </c>
      <c r="J168" t="inlineStr">
        <is>
          <t>У нас дороже на 37 647 450 (168.4%)</t>
        </is>
      </c>
      <c r="K168" t="inlineStr">
        <is>
          <t>37 647 450</t>
        </is>
      </c>
      <c r="L168" t="inlineStr">
        <is>
          <t>168.4%</t>
        </is>
      </c>
      <c r="M168" t="inlineStr">
        <is>
          <t>sale_only</t>
        </is>
      </c>
      <c r="N168" t="inlineStr">
        <is>
          <t>no</t>
        </is>
      </c>
      <c r="O168" t="inlineStr">
        <is>
          <t>none</t>
        </is>
      </c>
      <c r="P168">
        <f>HYPERLINK("https://knru.ru/catalog/pulkovskoe-shosse-d-95-k-5-799547736/","ссылка")</f>
        <v/>
      </c>
      <c r="Q168">
        <f>HYPERLINK("https://app.worldcafe.ru/object/20099","ссылка")</f>
        <v/>
      </c>
      <c r="R168" t="inlineStr">
        <is>
          <t>По адресу есть, но площадь другая</t>
        </is>
      </c>
      <c r="S168" t="n">
        <v>1</v>
      </c>
      <c r="T168" t="inlineStr">
        <is>
          <t>На сайте sale 128 м² 60 000 000 =HYPERLINK("https://app.worldcafe.ru/object/20099","ссылка")</t>
        </is>
      </c>
      <c r="U168" t="n">
        <v>844</v>
      </c>
      <c r="V168" t="n">
        <v>36</v>
      </c>
      <c r="W168" t="n">
        <v>4</v>
      </c>
      <c r="X168" t="n">
        <v>22352550</v>
      </c>
      <c r="Y168" t="n">
        <v>60000000</v>
      </c>
      <c r="Z168" t="n">
        <v>37647450</v>
      </c>
      <c r="AA168" t="inlineStr">
        <is>
          <t>https://knru.ru/catalog/pulkovskoe-shosse-d-95-k-5-799547736/</t>
        </is>
      </c>
    </row>
    <row r="169">
      <c r="A169" t="n">
        <v>845</v>
      </c>
      <c r="B169" t="n">
        <v>36</v>
      </c>
      <c r="C169" t="n">
        <v>5</v>
      </c>
      <c r="D169" t="n">
        <v>374705120</v>
      </c>
      <c r="E169" t="inlineStr">
        <is>
          <t>Московский</t>
        </is>
      </c>
      <c r="F169" t="inlineStr">
        <is>
          <t>Пулковское ш, 95к3</t>
        </is>
      </c>
      <c r="G169" t="n">
        <v>37.5</v>
      </c>
      <c r="H169" t="inlineStr">
        <is>
          <t>9 975 000</t>
        </is>
      </c>
      <c r="I169" t="inlineStr">
        <is>
          <t>60 000 000</t>
        </is>
      </c>
      <c r="J169" t="inlineStr">
        <is>
          <t>У нас дороже на 50 025 000 (501.5%)</t>
        </is>
      </c>
      <c r="K169" t="inlineStr">
        <is>
          <t>50 025 000</t>
        </is>
      </c>
      <c r="L169" t="inlineStr">
        <is>
          <t>501.5%</t>
        </is>
      </c>
      <c r="M169" t="inlineStr">
        <is>
          <t>sale_only</t>
        </is>
      </c>
      <c r="N169" t="inlineStr">
        <is>
          <t>no</t>
        </is>
      </c>
      <c r="O169" t="inlineStr">
        <is>
          <t>none</t>
        </is>
      </c>
      <c r="P169">
        <f>HYPERLINK("https://knru.ru/catalog/pulkovskoe-shosse-d-95-k-5-374705120/","ссылка")</f>
        <v/>
      </c>
      <c r="Q169">
        <f>HYPERLINK("https://app.worldcafe.ru/object/20099","ссылка")</f>
        <v/>
      </c>
      <c r="R169" t="inlineStr">
        <is>
          <t>По адресу есть, но площадь другая</t>
        </is>
      </c>
      <c r="S169" t="n">
        <v>1</v>
      </c>
      <c r="T169" t="inlineStr">
        <is>
          <t>На сайте sale 128 м² 60 000 000 =HYPERLINK("https://app.worldcafe.ru/object/20099","ссылка")</t>
        </is>
      </c>
      <c r="U169" t="n">
        <v>845</v>
      </c>
      <c r="V169" t="n">
        <v>36</v>
      </c>
      <c r="W169" t="n">
        <v>5</v>
      </c>
      <c r="X169" t="n">
        <v>9975000</v>
      </c>
      <c r="Y169" t="n">
        <v>60000000</v>
      </c>
      <c r="Z169" t="n">
        <v>50025000</v>
      </c>
      <c r="AA169" t="inlineStr">
        <is>
          <t>https://knru.ru/catalog/pulkovskoe-shosse-d-95-k-5-374705120/</t>
        </is>
      </c>
    </row>
    <row r="170">
      <c r="A170" t="n">
        <v>846</v>
      </c>
      <c r="B170" t="n">
        <v>36</v>
      </c>
      <c r="C170" t="n">
        <v>6</v>
      </c>
      <c r="D170" t="n">
        <v>219667858</v>
      </c>
      <c r="E170" t="inlineStr">
        <is>
          <t>Московский</t>
        </is>
      </c>
      <c r="F170" t="inlineStr">
        <is>
          <t>Пулковское ш, 95к3</t>
        </is>
      </c>
      <c r="G170" t="n">
        <v>24.7</v>
      </c>
      <c r="H170" t="inlineStr">
        <is>
          <t>8 683 740</t>
        </is>
      </c>
      <c r="I170" t="inlineStr">
        <is>
          <t>60 000 000</t>
        </is>
      </c>
      <c r="J170" t="inlineStr">
        <is>
          <t>У нас дороже на 51 316 260 (590.9%)</t>
        </is>
      </c>
      <c r="K170" t="inlineStr">
        <is>
          <t>51 316 260</t>
        </is>
      </c>
      <c r="L170" t="inlineStr">
        <is>
          <t>590.9%</t>
        </is>
      </c>
      <c r="M170" t="inlineStr">
        <is>
          <t>sale_only</t>
        </is>
      </c>
      <c r="N170" t="inlineStr">
        <is>
          <t>no</t>
        </is>
      </c>
      <c r="O170" t="inlineStr">
        <is>
          <t>none</t>
        </is>
      </c>
      <c r="P170">
        <f>HYPERLINK("https://knru.ru/catalog/pulkovskoe-shosse-d-95-k-5-219667858/","ссылка")</f>
        <v/>
      </c>
      <c r="Q170">
        <f>HYPERLINK("https://app.worldcafe.ru/object/20099","ссылка")</f>
        <v/>
      </c>
      <c r="R170" t="inlineStr">
        <is>
          <t>По адресу есть, но площадь другая</t>
        </is>
      </c>
      <c r="S170" t="n">
        <v>1</v>
      </c>
      <c r="T170" t="inlineStr">
        <is>
          <t>На сайте sale 128 м² 60 000 000 =HYPERLINK("https://app.worldcafe.ru/object/20099","ссылка")</t>
        </is>
      </c>
      <c r="U170" t="n">
        <v>846</v>
      </c>
      <c r="V170" t="n">
        <v>36</v>
      </c>
      <c r="W170" t="n">
        <v>6</v>
      </c>
      <c r="X170" t="n">
        <v>8683740</v>
      </c>
      <c r="Y170" t="n">
        <v>60000000</v>
      </c>
      <c r="Z170" t="n">
        <v>51316260</v>
      </c>
      <c r="AA170" t="inlineStr">
        <is>
          <t>https://knru.ru/catalog/pulkovskoe-shosse-d-95-k-5-219667858/</t>
        </is>
      </c>
    </row>
    <row r="171">
      <c r="A171" t="n">
        <v>847</v>
      </c>
      <c r="B171" t="n">
        <v>36</v>
      </c>
      <c r="C171" t="n">
        <v>7</v>
      </c>
      <c r="D171" t="n">
        <v>481286408</v>
      </c>
      <c r="E171" t="inlineStr">
        <is>
          <t>Московский</t>
        </is>
      </c>
      <c r="F171" t="inlineStr">
        <is>
          <t>Пулковское ш, 95к3</t>
        </is>
      </c>
      <c r="G171" t="n">
        <v>58</v>
      </c>
      <c r="H171" t="inlineStr">
        <is>
          <t>18 276 300</t>
        </is>
      </c>
      <c r="I171" t="inlineStr">
        <is>
          <t>60 000 000</t>
        </is>
      </c>
      <c r="J171" t="inlineStr">
        <is>
          <t>У нас дороже на 41 723 700 (228.3%)</t>
        </is>
      </c>
      <c r="K171" t="inlineStr">
        <is>
          <t>41 723 700</t>
        </is>
      </c>
      <c r="L171" t="inlineStr">
        <is>
          <t>228.3%</t>
        </is>
      </c>
      <c r="M171" t="inlineStr">
        <is>
          <t>sale_only</t>
        </is>
      </c>
      <c r="N171" t="inlineStr">
        <is>
          <t>no</t>
        </is>
      </c>
      <c r="O171" t="inlineStr">
        <is>
          <t>none</t>
        </is>
      </c>
      <c r="P171">
        <f>HYPERLINK("https://knru.ru/catalog/pulkovskoe-shosse-d-95-k-5-481286408/","ссылка")</f>
        <v/>
      </c>
      <c r="Q171">
        <f>HYPERLINK("https://app.worldcafe.ru/object/20099","ссылка")</f>
        <v/>
      </c>
      <c r="R171" t="inlineStr">
        <is>
          <t>По адресу есть, но площадь другая</t>
        </is>
      </c>
      <c r="S171" t="n">
        <v>1</v>
      </c>
      <c r="T171" t="inlineStr">
        <is>
          <t>На сайте sale 128 м² 60 000 000 =HYPERLINK("https://app.worldcafe.ru/object/20099","ссылка")</t>
        </is>
      </c>
      <c r="U171" t="n">
        <v>847</v>
      </c>
      <c r="V171" t="n">
        <v>36</v>
      </c>
      <c r="W171" t="n">
        <v>7</v>
      </c>
      <c r="X171" t="n">
        <v>18276300</v>
      </c>
      <c r="Y171" t="n">
        <v>60000000</v>
      </c>
      <c r="Z171" t="n">
        <v>41723700</v>
      </c>
      <c r="AA171" t="inlineStr">
        <is>
          <t>https://knru.ru/catalog/pulkovskoe-shosse-d-95-k-5-481286408/</t>
        </is>
      </c>
    </row>
    <row r="172">
      <c r="A172" t="n">
        <v>848</v>
      </c>
      <c r="B172" t="n">
        <v>36</v>
      </c>
      <c r="C172" t="n">
        <v>8</v>
      </c>
      <c r="D172" t="n">
        <v>1506198333</v>
      </c>
      <c r="E172" t="inlineStr">
        <is>
          <t>Московский</t>
        </is>
      </c>
      <c r="F172" t="inlineStr">
        <is>
          <t>Пулковское ш, 95к3</t>
        </is>
      </c>
      <c r="G172" t="n">
        <v>24.3</v>
      </c>
      <c r="H172" t="inlineStr">
        <is>
          <t>8 543 340</t>
        </is>
      </c>
      <c r="I172" t="inlineStr">
        <is>
          <t>60 000 000</t>
        </is>
      </c>
      <c r="J172" t="inlineStr">
        <is>
          <t>У нас дороже на 51 456 660 (602.3%)</t>
        </is>
      </c>
      <c r="K172" t="inlineStr">
        <is>
          <t>51 456 660</t>
        </is>
      </c>
      <c r="L172" t="inlineStr">
        <is>
          <t>602.3%</t>
        </is>
      </c>
      <c r="M172" t="inlineStr">
        <is>
          <t>sale_only</t>
        </is>
      </c>
      <c r="N172" t="inlineStr">
        <is>
          <t>no</t>
        </is>
      </c>
      <c r="O172" t="inlineStr">
        <is>
          <t>none</t>
        </is>
      </c>
      <c r="P172">
        <f>HYPERLINK("https://knru.ru/catalog/pulkovskoe-shosse-d-95-k-5-1506198333/","ссылка")</f>
        <v/>
      </c>
      <c r="Q172">
        <f>HYPERLINK("https://app.worldcafe.ru/object/20099","ссылка")</f>
        <v/>
      </c>
      <c r="R172" t="inlineStr">
        <is>
          <t>По адресу есть, но площадь другая</t>
        </is>
      </c>
      <c r="S172" t="n">
        <v>1</v>
      </c>
      <c r="T172" t="inlineStr">
        <is>
          <t>На сайте sale 128 м² 60 000 000 =HYPERLINK("https://app.worldcafe.ru/object/20099","ссылка")</t>
        </is>
      </c>
      <c r="U172" t="n">
        <v>848</v>
      </c>
      <c r="V172" t="n">
        <v>36</v>
      </c>
      <c r="W172" t="n">
        <v>8</v>
      </c>
      <c r="X172" t="n">
        <v>8543340</v>
      </c>
      <c r="Y172" t="n">
        <v>60000000</v>
      </c>
      <c r="Z172" t="n">
        <v>51456660</v>
      </c>
      <c r="AA172" t="inlineStr">
        <is>
          <t>https://knru.ru/catalog/pulkovskoe-shosse-d-95-k-5-1506198333/</t>
        </is>
      </c>
    </row>
    <row r="173">
      <c r="A173" t="n">
        <v>849</v>
      </c>
      <c r="B173" t="n">
        <v>36</v>
      </c>
      <c r="C173" t="n">
        <v>9</v>
      </c>
      <c r="D173" t="n">
        <v>1300575585</v>
      </c>
      <c r="E173" t="inlineStr">
        <is>
          <t>Московский</t>
        </is>
      </c>
      <c r="F173" t="inlineStr">
        <is>
          <t>Пулковское ш, 95к3</t>
        </is>
      </c>
      <c r="G173" t="n">
        <v>37.3</v>
      </c>
      <c r="H173" t="inlineStr">
        <is>
          <t>9 213 100</t>
        </is>
      </c>
      <c r="I173" t="inlineStr">
        <is>
          <t>60 000 000</t>
        </is>
      </c>
      <c r="J173" t="inlineStr">
        <is>
          <t>У нас дороже на 50 786 900 (551.2%)</t>
        </is>
      </c>
      <c r="K173" t="inlineStr">
        <is>
          <t>50 786 900</t>
        </is>
      </c>
      <c r="L173" t="inlineStr">
        <is>
          <t>551.2%</t>
        </is>
      </c>
      <c r="M173" t="inlineStr">
        <is>
          <t>sale_only</t>
        </is>
      </c>
      <c r="N173" t="inlineStr">
        <is>
          <t>no</t>
        </is>
      </c>
      <c r="O173" t="inlineStr">
        <is>
          <t>none</t>
        </is>
      </c>
      <c r="P173">
        <f>HYPERLINK("https://knru.ru/catalog/pulkovskoe-shosse-d-95-k-5-1300575585/","ссылка")</f>
        <v/>
      </c>
      <c r="Q173">
        <f>HYPERLINK("https://app.worldcafe.ru/object/20099","ссылка")</f>
        <v/>
      </c>
      <c r="R173" t="inlineStr">
        <is>
          <t>По адресу есть, но площадь другая</t>
        </is>
      </c>
      <c r="S173" t="n">
        <v>1</v>
      </c>
      <c r="T173" t="inlineStr">
        <is>
          <t>На сайте sale 128 м² 60 000 000 =HYPERLINK("https://app.worldcafe.ru/object/20099","ссылка")</t>
        </is>
      </c>
      <c r="U173" t="n">
        <v>849</v>
      </c>
      <c r="V173" t="n">
        <v>36</v>
      </c>
      <c r="W173" t="n">
        <v>9</v>
      </c>
      <c r="X173" t="n">
        <v>9213100</v>
      </c>
      <c r="Y173" t="n">
        <v>60000000</v>
      </c>
      <c r="Z173" t="n">
        <v>50786900</v>
      </c>
      <c r="AA173" t="inlineStr">
        <is>
          <t>https://knru.ru/catalog/pulkovskoe-shosse-d-95-k-5-1300575585/</t>
        </is>
      </c>
    </row>
    <row r="174">
      <c r="A174" t="n">
        <v>850</v>
      </c>
      <c r="B174" t="n">
        <v>36</v>
      </c>
      <c r="C174" t="n">
        <v>10</v>
      </c>
      <c r="D174" t="n">
        <v>5</v>
      </c>
      <c r="E174" t="inlineStr">
        <is>
          <t>Московский</t>
        </is>
      </c>
      <c r="F174" t="inlineStr">
        <is>
          <t>Пулковское ш, 95к3</t>
        </is>
      </c>
      <c r="G174" t="n">
        <v>63.5</v>
      </c>
      <c r="H174" t="inlineStr">
        <is>
          <t>17 155 800</t>
        </is>
      </c>
      <c r="I174" t="inlineStr">
        <is>
          <t>60 000 000</t>
        </is>
      </c>
      <c r="J174" t="inlineStr">
        <is>
          <t>У нас дороже на 42 844 200 (249.7%)</t>
        </is>
      </c>
      <c r="K174" t="inlineStr">
        <is>
          <t>42 844 200</t>
        </is>
      </c>
      <c r="L174" t="inlineStr">
        <is>
          <t>249.7%</t>
        </is>
      </c>
      <c r="M174" t="inlineStr">
        <is>
          <t>sale_only</t>
        </is>
      </c>
      <c r="N174" t="inlineStr">
        <is>
          <t>no</t>
        </is>
      </c>
      <c r="O174" t="inlineStr">
        <is>
          <t>none</t>
        </is>
      </c>
      <c r="P174">
        <f>HYPERLINK("https://knru.ru/catalog/pulkovskoe-shosse-d-95-k-5/","ссылка")</f>
        <v/>
      </c>
      <c r="Q174">
        <f>HYPERLINK("https://app.worldcafe.ru/object/20099","ссылка")</f>
        <v/>
      </c>
      <c r="R174" t="inlineStr">
        <is>
          <t>По адресу есть, но площадь другая</t>
        </is>
      </c>
      <c r="S174" t="n">
        <v>1</v>
      </c>
      <c r="T174" t="inlineStr">
        <is>
          <t>На сайте sale 128 м² 60 000 000 =HYPERLINK("https://app.worldcafe.ru/object/20099","ссылка")</t>
        </is>
      </c>
      <c r="U174" t="n">
        <v>850</v>
      </c>
      <c r="V174" t="n">
        <v>36</v>
      </c>
      <c r="W174" t="n">
        <v>10</v>
      </c>
      <c r="X174" t="n">
        <v>17155800</v>
      </c>
      <c r="Y174" t="n">
        <v>60000000</v>
      </c>
      <c r="Z174" t="n">
        <v>42844200</v>
      </c>
      <c r="AA174" t="inlineStr">
        <is>
          <t>https://knru.ru/catalog/pulkovskoe-shosse-d-95-k-5/</t>
        </is>
      </c>
    </row>
    <row r="175">
      <c r="A175" t="n">
        <v>852</v>
      </c>
      <c r="B175" t="n">
        <v>36</v>
      </c>
      <c r="C175" t="n">
        <v>12</v>
      </c>
      <c r="D175" t="n">
        <v>5</v>
      </c>
      <c r="E175" t="inlineStr">
        <is>
          <t>Адмиралтейский</t>
        </is>
      </c>
      <c r="F175" t="inlineStr">
        <is>
          <t>Декабристов ул, 5 А</t>
        </is>
      </c>
      <c r="G175" t="n">
        <v>149</v>
      </c>
      <c r="H175" t="inlineStr">
        <is>
          <t>43 000 000</t>
        </is>
      </c>
      <c r="I175" t="inlineStr">
        <is>
          <t>54 000 000</t>
        </is>
      </c>
      <c r="J175" t="inlineStr">
        <is>
          <t>У нас дороже на 11 000 000 (25.6%)</t>
        </is>
      </c>
      <c r="K175" t="inlineStr">
        <is>
          <t>11 000 000</t>
        </is>
      </c>
      <c r="L175" t="inlineStr">
        <is>
          <t>25.6%</t>
        </is>
      </c>
      <c r="M175" t="inlineStr">
        <is>
          <t>sale_only</t>
        </is>
      </c>
      <c r="N175" t="inlineStr">
        <is>
          <t>no</t>
        </is>
      </c>
      <c r="O175" t="inlineStr">
        <is>
          <t>none</t>
        </is>
      </c>
      <c r="P175">
        <f>HYPERLINK("https://knru.ru/catalog/ul-dekabristov-d-5/","ссылка")</f>
        <v/>
      </c>
      <c r="Q175">
        <f>HYPERLINK("https://app.worldcafe.ru/object/13775","ссылка")</f>
        <v/>
      </c>
      <c r="R175" t="inlineStr">
        <is>
          <t>По адресу есть, но площадь другая</t>
        </is>
      </c>
      <c r="S175" t="n">
        <v>1</v>
      </c>
      <c r="T175" t="inlineStr">
        <is>
          <t>Архив sale 2876 м² 54 000 000 =HYPERLINK("https://app.worldcafe.ru/object/13775","ссылка")</t>
        </is>
      </c>
      <c r="U175" t="n">
        <v>852</v>
      </c>
      <c r="V175" t="n">
        <v>36</v>
      </c>
      <c r="W175" t="n">
        <v>12</v>
      </c>
      <c r="X175" t="n">
        <v>43000000</v>
      </c>
      <c r="Y175" t="n">
        <v>54000000</v>
      </c>
      <c r="Z175" t="n">
        <v>11000000</v>
      </c>
      <c r="AA175" t="inlineStr">
        <is>
          <t>https://knru.ru/catalog/ul-dekabristov-d-5/</t>
        </is>
      </c>
    </row>
    <row r="176">
      <c r="A176" t="n">
        <v>855</v>
      </c>
      <c r="B176" t="n">
        <v>36</v>
      </c>
      <c r="C176" t="n">
        <v>15</v>
      </c>
      <c r="D176" t="n">
        <v>5</v>
      </c>
      <c r="E176" t="inlineStr">
        <is>
          <t>Красносельский</t>
        </is>
      </c>
      <c r="F176" t="inlineStr">
        <is>
          <t>Ветеранов, 171</t>
        </is>
      </c>
      <c r="G176" t="n">
        <v>265</v>
      </c>
      <c r="H176" t="inlineStr">
        <is>
          <t>100 000 000</t>
        </is>
      </c>
      <c r="I176" t="inlineStr">
        <is>
          <t>2 000 000</t>
        </is>
      </c>
      <c r="J176" t="inlineStr">
        <is>
          <t>У нас дешевле на 98 000 000 (98.0%)</t>
        </is>
      </c>
      <c r="K176" t="inlineStr">
        <is>
          <t>-98 000 000</t>
        </is>
      </c>
      <c r="L176" t="inlineStr">
        <is>
          <t>-98.0%</t>
        </is>
      </c>
      <c r="M176" t="inlineStr">
        <is>
          <t>any_type</t>
        </is>
      </c>
      <c r="N176" t="inlineStr">
        <is>
          <t>no</t>
        </is>
      </c>
      <c r="O176" t="inlineStr">
        <is>
          <t>none</t>
        </is>
      </c>
      <c r="P176">
        <f>HYPERLINK("https://knru.ru/catalog/pr-veteranov-d-171-k-5/","ссылка")</f>
        <v/>
      </c>
      <c r="Q176">
        <f>HYPERLINK("https://app.worldcafe.ru/object/13141","ссылка")</f>
        <v/>
      </c>
      <c r="R176" t="inlineStr">
        <is>
          <t>По адресу есть, но площадь другая</t>
        </is>
      </c>
      <c r="S176" t="n">
        <v>1</v>
      </c>
      <c r="T176" t="inlineStr">
        <is>
          <t>Архив business_sale 63.7 м² 2 000 000 =HYPERLINK("https://app.worldcafe.ru/object/13141","ссылка")</t>
        </is>
      </c>
      <c r="U176" t="n">
        <v>855</v>
      </c>
      <c r="V176" t="n">
        <v>36</v>
      </c>
      <c r="W176" t="n">
        <v>15</v>
      </c>
      <c r="X176" t="n">
        <v>100000000</v>
      </c>
      <c r="Y176" t="n">
        <v>2000000</v>
      </c>
      <c r="Z176" t="n">
        <v>-98000000</v>
      </c>
      <c r="AA176" t="inlineStr">
        <is>
          <t>https://knru.ru/catalog/pr-veteranov-d-171-k-5/</t>
        </is>
      </c>
    </row>
    <row r="177">
      <c r="A177" t="n">
        <v>857</v>
      </c>
      <c r="B177" t="n">
        <v>36</v>
      </c>
      <c r="C177" t="n">
        <v>17</v>
      </c>
      <c r="D177" t="n">
        <v>9</v>
      </c>
      <c r="E177" t="inlineStr">
        <is>
          <t>Приморский</t>
        </is>
      </c>
      <c r="F177" t="inlineStr">
        <is>
          <t>Морская наб, 9</t>
        </is>
      </c>
      <c r="G177" t="n">
        <v>440</v>
      </c>
      <c r="H177" t="inlineStr">
        <is>
          <t>64 000 000</t>
        </is>
      </c>
      <c r="I177" t="inlineStr">
        <is>
          <t>700 000</t>
        </is>
      </c>
      <c r="J177" t="inlineStr">
        <is>
          <t>У нас дешевле на 63 300 000 (98.9%)</t>
        </is>
      </c>
      <c r="K177" t="inlineStr">
        <is>
          <t>-63 300 000</t>
        </is>
      </c>
      <c r="L177" t="inlineStr">
        <is>
          <t>-98.9%</t>
        </is>
      </c>
      <c r="M177" t="inlineStr">
        <is>
          <t>any_type</t>
        </is>
      </c>
      <c r="N177" t="inlineStr">
        <is>
          <t>no</t>
        </is>
      </c>
      <c r="O177" t="inlineStr">
        <is>
          <t>none</t>
        </is>
      </c>
      <c r="P177">
        <f>HYPERLINK("https://knru.ru/catalog/morskaya-naberezhnaya-d-9/","ссылка")</f>
        <v/>
      </c>
      <c r="Q177">
        <f>HYPERLINK("https://app.worldcafe.ru/object/13682","ссылка")</f>
        <v/>
      </c>
      <c r="R177" t="inlineStr">
        <is>
          <t>По адресу есть, но площадь другая</t>
        </is>
      </c>
      <c r="S177" t="n">
        <v>1</v>
      </c>
      <c r="T177" t="inlineStr">
        <is>
          <t>На сайте rent 350 м² 700 000 =HYPERLINK("https://app.worldcafe.ru/object/13682","ссылка")</t>
        </is>
      </c>
      <c r="U177" t="n">
        <v>857</v>
      </c>
      <c r="V177" t="n">
        <v>36</v>
      </c>
      <c r="W177" t="n">
        <v>17</v>
      </c>
      <c r="X177" t="n">
        <v>64000000</v>
      </c>
      <c r="Y177" t="n">
        <v>700000</v>
      </c>
      <c r="Z177" t="n">
        <v>-63300000</v>
      </c>
      <c r="AA177" t="inlineStr">
        <is>
          <t>https://knru.ru/catalog/morskaya-naberezhnaya-d-9/</t>
        </is>
      </c>
    </row>
    <row r="178">
      <c r="A178" t="n">
        <v>858</v>
      </c>
      <c r="B178" t="n">
        <v>36</v>
      </c>
      <c r="C178" t="n">
        <v>18</v>
      </c>
      <c r="D178" t="n">
        <v>20</v>
      </c>
      <c r="E178" t="inlineStr">
        <is>
          <t>Центральный</t>
        </is>
      </c>
      <c r="F178" t="inlineStr">
        <is>
          <t>Невский, 20</t>
        </is>
      </c>
      <c r="G178" t="n">
        <v>2216</v>
      </c>
      <c r="H178" t="inlineStr">
        <is>
          <t>729 900 000</t>
        </is>
      </c>
      <c r="I178" t="inlineStr">
        <is>
          <t>200 000</t>
        </is>
      </c>
      <c r="J178" t="inlineStr">
        <is>
          <t>У нас дешевле на 729 700 000 (100.0%)</t>
        </is>
      </c>
      <c r="K178" t="inlineStr">
        <is>
          <t>-729 700 000</t>
        </is>
      </c>
      <c r="L178" t="inlineStr">
        <is>
          <t>-100.0%</t>
        </is>
      </c>
      <c r="M178" t="inlineStr">
        <is>
          <t>any_type</t>
        </is>
      </c>
      <c r="N178" t="inlineStr">
        <is>
          <t>no</t>
        </is>
      </c>
      <c r="O178" t="inlineStr">
        <is>
          <t>none</t>
        </is>
      </c>
      <c r="P178">
        <f>HYPERLINK("https://knru.ru/catalog/nevskiy-prospekt-d-20/","ссылка")</f>
        <v/>
      </c>
      <c r="Q178">
        <f>HYPERLINK("https://app.worldcafe.ru/object/11536","ссылка")</f>
        <v/>
      </c>
      <c r="R178" t="inlineStr">
        <is>
          <t>По адресу есть, но площадь другая</t>
        </is>
      </c>
      <c r="S178" t="n">
        <v>3</v>
      </c>
      <c r="T178" t="inlineStr">
        <is>
          <t>Без сделки no_deal 294.6 м² =HYPERLINK("https://app.worldcafe.ru/object/14615","ссылка") | Без сделки no_deal 177 м² =HYPERLINK("https://app.worldcafe.ru/object/14614","ссылка") | Архив rent 84 м² 200 000 =HYPERLINK("https://app.worldcafe.ru/object/11536","ссылка")</t>
        </is>
      </c>
      <c r="U178" t="n">
        <v>858</v>
      </c>
      <c r="V178" t="n">
        <v>36</v>
      </c>
      <c r="W178" t="n">
        <v>18</v>
      </c>
      <c r="X178" t="n">
        <v>729900000</v>
      </c>
      <c r="Y178" t="n">
        <v>200000</v>
      </c>
      <c r="Z178" t="n">
        <v>-729700000</v>
      </c>
      <c r="AA178" t="inlineStr">
        <is>
          <t>https://knru.ru/catalog/nevskiy-prospekt-d-20/</t>
        </is>
      </c>
    </row>
    <row r="179">
      <c r="A179" t="n">
        <v>886</v>
      </c>
      <c r="B179" t="n">
        <v>37</v>
      </c>
      <c r="C179" t="n">
        <v>22</v>
      </c>
      <c r="D179" t="n">
        <v>1182594598</v>
      </c>
      <c r="E179" t="inlineStr">
        <is>
          <t>Центральный</t>
        </is>
      </c>
      <c r="F179" t="inlineStr">
        <is>
          <t>Разъезжая ул, 12</t>
        </is>
      </c>
      <c r="G179" t="n">
        <v>200</v>
      </c>
      <c r="H179" t="inlineStr">
        <is>
          <t>72 000 000</t>
        </is>
      </c>
      <c r="I179" t="inlineStr">
        <is>
          <t>58 700 000</t>
        </is>
      </c>
      <c r="J179" t="inlineStr">
        <is>
          <t>У нас дешевле на 13 300 000 (18.5%)</t>
        </is>
      </c>
      <c r="K179" t="inlineStr">
        <is>
          <t>-13 300 000</t>
        </is>
      </c>
      <c r="L179" t="inlineStr">
        <is>
          <t>-18.5%</t>
        </is>
      </c>
      <c r="M179" t="inlineStr">
        <is>
          <t>sale_only</t>
        </is>
      </c>
      <c r="N179" t="inlineStr">
        <is>
          <t>no</t>
        </is>
      </c>
      <c r="O179" t="inlineStr">
        <is>
          <t>none</t>
        </is>
      </c>
      <c r="P179">
        <f>HYPERLINK("https://knru.ru/catalog/razezzhaya-ul-d-12-1182594598/","ссылка")</f>
        <v/>
      </c>
      <c r="Q179">
        <f>HYPERLINK("https://app.worldcafe.ru/object/10047","ссылка")</f>
        <v/>
      </c>
      <c r="R179" t="inlineStr">
        <is>
          <t>По адресу есть, но площадь другая</t>
        </is>
      </c>
      <c r="S179" t="n">
        <v>4</v>
      </c>
      <c r="T179" t="inlineStr">
        <is>
          <t>Архив rent 210 м² 500 000 =HYPERLINK("https://app.worldcafe.ru/object/14016","ссылка") | На сайте sale 210 м² 75 000 000 =HYPERLINK("https://app.worldcafe.ru/object/14016","ссылка") | Архив sale 290 м² 58 700 000 =HYPERLINK("https://app.worldcafe.ru/object/10047","ссылка") | Без сделки no_deal 342 м² =HYPERLINK("https://app.worldcafe.ru/object/16716","ссылка")</t>
        </is>
      </c>
      <c r="U179" t="n">
        <v>886</v>
      </c>
      <c r="V179" t="n">
        <v>37</v>
      </c>
      <c r="W179" t="n">
        <v>22</v>
      </c>
      <c r="X179" t="n">
        <v>72000000</v>
      </c>
      <c r="Y179" t="n">
        <v>58700000</v>
      </c>
      <c r="Z179" t="n">
        <v>-13300000</v>
      </c>
      <c r="AA179" t="inlineStr">
        <is>
          <t>https://knru.ru/catalog/razezzhaya-ul-d-12-1182594598/</t>
        </is>
      </c>
    </row>
    <row r="180">
      <c r="A180" t="n">
        <v>888</v>
      </c>
      <c r="B180" t="n">
        <v>37</v>
      </c>
      <c r="C180" t="n">
        <v>24</v>
      </c>
      <c r="D180" t="n">
        <v>8</v>
      </c>
      <c r="E180" t="inlineStr">
        <is>
          <t>Невский</t>
        </is>
      </c>
      <c r="F180" t="inlineStr">
        <is>
          <t>Российский пр-кт, 8</t>
        </is>
      </c>
      <c r="G180" t="n">
        <v>283</v>
      </c>
      <c r="H180" t="inlineStr">
        <is>
          <t>50 000 000</t>
        </is>
      </c>
      <c r="I180" t="inlineStr">
        <is>
          <t>29 900 000</t>
        </is>
      </c>
      <c r="J180" t="inlineStr">
        <is>
          <t>У нас дешевле на 20 100 000 (40.2%)</t>
        </is>
      </c>
      <c r="K180" t="inlineStr">
        <is>
          <t>-20 100 000</t>
        </is>
      </c>
      <c r="L180" t="inlineStr">
        <is>
          <t>-40.2%</t>
        </is>
      </c>
      <c r="M180" t="inlineStr">
        <is>
          <t>sale_only</t>
        </is>
      </c>
      <c r="N180" t="inlineStr">
        <is>
          <t>no</t>
        </is>
      </c>
      <c r="O180" t="inlineStr">
        <is>
          <t>none</t>
        </is>
      </c>
      <c r="P180">
        <f>HYPERLINK("https://knru.ru/catalog/rossijskij-pr-d-8/","ссылка")</f>
        <v/>
      </c>
      <c r="Q180">
        <f>HYPERLINK("https://app.worldcafe.ru/object/19015","ссылка")</f>
        <v/>
      </c>
      <c r="R180" t="inlineStr">
        <is>
          <t>По адресу есть, но площадь другая</t>
        </is>
      </c>
      <c r="S180" t="n">
        <v>2</v>
      </c>
      <c r="T180" t="inlineStr">
        <is>
          <t>Архив sale 246.3 м² 37 999 874 =HYPERLINK("https://app.worldcafe.ru/object/18975","ссылка") | Архив sale 127 м² 29 900 000 =HYPERLINK("https://app.worldcafe.ru/object/19015","ссылка")</t>
        </is>
      </c>
      <c r="U180" t="n">
        <v>888</v>
      </c>
      <c r="V180" t="n">
        <v>37</v>
      </c>
      <c r="W180" t="n">
        <v>24</v>
      </c>
      <c r="X180" t="n">
        <v>50000000</v>
      </c>
      <c r="Y180" t="n">
        <v>29900000</v>
      </c>
      <c r="Z180" t="n">
        <v>-20100000</v>
      </c>
      <c r="AA180" t="inlineStr">
        <is>
          <t>https://knru.ru/catalog/rossijskij-pr-d-8/</t>
        </is>
      </c>
    </row>
    <row r="181">
      <c r="A181" t="n">
        <v>904</v>
      </c>
      <c r="B181" t="n">
        <v>38</v>
      </c>
      <c r="C181" t="n">
        <v>16</v>
      </c>
      <c r="D181" t="n">
        <v>561422</v>
      </c>
      <c r="E181" t="inlineStr">
        <is>
          <t>Фрунзенский</t>
        </is>
      </c>
      <c r="F181" t="inlineStr">
        <is>
          <t>Малая Бухарестская ул, 12 строение 1</t>
        </is>
      </c>
      <c r="G181" t="n">
        <v>82.2</v>
      </c>
      <c r="H181" t="inlineStr">
        <is>
          <t>18 350 000</t>
        </is>
      </c>
      <c r="I181" t="inlineStr">
        <is>
          <t>140 000</t>
        </is>
      </c>
      <c r="J181" t="inlineStr">
        <is>
          <t>У нас дешевле на 18 210 000 (99.2%)</t>
        </is>
      </c>
      <c r="K181" t="inlineStr">
        <is>
          <t>-18 210 000</t>
        </is>
      </c>
      <c r="L181" t="inlineStr">
        <is>
          <t>-99.2%</t>
        </is>
      </c>
      <c r="M181" t="inlineStr">
        <is>
          <t>any_type</t>
        </is>
      </c>
      <c r="N181" t="inlineStr">
        <is>
          <t>no</t>
        </is>
      </c>
      <c r="O181" t="inlineStr">
        <is>
          <t>none</t>
        </is>
      </c>
      <c r="P181">
        <f>HYPERLINK("https://knru.ru/catalog/ul-malaya-buxarestskaya-d-12-561422/","ссылка")</f>
        <v/>
      </c>
      <c r="Q181">
        <f>HYPERLINK("https://app.worldcafe.ru/object/19787","ссылка")</f>
        <v/>
      </c>
      <c r="R181" t="inlineStr">
        <is>
          <t>По адресу есть, но площадь другая</t>
        </is>
      </c>
      <c r="S181" t="n">
        <v>2</v>
      </c>
      <c r="T181" t="inlineStr">
        <is>
          <t>На сайте rent 69.7 м² 140 000 =HYPERLINK("https://app.worldcafe.ru/object/19787","ссылка") | Архив rent 105 м² 185 000 =HYPERLINK("https://app.worldcafe.ru/object/13451","ссылка")</t>
        </is>
      </c>
      <c r="U181" t="n">
        <v>904</v>
      </c>
      <c r="V181" t="n">
        <v>38</v>
      </c>
      <c r="W181" t="n">
        <v>16</v>
      </c>
      <c r="X181" t="n">
        <v>18350000</v>
      </c>
      <c r="Y181" t="n">
        <v>140000</v>
      </c>
      <c r="Z181" t="n">
        <v>-18210000</v>
      </c>
      <c r="AA181" t="inlineStr">
        <is>
          <t>https://knru.ru/catalog/ul-malaya-buxarestskaya-d-12-561422/</t>
        </is>
      </c>
    </row>
    <row r="182">
      <c r="A182" t="n">
        <v>912</v>
      </c>
      <c r="B182" t="n">
        <v>38</v>
      </c>
      <c r="C182" t="n">
        <v>24</v>
      </c>
      <c r="D182" t="n">
        <v>8</v>
      </c>
      <c r="E182" t="inlineStr">
        <is>
          <t>Невский</t>
        </is>
      </c>
      <c r="F182" t="inlineStr">
        <is>
          <t>Российский пр-кт, 8</t>
        </is>
      </c>
      <c r="G182" t="n">
        <v>283</v>
      </c>
      <c r="H182" t="inlineStr">
        <is>
          <t>47 000 000</t>
        </is>
      </c>
      <c r="I182" t="inlineStr">
        <is>
          <t>29 900 000</t>
        </is>
      </c>
      <c r="J182" t="inlineStr">
        <is>
          <t>У нас дешевле на 17 100 000 (36.4%)</t>
        </is>
      </c>
      <c r="K182" t="inlineStr">
        <is>
          <t>-17 100 000</t>
        </is>
      </c>
      <c r="L182" t="inlineStr">
        <is>
          <t>-36.4%</t>
        </is>
      </c>
      <c r="M182" t="inlineStr">
        <is>
          <t>sale_only</t>
        </is>
      </c>
      <c r="N182" t="inlineStr">
        <is>
          <t>no</t>
        </is>
      </c>
      <c r="O182" t="inlineStr">
        <is>
          <t>none</t>
        </is>
      </c>
      <c r="P182">
        <f>HYPERLINK("https://knru.ru/catalog/rossijskij-prospekt-d-8/","ссылка")</f>
        <v/>
      </c>
      <c r="Q182">
        <f>HYPERLINK("https://app.worldcafe.ru/object/19015","ссылка")</f>
        <v/>
      </c>
      <c r="R182" t="inlineStr">
        <is>
          <t>По адресу есть, но площадь другая</t>
        </is>
      </c>
      <c r="S182" t="n">
        <v>2</v>
      </c>
      <c r="T182" t="inlineStr">
        <is>
          <t>Архив sale 246.3 м² 37 999 874 =HYPERLINK("https://app.worldcafe.ru/object/18975","ссылка") | Архив sale 127 м² 29 900 000 =HYPERLINK("https://app.worldcafe.ru/object/19015","ссылка")</t>
        </is>
      </c>
      <c r="U182" t="n">
        <v>912</v>
      </c>
      <c r="V182" t="n">
        <v>38</v>
      </c>
      <c r="W182" t="n">
        <v>24</v>
      </c>
      <c r="X182" t="n">
        <v>47000000</v>
      </c>
      <c r="Y182" t="n">
        <v>29900000</v>
      </c>
      <c r="Z182" t="n">
        <v>-17100000</v>
      </c>
      <c r="AA182" t="inlineStr">
        <is>
          <t>https://knru.ru/catalog/rossijskij-prospekt-d-8/</t>
        </is>
      </c>
    </row>
    <row r="183">
      <c r="A183" t="n">
        <v>913</v>
      </c>
      <c r="B183" t="n">
        <v>39</v>
      </c>
      <c r="C183" t="n">
        <v>1</v>
      </c>
      <c r="D183" t="n">
        <v>561338</v>
      </c>
      <c r="E183" t="inlineStr">
        <is>
          <t>Московский</t>
        </is>
      </c>
      <c r="F183" t="inlineStr">
        <is>
          <t>Московский пр-кт, 72к2</t>
        </is>
      </c>
      <c r="G183" t="n">
        <v>64.5</v>
      </c>
      <c r="H183" t="inlineStr">
        <is>
          <t>23 771 014</t>
        </is>
      </c>
      <c r="I183" t="inlineStr">
        <is>
          <t>30 400 000</t>
        </is>
      </c>
      <c r="J183" t="inlineStr">
        <is>
          <t>У нас дороже на 6 628 986 (27.9%)</t>
        </is>
      </c>
      <c r="K183" t="inlineStr">
        <is>
          <t>6 628 986</t>
        </is>
      </c>
      <c r="L183" t="inlineStr">
        <is>
          <t>27.9%</t>
        </is>
      </c>
      <c r="M183" t="inlineStr">
        <is>
          <t>sale_only</t>
        </is>
      </c>
      <c r="N183" t="inlineStr">
        <is>
          <t>no</t>
        </is>
      </c>
      <c r="O183" t="inlineStr">
        <is>
          <t>none</t>
        </is>
      </c>
      <c r="P183">
        <f>HYPERLINK("https://knru.ru/catalog/moskovskij-pr-d-72-k-2-561338/","ссылка")</f>
        <v/>
      </c>
      <c r="Q183">
        <f>HYPERLINK("https://app.worldcafe.ru/object/19722","ссылка")</f>
        <v/>
      </c>
      <c r="R183" t="inlineStr">
        <is>
          <t>По адресу есть, но площадь другая</t>
        </is>
      </c>
      <c r="S183" t="n">
        <v>1</v>
      </c>
      <c r="T183" t="inlineStr">
        <is>
          <t>Архив sale 98.4 м² 30 400 000 =HYPERLINK("https://app.worldcafe.ru/object/19722","ссылка")</t>
        </is>
      </c>
      <c r="U183" t="n">
        <v>913</v>
      </c>
      <c r="V183" t="n">
        <v>39</v>
      </c>
      <c r="W183" t="n">
        <v>1</v>
      </c>
      <c r="X183" t="n">
        <v>23771014</v>
      </c>
      <c r="Y183" t="n">
        <v>30400000</v>
      </c>
      <c r="Z183" t="n">
        <v>6628986</v>
      </c>
      <c r="AA183" t="inlineStr">
        <is>
          <t>https://knru.ru/catalog/moskovskij-pr-d-72-k-2-561338/</t>
        </is>
      </c>
    </row>
    <row r="184">
      <c r="A184" t="n">
        <v>914</v>
      </c>
      <c r="B184" t="n">
        <v>39</v>
      </c>
      <c r="C184" t="n">
        <v>2</v>
      </c>
      <c r="D184" t="n">
        <v>561337</v>
      </c>
      <c r="E184" t="inlineStr">
        <is>
          <t>Московский</t>
        </is>
      </c>
      <c r="F184" t="inlineStr">
        <is>
          <t>Московский пр-кт, 72к2</t>
        </is>
      </c>
      <c r="G184" t="n">
        <v>50.9</v>
      </c>
      <c r="H184" t="inlineStr">
        <is>
          <t>18 002 196</t>
        </is>
      </c>
      <c r="I184" t="inlineStr">
        <is>
          <t>30 400 000</t>
        </is>
      </c>
      <c r="J184" t="inlineStr">
        <is>
          <t>У нас дороже на 12 397 804 (68.9%)</t>
        </is>
      </c>
      <c r="K184" t="inlineStr">
        <is>
          <t>12 397 804</t>
        </is>
      </c>
      <c r="L184" t="inlineStr">
        <is>
          <t>68.9%</t>
        </is>
      </c>
      <c r="M184" t="inlineStr">
        <is>
          <t>sale_only</t>
        </is>
      </c>
      <c r="N184" t="inlineStr">
        <is>
          <t>no</t>
        </is>
      </c>
      <c r="O184" t="inlineStr">
        <is>
          <t>none</t>
        </is>
      </c>
      <c r="P184">
        <f>HYPERLINK("https://knru.ru/catalog/moskovskij-pr-d-72-k-2-561337/","ссылка")</f>
        <v/>
      </c>
      <c r="Q184">
        <f>HYPERLINK("https://app.worldcafe.ru/object/19722","ссылка")</f>
        <v/>
      </c>
      <c r="R184" t="inlineStr">
        <is>
          <t>По адресу есть, но площадь другая</t>
        </is>
      </c>
      <c r="S184" t="n">
        <v>1</v>
      </c>
      <c r="T184" t="inlineStr">
        <is>
          <t>Архив sale 98.4 м² 30 400 000 =HYPERLINK("https://app.worldcafe.ru/object/19722","ссылка")</t>
        </is>
      </c>
      <c r="U184" t="n">
        <v>914</v>
      </c>
      <c r="V184" t="n">
        <v>39</v>
      </c>
      <c r="W184" t="n">
        <v>2</v>
      </c>
      <c r="X184" t="n">
        <v>18002196</v>
      </c>
      <c r="Y184" t="n">
        <v>30400000</v>
      </c>
      <c r="Z184" t="n">
        <v>12397804</v>
      </c>
      <c r="AA184" t="inlineStr">
        <is>
          <t>https://knru.ru/catalog/moskovskij-pr-d-72-k-2-561337/</t>
        </is>
      </c>
    </row>
    <row r="185">
      <c r="A185" t="n">
        <v>915</v>
      </c>
      <c r="B185" t="n">
        <v>39</v>
      </c>
      <c r="C185" t="n">
        <v>3</v>
      </c>
      <c r="D185" t="n">
        <v>2</v>
      </c>
      <c r="E185" t="inlineStr">
        <is>
          <t>Московский</t>
        </is>
      </c>
      <c r="F185" t="inlineStr">
        <is>
          <t>Московский пр-кт, 72к2</t>
        </is>
      </c>
      <c r="G185" t="n">
        <v>48.4</v>
      </c>
      <c r="H185" t="inlineStr">
        <is>
          <t>18 098 260</t>
        </is>
      </c>
      <c r="I185" t="inlineStr">
        <is>
          <t>30 400 000</t>
        </is>
      </c>
      <c r="J185" t="inlineStr">
        <is>
          <t>У нас дороже на 12 301 740 (68.0%)</t>
        </is>
      </c>
      <c r="K185" t="inlineStr">
        <is>
          <t>12 301 740</t>
        </is>
      </c>
      <c r="L185" t="inlineStr">
        <is>
          <t>68.0%</t>
        </is>
      </c>
      <c r="M185" t="inlineStr">
        <is>
          <t>sale_only</t>
        </is>
      </c>
      <c r="N185" t="inlineStr">
        <is>
          <t>no</t>
        </is>
      </c>
      <c r="O185" t="inlineStr">
        <is>
          <t>none</t>
        </is>
      </c>
      <c r="P185">
        <f>HYPERLINK("https://knru.ru/catalog/moskovskij-pr-d-72-k-2/","ссылка")</f>
        <v/>
      </c>
      <c r="Q185">
        <f>HYPERLINK("https://app.worldcafe.ru/object/19722","ссылка")</f>
        <v/>
      </c>
      <c r="R185" t="inlineStr">
        <is>
          <t>По адресу есть, но площадь другая</t>
        </is>
      </c>
      <c r="S185" t="n">
        <v>1</v>
      </c>
      <c r="T185" t="inlineStr">
        <is>
          <t>Архив sale 98.4 м² 30 400 000 =HYPERLINK("https://app.worldcafe.ru/object/19722","ссылка")</t>
        </is>
      </c>
      <c r="U185" t="n">
        <v>915</v>
      </c>
      <c r="V185" t="n">
        <v>39</v>
      </c>
      <c r="W185" t="n">
        <v>3</v>
      </c>
      <c r="X185" t="n">
        <v>18098260</v>
      </c>
      <c r="Y185" t="n">
        <v>30400000</v>
      </c>
      <c r="Z185" t="n">
        <v>12301740</v>
      </c>
      <c r="AA185" t="inlineStr">
        <is>
          <t>https://knru.ru/catalog/moskovskij-pr-d-72-k-2/</t>
        </is>
      </c>
    </row>
    <row r="186">
      <c r="A186" t="n">
        <v>971</v>
      </c>
      <c r="B186" t="n">
        <v>41</v>
      </c>
      <c r="C186" t="n">
        <v>11</v>
      </c>
      <c r="D186" t="n">
        <v>561006</v>
      </c>
      <c r="E186" t="inlineStr">
        <is>
          <t>Красносельский</t>
        </is>
      </c>
      <c r="F186" t="inlineStr">
        <is>
          <t>Восстановления ул, 19</t>
        </is>
      </c>
      <c r="G186" t="n">
        <v>123</v>
      </c>
      <c r="H186" t="inlineStr">
        <is>
          <t>16 605 000</t>
        </is>
      </c>
      <c r="I186" t="inlineStr">
        <is>
          <t>17 813 400</t>
        </is>
      </c>
      <c r="J186" t="inlineStr">
        <is>
          <t>У нас дороже на 1 208 400 (7.3%)</t>
        </is>
      </c>
      <c r="K186" t="inlineStr">
        <is>
          <t>1 208 400</t>
        </is>
      </c>
      <c r="L186" t="inlineStr">
        <is>
          <t>7.3%</t>
        </is>
      </c>
      <c r="M186" t="inlineStr">
        <is>
          <t>sale_only</t>
        </is>
      </c>
      <c r="N186" t="inlineStr">
        <is>
          <t>no</t>
        </is>
      </c>
      <c r="O186" t="inlineStr">
        <is>
          <t>none</t>
        </is>
      </c>
      <c r="P186">
        <f>HYPERLINK("https://knru.ru/catalog/ul-vosstanovleniya-d-19-561006/","ссылка")</f>
        <v/>
      </c>
      <c r="Q186">
        <f>HYPERLINK("https://app.worldcafe.ru/object/15625","ссылка")</f>
        <v/>
      </c>
      <c r="R186" t="inlineStr">
        <is>
          <t>По адресу есть, но площадь другая</t>
        </is>
      </c>
      <c r="S186" t="n">
        <v>2</v>
      </c>
      <c r="T186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186" t="n">
        <v>971</v>
      </c>
      <c r="V186" t="n">
        <v>41</v>
      </c>
      <c r="W186" t="n">
        <v>11</v>
      </c>
      <c r="X186" t="n">
        <v>16605000</v>
      </c>
      <c r="Y186" t="n">
        <v>17813400</v>
      </c>
      <c r="Z186" t="n">
        <v>1208400</v>
      </c>
      <c r="AA186" t="inlineStr">
        <is>
          <t>https://knru.ru/catalog/ul-vosstanovleniya-d-19-561006/</t>
        </is>
      </c>
    </row>
    <row r="187">
      <c r="A187" t="n">
        <v>973</v>
      </c>
      <c r="B187" t="n">
        <v>41</v>
      </c>
      <c r="C187" t="n">
        <v>13</v>
      </c>
      <c r="D187" t="n">
        <v>561004</v>
      </c>
      <c r="E187" t="inlineStr">
        <is>
          <t>Красносельский</t>
        </is>
      </c>
      <c r="F187" t="inlineStr">
        <is>
          <t>Восстановления ул, 19</t>
        </is>
      </c>
      <c r="G187" t="n">
        <v>149.7</v>
      </c>
      <c r="H187" t="inlineStr">
        <is>
          <t>18 708 750</t>
        </is>
      </c>
      <c r="I187" t="inlineStr">
        <is>
          <t>17 813 400</t>
        </is>
      </c>
      <c r="J187" t="inlineStr">
        <is>
          <t>У нас дешевле на 895 350 (4.8%)</t>
        </is>
      </c>
      <c r="K187" t="inlineStr">
        <is>
          <t>-895 350</t>
        </is>
      </c>
      <c r="L187" t="inlineStr">
        <is>
          <t>-4.8%</t>
        </is>
      </c>
      <c r="M187" t="inlineStr">
        <is>
          <t>sale_only</t>
        </is>
      </c>
      <c r="N187" t="inlineStr">
        <is>
          <t>no</t>
        </is>
      </c>
      <c r="O187" t="inlineStr">
        <is>
          <t>none</t>
        </is>
      </c>
      <c r="P187">
        <f>HYPERLINK("https://knru.ru/catalog/ul-vosstanovleniya-d-19-561004/","ссылка")</f>
        <v/>
      </c>
      <c r="Q187">
        <f>HYPERLINK("https://app.worldcafe.ru/object/15625","ссылка")</f>
        <v/>
      </c>
      <c r="R187" t="inlineStr">
        <is>
          <t>По адресу есть, но площадь другая</t>
        </is>
      </c>
      <c r="S187" t="n">
        <v>2</v>
      </c>
      <c r="T187" t="inlineStr">
        <is>
          <t>На сайте sale 163.4 м² 22 060 350 =HYPERLINK("https://app.worldcafe.ru/object/15626","ссылка") | На сайте sale 108 м² 17 813 400 =HYPERLINK("https://app.worldcafe.ru/object/15625","ссылка")</t>
        </is>
      </c>
      <c r="U187" t="n">
        <v>973</v>
      </c>
      <c r="V187" t="n">
        <v>41</v>
      </c>
      <c r="W187" t="n">
        <v>13</v>
      </c>
      <c r="X187" t="n">
        <v>18708750</v>
      </c>
      <c r="Y187" t="n">
        <v>17813400</v>
      </c>
      <c r="Z187" t="n">
        <v>-895350</v>
      </c>
      <c r="AA187" t="inlineStr">
        <is>
          <t>https://knru.ru/catalog/ul-vosstanovleniya-d-19-561004/</t>
        </is>
      </c>
    </row>
    <row r="188">
      <c r="A188" t="n">
        <v>974</v>
      </c>
      <c r="B188" t="n">
        <v>41</v>
      </c>
      <c r="C188" t="n">
        <v>14</v>
      </c>
      <c r="D188" t="n">
        <v>561002</v>
      </c>
      <c r="E188" t="inlineStr">
        <is>
          <t>Красносельский</t>
        </is>
      </c>
      <c r="F188" t="inlineStr">
        <is>
          <t>Восстановления ул, 19</t>
        </is>
      </c>
      <c r="G188" t="n">
        <v>113.8</v>
      </c>
      <c r="H188" t="inlineStr">
        <is>
          <t>28 440 000</t>
        </is>
      </c>
      <c r="I188" t="inlineStr">
        <is>
          <t>17 813 400</t>
        </is>
      </c>
      <c r="J188" t="inlineStr">
        <is>
          <t>У нас дешевле на 10 626 600 (37.4%)</t>
        </is>
      </c>
      <c r="K188" t="inlineStr">
        <is>
          <t>-10 626 600</t>
        </is>
      </c>
      <c r="L188" t="inlineStr">
        <is>
          <t>-37.4%</t>
        </is>
      </c>
      <c r="M188" t="inlineStr">
        <is>
          <t>sale_only</t>
        </is>
      </c>
      <c r="N188" t="inlineStr">
        <is>
          <t>no</t>
        </is>
      </c>
      <c r="O188" t="inlineStr">
        <is>
          <t>none</t>
        </is>
      </c>
      <c r="P188">
        <f>HYPERLINK("https://knru.ru/catalog/ul-vosstanovleniya-d-19-561002/","ссылка")</f>
        <v/>
      </c>
      <c r="Q188">
        <f>HYPERLINK("https://app.worldcafe.ru/object/15625","ссылка")</f>
        <v/>
      </c>
      <c r="R188" t="inlineStr">
        <is>
          <t>По адресу есть, но площадь другая</t>
        </is>
      </c>
      <c r="S188" t="n">
        <v>2</v>
      </c>
      <c r="T188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188" t="n">
        <v>974</v>
      </c>
      <c r="V188" t="n">
        <v>41</v>
      </c>
      <c r="W188" t="n">
        <v>14</v>
      </c>
      <c r="X188" t="n">
        <v>28440000</v>
      </c>
      <c r="Y188" t="n">
        <v>17813400</v>
      </c>
      <c r="Z188" t="n">
        <v>-10626600</v>
      </c>
      <c r="AA188" t="inlineStr">
        <is>
          <t>https://knru.ru/catalog/ul-vosstanovleniya-d-19-561002/</t>
        </is>
      </c>
    </row>
    <row r="189">
      <c r="A189" t="n">
        <v>977</v>
      </c>
      <c r="B189" t="n">
        <v>41</v>
      </c>
      <c r="C189" t="n">
        <v>17</v>
      </c>
      <c r="D189" t="n">
        <v>551996</v>
      </c>
      <c r="E189" t="inlineStr">
        <is>
          <t>Калининский</t>
        </is>
      </c>
      <c r="F189" t="inlineStr">
        <is>
          <t>Светлановский пр-кт, 85</t>
        </is>
      </c>
      <c r="G189" t="n">
        <v>95.5</v>
      </c>
      <c r="H189" t="inlineStr">
        <is>
          <t>22 000 000</t>
        </is>
      </c>
      <c r="I189" t="inlineStr">
        <is>
          <t>40 988 800</t>
        </is>
      </c>
      <c r="J189" t="inlineStr">
        <is>
          <t>У нас дороже на 18 988 800 (86.3%)</t>
        </is>
      </c>
      <c r="K189" t="inlineStr">
        <is>
          <t>18 988 800</t>
        </is>
      </c>
      <c r="L189" t="inlineStr">
        <is>
          <t>86.3%</t>
        </is>
      </c>
      <c r="M189" t="inlineStr">
        <is>
          <t>sale_only</t>
        </is>
      </c>
      <c r="N189" t="inlineStr">
        <is>
          <t>no</t>
        </is>
      </c>
      <c r="O189" t="inlineStr">
        <is>
          <t>none</t>
        </is>
      </c>
      <c r="P189">
        <f>HYPERLINK("https://knru.ru/catalog/svetlanovskij-pr-d-85-551996/","ссылка")</f>
        <v/>
      </c>
      <c r="Q189">
        <f>HYPERLINK("https://app.worldcafe.ru/object/15547","ссылка")</f>
        <v/>
      </c>
      <c r="R189" t="inlineStr">
        <is>
          <t>По адресу есть, но площадь другая</t>
        </is>
      </c>
      <c r="S189" t="n">
        <v>1</v>
      </c>
      <c r="T189" t="inlineStr">
        <is>
          <t>На сайте sale 128.1 м² 40 988 800 =HYPERLINK("https://app.worldcafe.ru/object/15547","ссылка")</t>
        </is>
      </c>
      <c r="U189" t="n">
        <v>977</v>
      </c>
      <c r="V189" t="n">
        <v>41</v>
      </c>
      <c r="W189" t="n">
        <v>17</v>
      </c>
      <c r="X189" t="n">
        <v>22000000</v>
      </c>
      <c r="Y189" t="n">
        <v>40988800</v>
      </c>
      <c r="Z189" t="n">
        <v>18988800</v>
      </c>
      <c r="AA189" t="inlineStr">
        <is>
          <t>https://knru.ru/catalog/svetlanovskij-pr-d-85-551996/</t>
        </is>
      </c>
    </row>
    <row r="190">
      <c r="A190" t="n">
        <v>978</v>
      </c>
      <c r="B190" t="n">
        <v>41</v>
      </c>
      <c r="C190" t="n">
        <v>18</v>
      </c>
      <c r="D190" t="n">
        <v>551989</v>
      </c>
      <c r="E190" t="inlineStr">
        <is>
          <t>Красносельский</t>
        </is>
      </c>
      <c r="F190" t="inlineStr">
        <is>
          <t>Восстановления ул, 19</t>
        </is>
      </c>
      <c r="G190" t="n">
        <v>34.1</v>
      </c>
      <c r="H190" t="inlineStr">
        <is>
          <t>6 095 775</t>
        </is>
      </c>
      <c r="I190" t="inlineStr">
        <is>
          <t>17 813 400</t>
        </is>
      </c>
      <c r="J190" t="inlineStr">
        <is>
          <t>У нас дороже на 11 717 625 (192.2%)</t>
        </is>
      </c>
      <c r="K190" t="inlineStr">
        <is>
          <t>11 717 625</t>
        </is>
      </c>
      <c r="L190" t="inlineStr">
        <is>
          <t>192.2%</t>
        </is>
      </c>
      <c r="M190" t="inlineStr">
        <is>
          <t>sale_only</t>
        </is>
      </c>
      <c r="N190" t="inlineStr">
        <is>
          <t>no</t>
        </is>
      </c>
      <c r="O190" t="inlineStr">
        <is>
          <t>none</t>
        </is>
      </c>
      <c r="P190">
        <f>HYPERLINK("https://knru.ru/catalog/ul-vosstanovleniya-d-19-551989/","ссылка")</f>
        <v/>
      </c>
      <c r="Q190">
        <f>HYPERLINK("https://app.worldcafe.ru/object/15625","ссылка")</f>
        <v/>
      </c>
      <c r="R190" t="inlineStr">
        <is>
          <t>По адресу есть, но площадь другая</t>
        </is>
      </c>
      <c r="S190" t="n">
        <v>2</v>
      </c>
      <c r="T190" t="inlineStr">
        <is>
          <t>На сайте sale 108 м² 17 813 400 =HYPERLINK("https://app.worldcafe.ru/object/15625","ссылка") | На сайте sale 163.4 м² 22 060 350 =HYPERLINK("https://app.worldcafe.ru/object/15626","ссылка")</t>
        </is>
      </c>
      <c r="U190" t="n">
        <v>978</v>
      </c>
      <c r="V190" t="n">
        <v>41</v>
      </c>
      <c r="W190" t="n">
        <v>18</v>
      </c>
      <c r="X190" t="n">
        <v>6095775</v>
      </c>
      <c r="Y190" t="n">
        <v>17813400</v>
      </c>
      <c r="Z190" t="n">
        <v>11717625</v>
      </c>
      <c r="AA190" t="inlineStr">
        <is>
          <t>https://knru.ru/catalog/ul-vosstanovleniya-d-19-551989/</t>
        </is>
      </c>
    </row>
    <row r="191">
      <c r="A191" t="n">
        <v>980</v>
      </c>
      <c r="B191" t="n">
        <v>41</v>
      </c>
      <c r="C191" t="n">
        <v>20</v>
      </c>
      <c r="D191" t="n">
        <v>551748</v>
      </c>
      <c r="E191" t="inlineStr">
        <is>
          <t>Калининский</t>
        </is>
      </c>
      <c r="F191" t="inlineStr">
        <is>
          <t>Светлановский пр-кт, 85</t>
        </is>
      </c>
      <c r="G191" t="n">
        <v>96.40000000000001</v>
      </c>
      <c r="H191" t="inlineStr">
        <is>
          <t>33 750 500</t>
        </is>
      </c>
      <c r="I191" t="inlineStr">
        <is>
          <t>40 988 800</t>
        </is>
      </c>
      <c r="J191" t="inlineStr">
        <is>
          <t>У нас дороже на 7 238 300 (21.4%)</t>
        </is>
      </c>
      <c r="K191" t="inlineStr">
        <is>
          <t>7 238 300</t>
        </is>
      </c>
      <c r="L191" t="inlineStr">
        <is>
          <t>21.4%</t>
        </is>
      </c>
      <c r="M191" t="inlineStr">
        <is>
          <t>sale_only</t>
        </is>
      </c>
      <c r="N191" t="inlineStr">
        <is>
          <t>no</t>
        </is>
      </c>
      <c r="O191" t="inlineStr">
        <is>
          <t>none</t>
        </is>
      </c>
      <c r="P191">
        <f>HYPERLINK("https://knru.ru/catalog/svetlanovskij-pr-d-85-551748/","ссылка")</f>
        <v/>
      </c>
      <c r="Q191">
        <f>HYPERLINK("https://app.worldcafe.ru/object/15547","ссылка")</f>
        <v/>
      </c>
      <c r="R191" t="inlineStr">
        <is>
          <t>По адресу есть, но площадь другая</t>
        </is>
      </c>
      <c r="S191" t="n">
        <v>1</v>
      </c>
      <c r="T191" t="inlineStr">
        <is>
          <t>На сайте sale 128.1 м² 40 988 800 =HYPERLINK("https://app.worldcafe.ru/object/15547","ссылка")</t>
        </is>
      </c>
      <c r="U191" t="n">
        <v>980</v>
      </c>
      <c r="V191" t="n">
        <v>41</v>
      </c>
      <c r="W191" t="n">
        <v>20</v>
      </c>
      <c r="X191" t="n">
        <v>33750500</v>
      </c>
      <c r="Y191" t="n">
        <v>40988800</v>
      </c>
      <c r="Z191" t="n">
        <v>7238300</v>
      </c>
      <c r="AA191" t="inlineStr">
        <is>
          <t>https://knru.ru/catalog/svetlanovskij-pr-d-85-551748/</t>
        </is>
      </c>
    </row>
    <row r="192">
      <c r="A192" t="n">
        <v>981</v>
      </c>
      <c r="B192" t="n">
        <v>41</v>
      </c>
      <c r="C192" t="n">
        <v>21</v>
      </c>
      <c r="D192" t="n">
        <v>53</v>
      </c>
      <c r="E192" t="inlineStr">
        <is>
          <t>Калининский</t>
        </is>
      </c>
      <c r="F192" t="inlineStr">
        <is>
          <t>Просвещения, 53к1 Д</t>
        </is>
      </c>
      <c r="G192" t="n">
        <v>418</v>
      </c>
      <c r="H192" t="inlineStr">
        <is>
          <t>99 000 000</t>
        </is>
      </c>
      <c r="I192" t="inlineStr">
        <is>
          <t>280 000</t>
        </is>
      </c>
      <c r="J192" t="inlineStr">
        <is>
          <t>У нас дешевле на 98 720 000 (99.7%)</t>
        </is>
      </c>
      <c r="K192" t="inlineStr">
        <is>
          <t>-98 720 000</t>
        </is>
      </c>
      <c r="L192" t="inlineStr">
        <is>
          <t>-99.7%</t>
        </is>
      </c>
      <c r="M192" t="inlineStr">
        <is>
          <t>any_type</t>
        </is>
      </c>
      <c r="N192" t="inlineStr">
        <is>
          <t>no</t>
        </is>
      </c>
      <c r="O192" t="inlineStr">
        <is>
          <t>none</t>
        </is>
      </c>
      <c r="P192">
        <f>HYPERLINK("https://knru.ru/catalog/prosveshcheniya-pr-kt-d-53/","ссылка")</f>
        <v/>
      </c>
      <c r="Q192">
        <f>HYPERLINK("https://app.worldcafe.ru/object/12748","ссылка")</f>
        <v/>
      </c>
      <c r="R192" t="inlineStr">
        <is>
          <t>По адресу есть, но площадь другая</t>
        </is>
      </c>
      <c r="S192" t="n">
        <v>2</v>
      </c>
      <c r="T192" t="inlineStr">
        <is>
          <t>Архив rent 243.9 м² 390 000 =HYPERLINK("https://app.worldcafe.ru/object/18075","ссылка") | Архив rent 140 м² 280 000 =HYPERLINK("https://app.worldcafe.ru/object/12748","ссылка")</t>
        </is>
      </c>
      <c r="U192" t="n">
        <v>981</v>
      </c>
      <c r="V192" t="n">
        <v>41</v>
      </c>
      <c r="W192" t="n">
        <v>21</v>
      </c>
      <c r="X192" t="n">
        <v>99000000</v>
      </c>
      <c r="Y192" t="n">
        <v>280000</v>
      </c>
      <c r="Z192" t="n">
        <v>-98720000</v>
      </c>
      <c r="AA192" t="inlineStr">
        <is>
          <t>https://knru.ru/catalog/prosveshcheniya-pr-kt-d-53/</t>
        </is>
      </c>
    </row>
    <row r="193">
      <c r="A193" t="n">
        <v>1002</v>
      </c>
      <c r="B193" t="n">
        <v>42</v>
      </c>
      <c r="C193" t="n">
        <v>18</v>
      </c>
      <c r="D193" t="n">
        <v>558656</v>
      </c>
      <c r="E193" t="inlineStr"/>
      <c r="F193" t="inlineStr">
        <is>
          <t>Московское ш, 3</t>
        </is>
      </c>
      <c r="G193" t="n">
        <v>10000</v>
      </c>
      <c r="H193" t="inlineStr">
        <is>
          <t>50 000 000</t>
        </is>
      </c>
      <c r="I193" t="inlineStr">
        <is>
          <t>250 500</t>
        </is>
      </c>
      <c r="J193" t="inlineStr">
        <is>
          <t>У нас дешевле на 49 749 500 (99.5%)</t>
        </is>
      </c>
      <c r="K193" t="inlineStr">
        <is>
          <t>-49 749 500</t>
        </is>
      </c>
      <c r="L193" t="inlineStr">
        <is>
          <t>-99.5%</t>
        </is>
      </c>
      <c r="M193" t="inlineStr">
        <is>
          <t>any_type</t>
        </is>
      </c>
      <c r="N193" t="inlineStr">
        <is>
          <t>no</t>
        </is>
      </c>
      <c r="O193" t="inlineStr">
        <is>
          <t>none</t>
        </is>
      </c>
      <c r="P193">
        <f>HYPERLINK("https://knru.ru/catalog/moskovskoe-sh-3-558656/","ссылка")</f>
        <v/>
      </c>
      <c r="Q193">
        <f>HYPERLINK("https://app.worldcafe.ru/object/9517","ссылка")</f>
        <v/>
      </c>
      <c r="R193" t="inlineStr">
        <is>
          <t>По адресу есть, но площадь другая</t>
        </is>
      </c>
      <c r="S193" t="n">
        <v>1</v>
      </c>
      <c r="T193" t="inlineStr">
        <is>
          <t>Архив rent 167 м² 250 500 =HYPERLINK("https://app.worldcafe.ru/object/9517","ссылка")</t>
        </is>
      </c>
      <c r="U193" t="n">
        <v>1002</v>
      </c>
      <c r="V193" t="n">
        <v>42</v>
      </c>
      <c r="W193" t="n">
        <v>18</v>
      </c>
      <c r="X193" t="n">
        <v>50000000</v>
      </c>
      <c r="Y193" t="n">
        <v>250500</v>
      </c>
      <c r="Z193" t="n">
        <v>-49749500</v>
      </c>
      <c r="AA193" t="inlineStr">
        <is>
          <t>https://knru.ru/catalog/moskovskoe-sh-3-558656/</t>
        </is>
      </c>
    </row>
    <row r="194">
      <c r="A194" t="n">
        <v>1003</v>
      </c>
      <c r="B194" t="n">
        <v>42</v>
      </c>
      <c r="C194" t="n">
        <v>19</v>
      </c>
      <c r="D194" t="n">
        <v>3</v>
      </c>
      <c r="E194" t="inlineStr"/>
      <c r="F194" t="inlineStr">
        <is>
          <t>Московское ш, 3</t>
        </is>
      </c>
      <c r="G194" t="n">
        <v>69000</v>
      </c>
      <c r="H194" t="inlineStr">
        <is>
          <t>345 000 000</t>
        </is>
      </c>
      <c r="I194" t="inlineStr">
        <is>
          <t>250 500</t>
        </is>
      </c>
      <c r="J194" t="inlineStr">
        <is>
          <t>У нас дешевле на 344 749 500 (99.9%)</t>
        </is>
      </c>
      <c r="K194" t="inlineStr">
        <is>
          <t>-344 749 500</t>
        </is>
      </c>
      <c r="L194" t="inlineStr">
        <is>
          <t>-99.9%</t>
        </is>
      </c>
      <c r="M194" t="inlineStr">
        <is>
          <t>any_type</t>
        </is>
      </c>
      <c r="N194" t="inlineStr">
        <is>
          <t>no</t>
        </is>
      </c>
      <c r="O194" t="inlineStr">
        <is>
          <t>none</t>
        </is>
      </c>
      <c r="P194">
        <f>HYPERLINK("https://knru.ru/catalog/moskovskoe-sh-3/","ссылка")</f>
        <v/>
      </c>
      <c r="Q194">
        <f>HYPERLINK("https://app.worldcafe.ru/object/9517","ссылка")</f>
        <v/>
      </c>
      <c r="R194" t="inlineStr">
        <is>
          <t>По адресу есть, но площадь другая</t>
        </is>
      </c>
      <c r="S194" t="n">
        <v>1</v>
      </c>
      <c r="T194" t="inlineStr">
        <is>
          <t>Архив rent 167 м² 250 500 =HYPERLINK("https://app.worldcafe.ru/object/9517","ссылка")</t>
        </is>
      </c>
      <c r="U194" t="n">
        <v>1003</v>
      </c>
      <c r="V194" t="n">
        <v>42</v>
      </c>
      <c r="W194" t="n">
        <v>19</v>
      </c>
      <c r="X194" t="n">
        <v>345000000</v>
      </c>
      <c r="Y194" t="n">
        <v>250500</v>
      </c>
      <c r="Z194" t="n">
        <v>-344749500</v>
      </c>
      <c r="AA194" t="inlineStr">
        <is>
          <t>https://knru.ru/catalog/moskovskoe-sh-3/</t>
        </is>
      </c>
    </row>
    <row r="195">
      <c r="A195" t="n">
        <v>1019</v>
      </c>
      <c r="B195" t="n">
        <v>43</v>
      </c>
      <c r="C195" t="n">
        <v>11</v>
      </c>
      <c r="D195" t="inlineStr"/>
      <c r="E195" t="inlineStr"/>
      <c r="F195" t="inlineStr">
        <is>
          <t>Швецова ул, 30 А</t>
        </is>
      </c>
      <c r="G195" t="n">
        <v>893</v>
      </c>
      <c r="H195" t="inlineStr">
        <is>
          <t>60 000 000</t>
        </is>
      </c>
      <c r="I195" t="inlineStr"/>
      <c r="J195" t="inlineStr"/>
      <c r="K195" t="inlineStr"/>
      <c r="L195" t="inlineStr"/>
      <c r="M195" t="inlineStr"/>
      <c r="N195" t="inlineStr">
        <is>
          <t>no</t>
        </is>
      </c>
      <c r="O195" t="inlineStr">
        <is>
          <t>none</t>
        </is>
      </c>
      <c r="P195">
        <f>HYPERLINK("https://knru.ru/catalog/shvetsova-ul-30-a/","ссылка")</f>
        <v/>
      </c>
      <c r="Q195" t="inlineStr"/>
      <c r="R195" t="inlineStr">
        <is>
          <t>По адресу есть, но площадь другая</t>
        </is>
      </c>
      <c r="S195" t="n">
        <v>1</v>
      </c>
      <c r="T195" t="inlineStr">
        <is>
          <t>Без сделки no_deal 315 м² =HYPERLINK("https://app.worldcafe.ru/object/15556","ссылка")</t>
        </is>
      </c>
      <c r="U195" t="n">
        <v>1019</v>
      </c>
      <c r="V195" t="n">
        <v>43</v>
      </c>
      <c r="W195" t="n">
        <v>11</v>
      </c>
      <c r="X195" t="n">
        <v>60000000</v>
      </c>
      <c r="Y195" t="inlineStr"/>
      <c r="Z195" t="inlineStr"/>
      <c r="AA195" t="inlineStr">
        <is>
          <t>https://knru.ru/catalog/shvetsova-ul-30-a/</t>
        </is>
      </c>
    </row>
    <row r="196">
      <c r="A196" t="n">
        <v>1020</v>
      </c>
      <c r="B196" t="n">
        <v>43</v>
      </c>
      <c r="C196" t="n">
        <v>12</v>
      </c>
      <c r="D196" t="inlineStr"/>
      <c r="E196" t="inlineStr"/>
      <c r="F196" t="inlineStr">
        <is>
          <t>Обводного канала наб, 24 А</t>
        </is>
      </c>
      <c r="G196" t="n">
        <v>5773</v>
      </c>
      <c r="H196" t="inlineStr">
        <is>
          <t>565 000 000</t>
        </is>
      </c>
      <c r="I196" t="inlineStr">
        <is>
          <t>135 000 000</t>
        </is>
      </c>
      <c r="J196" t="inlineStr">
        <is>
          <t>У нас дешевле на 430 000 000 (76.1%)</t>
        </is>
      </c>
      <c r="K196" t="inlineStr">
        <is>
          <t>-430 000 000</t>
        </is>
      </c>
      <c r="L196" t="inlineStr">
        <is>
          <t>-76.1%</t>
        </is>
      </c>
      <c r="M196" t="inlineStr">
        <is>
          <t>sale_only</t>
        </is>
      </c>
      <c r="N196" t="inlineStr">
        <is>
          <t>no</t>
        </is>
      </c>
      <c r="O196" t="inlineStr">
        <is>
          <t>none</t>
        </is>
      </c>
      <c r="P196">
        <f>HYPERLINK("https://knru.ru/catalog/obvodnogo-kanala-nab-24-a/","ссылка")</f>
        <v/>
      </c>
      <c r="Q196">
        <f>HYPERLINK("https://app.worldcafe.ru/object/19706","ссылка")</f>
        <v/>
      </c>
      <c r="R196" t="inlineStr">
        <is>
          <t>По адресу есть, но площадь другая</t>
        </is>
      </c>
      <c r="S196" t="n">
        <v>1</v>
      </c>
      <c r="T196" t="inlineStr">
        <is>
          <t>На сайте sale 316 м² 135 000 000 =HYPERLINK("https://app.worldcafe.ru/object/19706","ссылка")</t>
        </is>
      </c>
      <c r="U196" t="n">
        <v>1020</v>
      </c>
      <c r="V196" t="n">
        <v>43</v>
      </c>
      <c r="W196" t="n">
        <v>12</v>
      </c>
      <c r="X196" t="n">
        <v>565000000</v>
      </c>
      <c r="Y196" t="n">
        <v>135000000</v>
      </c>
      <c r="Z196" t="n">
        <v>-430000000</v>
      </c>
      <c r="AA196" t="inlineStr">
        <is>
          <t>https://knru.ru/catalog/obvodnogo-kanala-nab-24-a/</t>
        </is>
      </c>
    </row>
    <row r="197">
      <c r="A197" t="n">
        <v>1042</v>
      </c>
      <c r="B197" t="n">
        <v>44</v>
      </c>
      <c r="C197" t="n">
        <v>10</v>
      </c>
      <c r="D197" t="n">
        <v>2</v>
      </c>
      <c r="E197" t="inlineStr"/>
      <c r="F197" t="inlineStr">
        <is>
          <t>Рощинская ул, 2</t>
        </is>
      </c>
      <c r="G197" t="n">
        <v>6376</v>
      </c>
      <c r="H197" t="inlineStr">
        <is>
          <t>270 000 000</t>
        </is>
      </c>
      <c r="I197" t="inlineStr">
        <is>
          <t>600 000</t>
        </is>
      </c>
      <c r="J197" t="inlineStr">
        <is>
          <t>У нас дешевле на 269 400 000 (99.8%)</t>
        </is>
      </c>
      <c r="K197" t="inlineStr">
        <is>
          <t>-269 400 000</t>
        </is>
      </c>
      <c r="L197" t="inlineStr">
        <is>
          <t>-99.8%</t>
        </is>
      </c>
      <c r="M197" t="inlineStr">
        <is>
          <t>sale_only</t>
        </is>
      </c>
      <c r="N197" t="inlineStr">
        <is>
          <t>no</t>
        </is>
      </c>
      <c r="O197" t="inlineStr">
        <is>
          <t>none</t>
        </is>
      </c>
      <c r="P197">
        <f>HYPERLINK("https://knru.ru/catalog/roshchinskaya-ul-2/","ссылка")</f>
        <v/>
      </c>
      <c r="Q197">
        <f>HYPERLINK("https://app.worldcafe.ru/object/8444","ссылка")</f>
        <v/>
      </c>
      <c r="R197" t="inlineStr">
        <is>
          <t>По адресу есть, но площадь другая</t>
        </is>
      </c>
      <c r="S197" t="n">
        <v>1</v>
      </c>
      <c r="T197" t="inlineStr">
        <is>
          <t>Архив sale 120 м² 600 000 =HYPERLINK("https://app.worldcafe.ru/object/8444","ссылка")</t>
        </is>
      </c>
      <c r="U197" t="n">
        <v>1042</v>
      </c>
      <c r="V197" t="n">
        <v>44</v>
      </c>
      <c r="W197" t="n">
        <v>10</v>
      </c>
      <c r="X197" t="n">
        <v>270000000</v>
      </c>
      <c r="Y197" t="n">
        <v>600000</v>
      </c>
      <c r="Z197" t="n">
        <v>-269400000</v>
      </c>
      <c r="AA197" t="inlineStr">
        <is>
          <t>https://knru.ru/catalog/roshchinskaya-ul-2/</t>
        </is>
      </c>
    </row>
    <row r="198">
      <c r="A198" t="n">
        <v>1050</v>
      </c>
      <c r="B198" t="n">
        <v>44</v>
      </c>
      <c r="C198" t="n">
        <v>18</v>
      </c>
      <c r="D198" t="inlineStr"/>
      <c r="E198" t="inlineStr">
        <is>
          <t>Выборгский</t>
        </is>
      </c>
      <c r="F198" t="inlineStr">
        <is>
          <t>Раевского пр-кт, 16 А</t>
        </is>
      </c>
      <c r="G198" t="n">
        <v>2850</v>
      </c>
      <c r="H198" t="inlineStr">
        <is>
          <t>450 000 000</t>
        </is>
      </c>
      <c r="I198" t="inlineStr">
        <is>
          <t>0</t>
        </is>
      </c>
      <c r="J198" t="inlineStr">
        <is>
          <t>У нас дешевле на 450 000 000 (100.0%)</t>
        </is>
      </c>
      <c r="K198" t="inlineStr">
        <is>
          <t>-450 000 000</t>
        </is>
      </c>
      <c r="L198" t="inlineStr">
        <is>
          <t>-100.0%</t>
        </is>
      </c>
      <c r="M198" t="inlineStr">
        <is>
          <t>any_type</t>
        </is>
      </c>
      <c r="N198" t="inlineStr">
        <is>
          <t>no</t>
        </is>
      </c>
      <c r="O198" t="inlineStr">
        <is>
          <t>none</t>
        </is>
      </c>
      <c r="P198">
        <f>HYPERLINK("https://knru.ru/catalog/raevskogo-pr-kt-16-a/","ссылка")</f>
        <v/>
      </c>
      <c r="Q198">
        <f>HYPERLINK("https://app.worldcafe.ru/object/19534","ссылка")</f>
        <v/>
      </c>
      <c r="R198" t="inlineStr">
        <is>
          <t>По адресу есть, но площадь другая</t>
        </is>
      </c>
      <c r="S198" t="n">
        <v>1</v>
      </c>
      <c r="T198" t="inlineStr">
        <is>
          <t>Архив rent 27.6 м² 0 =HYPERLINK("https://app.worldcafe.ru/object/19534","ссылка")</t>
        </is>
      </c>
      <c r="U198" t="n">
        <v>1050</v>
      </c>
      <c r="V198" t="n">
        <v>44</v>
      </c>
      <c r="W198" t="n">
        <v>18</v>
      </c>
      <c r="X198" t="n">
        <v>450000000</v>
      </c>
      <c r="Y198" t="n">
        <v>0</v>
      </c>
      <c r="Z198" t="n">
        <v>-450000000</v>
      </c>
      <c r="AA198" t="inlineStr">
        <is>
          <t>https://knru.ru/catalog/raevskogo-pr-kt-16-a/</t>
        </is>
      </c>
    </row>
    <row r="199">
      <c r="A199" t="n">
        <v>1095</v>
      </c>
      <c r="B199" t="n">
        <v>46</v>
      </c>
      <c r="C199" t="n">
        <v>15</v>
      </c>
      <c r="D199" t="n">
        <v>6</v>
      </c>
      <c r="E199" t="inlineStr"/>
      <c r="F199" t="inlineStr">
        <is>
          <t>Гатчинское ш, 10</t>
        </is>
      </c>
      <c r="G199" t="n">
        <v>1499</v>
      </c>
      <c r="H199" t="inlineStr">
        <is>
          <t>120 000 000</t>
        </is>
      </c>
      <c r="I199" t="inlineStr">
        <is>
          <t>14 000 000</t>
        </is>
      </c>
      <c r="J199" t="inlineStr">
        <is>
          <t>У нас дешевле на 106 000 000 (88.3%)</t>
        </is>
      </c>
      <c r="K199" t="inlineStr">
        <is>
          <t>-106 000 000</t>
        </is>
      </c>
      <c r="L199" t="inlineStr">
        <is>
          <t>-88.3%</t>
        </is>
      </c>
      <c r="M199" t="inlineStr">
        <is>
          <t>sale_only</t>
        </is>
      </c>
      <c r="N199" t="inlineStr">
        <is>
          <t>no</t>
        </is>
      </c>
      <c r="O199" t="inlineStr">
        <is>
          <t>none</t>
        </is>
      </c>
      <c r="P199">
        <f>HYPERLINK("https://knru.ru/catalog/krasnoselskoe-6/","ссылка")</f>
        <v/>
      </c>
      <c r="Q199">
        <f>HYPERLINK("https://app.worldcafe.ru/object/19007","ссылка")</f>
        <v/>
      </c>
      <c r="R199" t="inlineStr">
        <is>
          <t>По адресу есть, но площадь другая</t>
        </is>
      </c>
      <c r="S199" t="n">
        <v>1</v>
      </c>
      <c r="T199" t="inlineStr">
        <is>
          <t>Архив sale 12000 м² 14 000 000 =HYPERLINK("https://app.worldcafe.ru/object/19007","ссылка")</t>
        </is>
      </c>
      <c r="U199" t="n">
        <v>1095</v>
      </c>
      <c r="V199" t="n">
        <v>46</v>
      </c>
      <c r="W199" t="n">
        <v>15</v>
      </c>
      <c r="X199" t="n">
        <v>120000000</v>
      </c>
      <c r="Y199" t="n">
        <v>14000000</v>
      </c>
      <c r="Z199" t="n">
        <v>-106000000</v>
      </c>
      <c r="AA199" t="inlineStr">
        <is>
          <t>https://knru.ru/catalog/krasnoselskoe-6/</t>
        </is>
      </c>
    </row>
    <row r="200">
      <c r="A200" t="n">
        <v>1106</v>
      </c>
      <c r="B200" t="n">
        <v>47</v>
      </c>
      <c r="C200" t="n">
        <v>2</v>
      </c>
      <c r="D200" t="inlineStr"/>
      <c r="E200" t="inlineStr">
        <is>
          <t>Красногвардейский</t>
        </is>
      </c>
      <c r="F200" t="inlineStr">
        <is>
          <t>Ириновский пр-кт, 2 А</t>
        </is>
      </c>
      <c r="G200" t="n">
        <v>11800</v>
      </c>
      <c r="H200" t="inlineStr">
        <is>
          <t>510 000 000</t>
        </is>
      </c>
      <c r="I200" t="inlineStr">
        <is>
          <t>20 000 000</t>
        </is>
      </c>
      <c r="J200" t="inlineStr">
        <is>
          <t>У нас дешевле на 490 000 000 (96.1%)</t>
        </is>
      </c>
      <c r="K200" t="inlineStr">
        <is>
          <t>-490 000 000</t>
        </is>
      </c>
      <c r="L200" t="inlineStr">
        <is>
          <t>-96.1%</t>
        </is>
      </c>
      <c r="M200" t="inlineStr">
        <is>
          <t>sale_only</t>
        </is>
      </c>
      <c r="N200" t="inlineStr">
        <is>
          <t>no</t>
        </is>
      </c>
      <c r="O200" t="inlineStr">
        <is>
          <t>none</t>
        </is>
      </c>
      <c r="P200">
        <f>HYPERLINK("https://knru.ru/catalog/irinovskij-pr-kt-2-a/","ссылка")</f>
        <v/>
      </c>
      <c r="Q200">
        <f>HYPERLINK("https://app.worldcafe.ru/object/8650","ссылка")</f>
        <v/>
      </c>
      <c r="R200" t="inlineStr">
        <is>
          <t>По адресу есть, но площадь другая</t>
        </is>
      </c>
      <c r="S200" t="n">
        <v>4</v>
      </c>
      <c r="T200" t="inlineStr">
        <is>
          <t>Архив rent 158.3 м² 150 000 =HYPERLINK("https://app.worldcafe.ru/object/8647","ссылка") | Архив sale 158.3 м² 20 000 000 =HYPERLINK("https://app.worldcafe.ru/object/8650","ссылка") | На сайте rent 110 м² 230 000 =HYPERLINK("https://app.worldcafe.ru/object/19737","ссылка") | Без сделки no_deal 68 м² =HYPERLINK("https://app.worldcafe.ru/object/10862","ссылка")</t>
        </is>
      </c>
      <c r="U200" t="n">
        <v>1106</v>
      </c>
      <c r="V200" t="n">
        <v>47</v>
      </c>
      <c r="W200" t="n">
        <v>2</v>
      </c>
      <c r="X200" t="n">
        <v>510000000</v>
      </c>
      <c r="Y200" t="n">
        <v>20000000</v>
      </c>
      <c r="Z200" t="n">
        <v>-490000000</v>
      </c>
      <c r="AA200" t="inlineStr">
        <is>
          <t>https://knru.ru/catalog/irinovskij-pr-kt-2-a/</t>
        </is>
      </c>
    </row>
    <row r="201">
      <c r="A201" t="n">
        <v>1114</v>
      </c>
      <c r="B201" t="n">
        <v>47</v>
      </c>
      <c r="C201" t="n">
        <v>10</v>
      </c>
      <c r="D201" t="inlineStr"/>
      <c r="E201" t="inlineStr"/>
      <c r="F201" t="inlineStr">
        <is>
          <t>Ржевская ул, 38 А</t>
        </is>
      </c>
      <c r="G201" t="n">
        <v>1573</v>
      </c>
      <c r="H201" t="inlineStr">
        <is>
          <t>124 000 000</t>
        </is>
      </c>
      <c r="I201" t="inlineStr">
        <is>
          <t>0</t>
        </is>
      </c>
      <c r="J201" t="inlineStr">
        <is>
          <t>У нас дешевле на 124 000 000 (100.0%)</t>
        </is>
      </c>
      <c r="K201" t="inlineStr">
        <is>
          <t>-124 000 000</t>
        </is>
      </c>
      <c r="L201" t="inlineStr">
        <is>
          <t>-100.0%</t>
        </is>
      </c>
      <c r="M201" t="inlineStr">
        <is>
          <t>sale_only</t>
        </is>
      </c>
      <c r="N201" t="inlineStr">
        <is>
          <t>no</t>
        </is>
      </c>
      <c r="O201" t="inlineStr">
        <is>
          <t>none</t>
        </is>
      </c>
      <c r="P201">
        <f>HYPERLINK("https://knru.ru/catalog/rzhevskaya-ul-38-a/","ссылка")</f>
        <v/>
      </c>
      <c r="Q201">
        <f>HYPERLINK("https://app.worldcafe.ru/object/14268","ссылка")</f>
        <v/>
      </c>
      <c r="R201" t="inlineStr">
        <is>
          <t>По адресу есть, но площадь другая</t>
        </is>
      </c>
      <c r="S201" t="n">
        <v>1</v>
      </c>
      <c r="T201" t="inlineStr">
        <is>
          <t>Архив sale 3127.6 м² 0 =HYPERLINK("https://app.worldcafe.ru/object/14268","ссылка")</t>
        </is>
      </c>
      <c r="U201" t="n">
        <v>1114</v>
      </c>
      <c r="V201" t="n">
        <v>47</v>
      </c>
      <c r="W201" t="n">
        <v>10</v>
      </c>
      <c r="X201" t="n">
        <v>124000000</v>
      </c>
      <c r="Y201" t="n">
        <v>0</v>
      </c>
      <c r="Z201" t="n">
        <v>-124000000</v>
      </c>
      <c r="AA201" t="inlineStr">
        <is>
          <t>https://knru.ru/catalog/rzhevskaya-ul-38-a/</t>
        </is>
      </c>
    </row>
    <row r="202">
      <c r="A202" t="n">
        <v>1128</v>
      </c>
      <c r="B202" t="n">
        <v>47</v>
      </c>
      <c r="C202" t="n">
        <v>24</v>
      </c>
      <c r="D202" t="inlineStr"/>
      <c r="E202" t="inlineStr"/>
      <c r="F202" t="inlineStr">
        <is>
          <t>Финляндская ул, 38 А</t>
        </is>
      </c>
      <c r="G202" t="n">
        <v>11000</v>
      </c>
      <c r="H202" t="inlineStr">
        <is>
          <t>800 000 000</t>
        </is>
      </c>
      <c r="I202" t="inlineStr">
        <is>
          <t>0</t>
        </is>
      </c>
      <c r="J202" t="inlineStr">
        <is>
          <t>У нас дешевле на 800 000 000 (100.0%)</t>
        </is>
      </c>
      <c r="K202" t="inlineStr">
        <is>
          <t>-800 000 000</t>
        </is>
      </c>
      <c r="L202" t="inlineStr">
        <is>
          <t>-100.0%</t>
        </is>
      </c>
      <c r="M202" t="inlineStr">
        <is>
          <t>sale_only</t>
        </is>
      </c>
      <c r="N202" t="inlineStr">
        <is>
          <t>no</t>
        </is>
      </c>
      <c r="O202" t="inlineStr">
        <is>
          <t>none</t>
        </is>
      </c>
      <c r="P202">
        <f>HYPERLINK("https://knru.ru/catalog/finlyandskaya-ul-38-a/","ссылка")</f>
        <v/>
      </c>
      <c r="Q202">
        <f>HYPERLINK("https://app.worldcafe.ru/object/14268","ссылка")</f>
        <v/>
      </c>
      <c r="R202" t="inlineStr">
        <is>
          <t>По адресу есть, но площадь другая</t>
        </is>
      </c>
      <c r="S202" t="n">
        <v>1</v>
      </c>
      <c r="T202" t="inlineStr">
        <is>
          <t>Архив sale 3127.6 м² 0 =HYPERLINK("https://app.worldcafe.ru/object/14268","ссылка")</t>
        </is>
      </c>
      <c r="U202" t="n">
        <v>1128</v>
      </c>
      <c r="V202" t="n">
        <v>47</v>
      </c>
      <c r="W202" t="n">
        <v>24</v>
      </c>
      <c r="X202" t="n">
        <v>800000000</v>
      </c>
      <c r="Y202" t="n">
        <v>0</v>
      </c>
      <c r="Z202" t="n">
        <v>-800000000</v>
      </c>
      <c r="AA202" t="inlineStr">
        <is>
          <t>https://knru.ru/catalog/finlyandskaya-ul-38-a/</t>
        </is>
      </c>
    </row>
    <row r="203">
      <c r="A203" t="n">
        <v>1142</v>
      </c>
      <c r="B203" t="n">
        <v>48</v>
      </c>
      <c r="C203" t="n">
        <v>14</v>
      </c>
      <c r="D203" t="n">
        <v>12</v>
      </c>
      <c r="E203" t="inlineStr"/>
      <c r="F203" t="inlineStr">
        <is>
          <t>Солнечная ул, 12</t>
        </is>
      </c>
      <c r="G203" t="n">
        <v>124</v>
      </c>
      <c r="H203" t="inlineStr">
        <is>
          <t>26 056 800</t>
        </is>
      </c>
      <c r="I203" t="inlineStr">
        <is>
          <t>0</t>
        </is>
      </c>
      <c r="J203" t="inlineStr">
        <is>
          <t>У нас дешевле на 26 056 800 (100.0%)</t>
        </is>
      </c>
      <c r="K203" t="inlineStr">
        <is>
          <t>-26 056 800</t>
        </is>
      </c>
      <c r="L203" t="inlineStr">
        <is>
          <t>-100.0%</t>
        </is>
      </c>
      <c r="M203" t="inlineStr">
        <is>
          <t>sale_only</t>
        </is>
      </c>
      <c r="N203" t="inlineStr">
        <is>
          <t>no</t>
        </is>
      </c>
      <c r="O203" t="inlineStr">
        <is>
          <t>none</t>
        </is>
      </c>
      <c r="P203">
        <f>HYPERLINK("https://knru.ru/catalog/ul-solnechnaya-d-12/","ссылка")</f>
        <v/>
      </c>
      <c r="Q203">
        <f>HYPERLINK("https://app.worldcafe.ru/object/19853","ссылка")</f>
        <v/>
      </c>
      <c r="R203" t="inlineStr">
        <is>
          <t>По адресу есть, но площадь другая</t>
        </is>
      </c>
      <c r="S203" t="n">
        <v>1</v>
      </c>
      <c r="T203" t="inlineStr">
        <is>
          <t>Архив sale 57.2 м² 0 =HYPERLINK("https://app.worldcafe.ru/object/19853","ссылка")</t>
        </is>
      </c>
      <c r="U203" t="n">
        <v>1142</v>
      </c>
      <c r="V203" t="n">
        <v>48</v>
      </c>
      <c r="W203" t="n">
        <v>14</v>
      </c>
      <c r="X203" t="n">
        <v>26056800</v>
      </c>
      <c r="Y203" t="n">
        <v>0</v>
      </c>
      <c r="Z203" t="n">
        <v>-26056800</v>
      </c>
      <c r="AA203" t="inlineStr">
        <is>
          <t>https://knru.ru/catalog/ul-solnechnaya-d-12/</t>
        </is>
      </c>
    </row>
    <row r="204">
      <c r="A204" t="n">
        <v>1161</v>
      </c>
      <c r="B204" t="n">
        <v>49</v>
      </c>
      <c r="C204" t="n">
        <v>9</v>
      </c>
      <c r="D204" t="n">
        <v>560138</v>
      </c>
      <c r="E204" t="inlineStr"/>
      <c r="F204" t="inlineStr">
        <is>
          <t>Ручьевский пр-кт, 15</t>
        </is>
      </c>
      <c r="G204" t="n">
        <v>73.59999999999999</v>
      </c>
      <c r="H204" t="inlineStr">
        <is>
          <t>18 064 599</t>
        </is>
      </c>
      <c r="I204" t="inlineStr">
        <is>
          <t>16 700 000</t>
        </is>
      </c>
      <c r="J204" t="inlineStr">
        <is>
          <t>У нас дешевле на 1 364 599 (7.6%)</t>
        </is>
      </c>
      <c r="K204" t="inlineStr">
        <is>
          <t>-1 364 599</t>
        </is>
      </c>
      <c r="L204" t="inlineStr">
        <is>
          <t>-7.6%</t>
        </is>
      </c>
      <c r="M204" t="inlineStr">
        <is>
          <t>sale_only</t>
        </is>
      </c>
      <c r="N204" t="inlineStr">
        <is>
          <t>no</t>
        </is>
      </c>
      <c r="O204" t="inlineStr">
        <is>
          <t>none</t>
        </is>
      </c>
      <c r="P204">
        <f>HYPERLINK("https://knru.ru/catalog/ruchyevskij-pr-560138/","ссылка")</f>
        <v/>
      </c>
      <c r="Q204">
        <f>HYPERLINK("https://app.worldcafe.ru/object/16878","ссылка")</f>
        <v/>
      </c>
      <c r="R204" t="inlineStr">
        <is>
          <t>По адресу есть, но площадь другая</t>
        </is>
      </c>
      <c r="S204" t="n">
        <v>2</v>
      </c>
      <c r="T204" t="inlineStr">
        <is>
          <t>Архив rent 80 м² 128 000 =HYPERLINK("https://app.worldcafe.ru/object/13962","ссылка") | Архив sale 65 м² 16 700 000 =HYPERLINK("https://app.worldcafe.ru/object/16878","ссылка")</t>
        </is>
      </c>
      <c r="U204" t="n">
        <v>1161</v>
      </c>
      <c r="V204" t="n">
        <v>49</v>
      </c>
      <c r="W204" t="n">
        <v>9</v>
      </c>
      <c r="X204" t="n">
        <v>18064599</v>
      </c>
      <c r="Y204" t="n">
        <v>16700000</v>
      </c>
      <c r="Z204" t="n">
        <v>-1364599</v>
      </c>
      <c r="AA204" t="inlineStr">
        <is>
          <t>https://knru.ru/catalog/ruchyevskij-pr-560138/</t>
        </is>
      </c>
    </row>
    <row r="205">
      <c r="A205" t="n">
        <v>1169</v>
      </c>
      <c r="B205" t="n">
        <v>49</v>
      </c>
      <c r="C205" t="n">
        <v>17</v>
      </c>
      <c r="D205" t="n">
        <v>560049</v>
      </c>
      <c r="E205" t="inlineStr">
        <is>
          <t>Приморский</t>
        </is>
      </c>
      <c r="F205" t="inlineStr">
        <is>
          <t>Репищева ул, 10к1 А</t>
        </is>
      </c>
      <c r="G205" t="n">
        <v>98</v>
      </c>
      <c r="H205" t="inlineStr">
        <is>
          <t>13 462 680</t>
        </is>
      </c>
      <c r="I205" t="inlineStr">
        <is>
          <t>3 350 000</t>
        </is>
      </c>
      <c r="J205" t="inlineStr">
        <is>
          <t>У нас дешевле на 10 112 680 (75.1%)</t>
        </is>
      </c>
      <c r="K205" t="inlineStr">
        <is>
          <t>-10 112 680</t>
        </is>
      </c>
      <c r="L205" t="inlineStr">
        <is>
          <t>-75.1%</t>
        </is>
      </c>
      <c r="M205" t="inlineStr">
        <is>
          <t>any_type</t>
        </is>
      </c>
      <c r="N205" t="inlineStr">
        <is>
          <t>no</t>
        </is>
      </c>
      <c r="O205" t="inlineStr">
        <is>
          <t>none</t>
        </is>
      </c>
      <c r="P205">
        <f>HYPERLINK("https://knru.ru/catalog/ul-repishcheva-d-10-k-1-560049/","ссылка")</f>
        <v/>
      </c>
      <c r="Q205">
        <f>HYPERLINK("https://app.worldcafe.ru/object/11935","ссылка")</f>
        <v/>
      </c>
      <c r="R205" t="inlineStr">
        <is>
          <t>По адресу есть, но площадь другая</t>
        </is>
      </c>
      <c r="S205" t="n">
        <v>1</v>
      </c>
      <c r="T205" t="inlineStr">
        <is>
          <t>Архив business_sale 108 м² 3 350 000 =HYPERLINK("https://app.worldcafe.ru/object/11935","ссылка")</t>
        </is>
      </c>
      <c r="U205" t="n">
        <v>1169</v>
      </c>
      <c r="V205" t="n">
        <v>49</v>
      </c>
      <c r="W205" t="n">
        <v>17</v>
      </c>
      <c r="X205" t="n">
        <v>13462680</v>
      </c>
      <c r="Y205" t="n">
        <v>3350000</v>
      </c>
      <c r="Z205" t="n">
        <v>-10112680</v>
      </c>
      <c r="AA205" t="inlineStr">
        <is>
          <t>https://knru.ru/catalog/ul-repishcheva-d-10-k-1-560049/</t>
        </is>
      </c>
    </row>
    <row r="206">
      <c r="A206" t="n">
        <v>1170</v>
      </c>
      <c r="B206" t="n">
        <v>49</v>
      </c>
      <c r="C206" t="n">
        <v>18</v>
      </c>
      <c r="D206" t="n">
        <v>560046</v>
      </c>
      <c r="E206" t="inlineStr">
        <is>
          <t>Приморский</t>
        </is>
      </c>
      <c r="F206" t="inlineStr">
        <is>
          <t>Репищева ул, 10к1 А</t>
        </is>
      </c>
      <c r="G206" t="n">
        <v>87</v>
      </c>
      <c r="H206" t="inlineStr">
        <is>
          <t>11 935 000</t>
        </is>
      </c>
      <c r="I206" t="inlineStr">
        <is>
          <t>3 350 000</t>
        </is>
      </c>
      <c r="J206" t="inlineStr">
        <is>
          <t>У нас дешевле на 8 585 000 (71.9%)</t>
        </is>
      </c>
      <c r="K206" t="inlineStr">
        <is>
          <t>-8 585 000</t>
        </is>
      </c>
      <c r="L206" t="inlineStr">
        <is>
          <t>-71.9%</t>
        </is>
      </c>
      <c r="M206" t="inlineStr">
        <is>
          <t>any_type</t>
        </is>
      </c>
      <c r="N206" t="inlineStr">
        <is>
          <t>no</t>
        </is>
      </c>
      <c r="O206" t="inlineStr">
        <is>
          <t>none</t>
        </is>
      </c>
      <c r="P206">
        <f>HYPERLINK("https://knru.ru/catalog/ul-repishcheva-d-10-k-1-560046/","ссылка")</f>
        <v/>
      </c>
      <c r="Q206">
        <f>HYPERLINK("https://app.worldcafe.ru/object/11935","ссылка")</f>
        <v/>
      </c>
      <c r="R206" t="inlineStr">
        <is>
          <t>По адресу есть, но площадь другая</t>
        </is>
      </c>
      <c r="S206" t="n">
        <v>1</v>
      </c>
      <c r="T206" t="inlineStr">
        <is>
          <t>Архив business_sale 108 м² 3 350 000 =HYPERLINK("https://app.worldcafe.ru/object/11935","ссылка")</t>
        </is>
      </c>
      <c r="U206" t="n">
        <v>1170</v>
      </c>
      <c r="V206" t="n">
        <v>49</v>
      </c>
      <c r="W206" t="n">
        <v>18</v>
      </c>
      <c r="X206" t="n">
        <v>11935000</v>
      </c>
      <c r="Y206" t="n">
        <v>3350000</v>
      </c>
      <c r="Z206" t="n">
        <v>-8585000</v>
      </c>
      <c r="AA206" t="inlineStr">
        <is>
          <t>https://knru.ru/catalog/ul-repishcheva-d-10-k-1-560046/</t>
        </is>
      </c>
    </row>
    <row r="207">
      <c r="A207" t="n">
        <v>1171</v>
      </c>
      <c r="B207" t="n">
        <v>49</v>
      </c>
      <c r="C207" t="n">
        <v>19</v>
      </c>
      <c r="D207" t="n">
        <v>1</v>
      </c>
      <c r="E207" t="inlineStr">
        <is>
          <t>Приморский</t>
        </is>
      </c>
      <c r="F207" t="inlineStr">
        <is>
          <t>Репищева ул, 10к1 А</t>
        </is>
      </c>
      <c r="G207" t="n">
        <v>117</v>
      </c>
      <c r="H207" t="inlineStr">
        <is>
          <t>15 958 800</t>
        </is>
      </c>
      <c r="I207" t="inlineStr">
        <is>
          <t>3 350 000</t>
        </is>
      </c>
      <c r="J207" t="inlineStr">
        <is>
          <t>У нас дешевле на 12 608 800 (79.0%)</t>
        </is>
      </c>
      <c r="K207" t="inlineStr">
        <is>
          <t>-12 608 800</t>
        </is>
      </c>
      <c r="L207" t="inlineStr">
        <is>
          <t>-79.0%</t>
        </is>
      </c>
      <c r="M207" t="inlineStr">
        <is>
          <t>any_type</t>
        </is>
      </c>
      <c r="N207" t="inlineStr">
        <is>
          <t>no</t>
        </is>
      </c>
      <c r="O207" t="inlineStr">
        <is>
          <t>none</t>
        </is>
      </c>
      <c r="P207">
        <f>HYPERLINK("https://knru.ru/catalog/ul-repishcheva-d-10-k-1/","ссылка")</f>
        <v/>
      </c>
      <c r="Q207">
        <f>HYPERLINK("https://app.worldcafe.ru/object/11935","ссылка")</f>
        <v/>
      </c>
      <c r="R207" t="inlineStr">
        <is>
          <t>По адресу есть, но площадь другая</t>
        </is>
      </c>
      <c r="S207" t="n">
        <v>1</v>
      </c>
      <c r="T207" t="inlineStr">
        <is>
          <t>Архив business_sale 108 м² 3 350 000 =HYPERLINK("https://app.worldcafe.ru/object/11935","ссылка")</t>
        </is>
      </c>
      <c r="U207" t="n">
        <v>1171</v>
      </c>
      <c r="V207" t="n">
        <v>49</v>
      </c>
      <c r="W207" t="n">
        <v>19</v>
      </c>
      <c r="X207" t="n">
        <v>15958800</v>
      </c>
      <c r="Y207" t="n">
        <v>3350000</v>
      </c>
      <c r="Z207" t="n">
        <v>-12608800</v>
      </c>
      <c r="AA207" t="inlineStr">
        <is>
          <t>https://knru.ru/catalog/ul-repishcheva-d-10-k-1/</t>
        </is>
      </c>
    </row>
    <row r="208">
      <c r="A208" t="n">
        <v>1172</v>
      </c>
      <c r="B208" t="n">
        <v>49</v>
      </c>
      <c r="C208" t="n">
        <v>20</v>
      </c>
      <c r="D208" t="n">
        <v>559999</v>
      </c>
      <c r="E208" t="inlineStr">
        <is>
          <t>Красносельский</t>
        </is>
      </c>
      <c r="F208" t="inlineStr">
        <is>
          <t>Маршала Казакова ул, 21к3</t>
        </is>
      </c>
      <c r="G208" t="n">
        <v>72</v>
      </c>
      <c r="H208" t="inlineStr">
        <is>
          <t>23 852 500</t>
        </is>
      </c>
      <c r="I208" t="inlineStr">
        <is>
          <t>105 000</t>
        </is>
      </c>
      <c r="J208" t="inlineStr">
        <is>
          <t>У нас дешевле на 23 747 500 (99.6%)</t>
        </is>
      </c>
      <c r="K208" t="inlineStr">
        <is>
          <t>-23 747 500</t>
        </is>
      </c>
      <c r="L208" t="inlineStr">
        <is>
          <t>-99.6%</t>
        </is>
      </c>
      <c r="M208" t="inlineStr">
        <is>
          <t>any_type</t>
        </is>
      </c>
      <c r="N208" t="inlineStr">
        <is>
          <t>no</t>
        </is>
      </c>
      <c r="O208" t="inlineStr">
        <is>
          <t>none</t>
        </is>
      </c>
      <c r="P208">
        <f>HYPERLINK("https://knru.ru/catalog/ul-marshala-kazakova-d-21-559999/","ссылка")</f>
        <v/>
      </c>
      <c r="Q208">
        <f>HYPERLINK("https://app.worldcafe.ru/object/19209","ссылка")</f>
        <v/>
      </c>
      <c r="R208" t="inlineStr">
        <is>
          <t>По адресу есть, но площадь другая</t>
        </is>
      </c>
      <c r="S208" t="n">
        <v>1</v>
      </c>
      <c r="T208" t="inlineStr">
        <is>
          <t>Архив rent 38 м² 105 000 =HYPERLINK("https://app.worldcafe.ru/object/19209","ссылка")</t>
        </is>
      </c>
      <c r="U208" t="n">
        <v>1172</v>
      </c>
      <c r="V208" t="n">
        <v>49</v>
      </c>
      <c r="W208" t="n">
        <v>20</v>
      </c>
      <c r="X208" t="n">
        <v>23852500</v>
      </c>
      <c r="Y208" t="n">
        <v>105000</v>
      </c>
      <c r="Z208" t="n">
        <v>-23747500</v>
      </c>
      <c r="AA208" t="inlineStr">
        <is>
          <t>https://knru.ru/catalog/ul-marshala-kazakova-d-21-559999/</t>
        </is>
      </c>
    </row>
    <row r="209">
      <c r="A209" t="n">
        <v>1173</v>
      </c>
      <c r="B209" t="n">
        <v>49</v>
      </c>
      <c r="C209" t="n">
        <v>21</v>
      </c>
      <c r="D209" t="n">
        <v>21</v>
      </c>
      <c r="E209" t="inlineStr">
        <is>
          <t>Красносельский</t>
        </is>
      </c>
      <c r="F209" t="inlineStr">
        <is>
          <t>Маршала Казакова ул, 21к3</t>
        </is>
      </c>
      <c r="G209" t="n">
        <v>56</v>
      </c>
      <c r="H209" t="inlineStr">
        <is>
          <t>21 356 000</t>
        </is>
      </c>
      <c r="I209" t="inlineStr">
        <is>
          <t>105 000</t>
        </is>
      </c>
      <c r="J209" t="inlineStr">
        <is>
          <t>У нас дешевле на 21 251 000 (99.5%)</t>
        </is>
      </c>
      <c r="K209" t="inlineStr">
        <is>
          <t>-21 251 000</t>
        </is>
      </c>
      <c r="L209" t="inlineStr">
        <is>
          <t>-99.5%</t>
        </is>
      </c>
      <c r="M209" t="inlineStr">
        <is>
          <t>any_type</t>
        </is>
      </c>
      <c r="N209" t="inlineStr">
        <is>
          <t>no</t>
        </is>
      </c>
      <c r="O209" t="inlineStr">
        <is>
          <t>none</t>
        </is>
      </c>
      <c r="P209">
        <f>HYPERLINK("https://knru.ru/catalog/ul-marshala-kazakova-d-21/","ссылка")</f>
        <v/>
      </c>
      <c r="Q209">
        <f>HYPERLINK("https://app.worldcafe.ru/object/19209","ссылка")</f>
        <v/>
      </c>
      <c r="R209" t="inlineStr">
        <is>
          <t>По адресу есть, но площадь другая</t>
        </is>
      </c>
      <c r="S209" t="n">
        <v>1</v>
      </c>
      <c r="T209" t="inlineStr">
        <is>
          <t>Архив rent 38 м² 105 000 =HYPERLINK("https://app.worldcafe.ru/object/19209","ссылка")</t>
        </is>
      </c>
      <c r="U209" t="n">
        <v>1173</v>
      </c>
      <c r="V209" t="n">
        <v>49</v>
      </c>
      <c r="W209" t="n">
        <v>21</v>
      </c>
      <c r="X209" t="n">
        <v>21356000</v>
      </c>
      <c r="Y209" t="n">
        <v>105000</v>
      </c>
      <c r="Z209" t="n">
        <v>-21251000</v>
      </c>
      <c r="AA209" t="inlineStr">
        <is>
          <t>https://knru.ru/catalog/ul-marshala-kazakova-d-21/</t>
        </is>
      </c>
    </row>
    <row r="210">
      <c r="A210" t="n">
        <v>1181</v>
      </c>
      <c r="B210" t="n">
        <v>50</v>
      </c>
      <c r="C210" t="n">
        <v>5</v>
      </c>
      <c r="D210" t="n">
        <v>12</v>
      </c>
      <c r="E210" t="inlineStr">
        <is>
          <t>Фрунзенский</t>
        </is>
      </c>
      <c r="F210" t="inlineStr">
        <is>
          <t>Малая Бухарестская ул, 12 строение 1</t>
        </is>
      </c>
      <c r="G210" t="n">
        <v>609.2</v>
      </c>
      <c r="H210" t="inlineStr">
        <is>
          <t>109 656 000</t>
        </is>
      </c>
      <c r="I210" t="inlineStr">
        <is>
          <t>140 000</t>
        </is>
      </c>
      <c r="J210" t="inlineStr">
        <is>
          <t>У нас дешевле на 109 516 000 (99.9%)</t>
        </is>
      </c>
      <c r="K210" t="inlineStr">
        <is>
          <t>-109 516 000</t>
        </is>
      </c>
      <c r="L210" t="inlineStr">
        <is>
          <t>-99.9%</t>
        </is>
      </c>
      <c r="M210" t="inlineStr">
        <is>
          <t>any_type</t>
        </is>
      </c>
      <c r="N210" t="inlineStr">
        <is>
          <t>no</t>
        </is>
      </c>
      <c r="O210" t="inlineStr">
        <is>
          <t>none</t>
        </is>
      </c>
      <c r="P210">
        <f>HYPERLINK("https://knru.ru/catalog/ul-malaya-buxarestskaya-d-12/","ссылка")</f>
        <v/>
      </c>
      <c r="Q210">
        <f>HYPERLINK("https://app.worldcafe.ru/object/19787","ссылка")</f>
        <v/>
      </c>
      <c r="R210" t="inlineStr">
        <is>
          <t>По адресу есть, но площадь другая</t>
        </is>
      </c>
      <c r="S210" t="n">
        <v>2</v>
      </c>
      <c r="T210" t="inlineStr">
        <is>
          <t>Архив rent 105 м² 185 000 =HYPERLINK("https://app.worldcafe.ru/object/13451","ссылка") | На сайте rent 69.7 м² 140 000 =HYPERLINK("https://app.worldcafe.ru/object/19787","ссылка")</t>
        </is>
      </c>
      <c r="U210" t="n">
        <v>1181</v>
      </c>
      <c r="V210" t="n">
        <v>50</v>
      </c>
      <c r="W210" t="n">
        <v>5</v>
      </c>
      <c r="X210" t="n">
        <v>109656000</v>
      </c>
      <c r="Y210" t="n">
        <v>140000</v>
      </c>
      <c r="Z210" t="n">
        <v>-109516000</v>
      </c>
      <c r="AA210" t="inlineStr">
        <is>
          <t>https://knru.ru/catalog/ul-malaya-buxarestskaya-d-12/</t>
        </is>
      </c>
    </row>
    <row r="211">
      <c r="A211" t="n">
        <v>1186</v>
      </c>
      <c r="B211" t="n">
        <v>50</v>
      </c>
      <c r="C211" t="n">
        <v>10</v>
      </c>
      <c r="D211" t="n">
        <v>3</v>
      </c>
      <c r="E211" t="inlineStr">
        <is>
          <t>Василеостровский</t>
        </is>
      </c>
      <c r="F211" t="inlineStr">
        <is>
          <t>Реки Смоленки, 3</t>
        </is>
      </c>
      <c r="G211" t="n">
        <v>88.59999999999999</v>
      </c>
      <c r="H211" t="inlineStr">
        <is>
          <t>23 000 000</t>
        </is>
      </c>
      <c r="I211" t="inlineStr">
        <is>
          <t>0</t>
        </is>
      </c>
      <c r="J211" t="inlineStr">
        <is>
          <t>У нас дешевле на 23 000 000 (100.0%)</t>
        </is>
      </c>
      <c r="K211" t="inlineStr">
        <is>
          <t>-23 000 000</t>
        </is>
      </c>
      <c r="L211" t="inlineStr">
        <is>
          <t>-100.0%</t>
        </is>
      </c>
      <c r="M211" t="inlineStr">
        <is>
          <t>sale_only</t>
        </is>
      </c>
      <c r="N211" t="inlineStr">
        <is>
          <t>no</t>
        </is>
      </c>
      <c r="O211" t="inlineStr">
        <is>
          <t>none</t>
        </is>
      </c>
      <c r="P211">
        <f>HYPERLINK("https://knru.ru/catalog/reki-smolenki-nab-d-3/","ссылка")</f>
        <v/>
      </c>
      <c r="Q211">
        <f>HYPERLINK("https://app.worldcafe.ru/object/15443","ссылка")</f>
        <v/>
      </c>
      <c r="R211" t="inlineStr">
        <is>
          <t>По адресу есть, но площадь другая</t>
        </is>
      </c>
      <c r="S211" t="n">
        <v>2</v>
      </c>
      <c r="T211" t="inlineStr">
        <is>
          <t>Архив sale 224.7 м² 0 =HYPERLINK("https://app.worldcafe.ru/object/15443","ссылка") | Архив rent 300 м² 269 000 =HYPERLINK("https://app.worldcafe.ru/object/12750","ссылка")</t>
        </is>
      </c>
      <c r="U211" t="n">
        <v>1186</v>
      </c>
      <c r="V211" t="n">
        <v>50</v>
      </c>
      <c r="W211" t="n">
        <v>10</v>
      </c>
      <c r="X211" t="n">
        <v>23000000</v>
      </c>
      <c r="Y211" t="n">
        <v>0</v>
      </c>
      <c r="Z211" t="n">
        <v>-23000000</v>
      </c>
      <c r="AA211" t="inlineStr">
        <is>
          <t>https://knru.ru/catalog/reki-smolenki-nab-d-3/</t>
        </is>
      </c>
    </row>
    <row r="212">
      <c r="A212" t="n">
        <v>1188</v>
      </c>
      <c r="B212" t="n">
        <v>50</v>
      </c>
      <c r="C212" t="n">
        <v>12</v>
      </c>
      <c r="D212" t="n">
        <v>3</v>
      </c>
      <c r="E212" t="inlineStr"/>
      <c r="F212" t="inlineStr">
        <is>
          <t>Новгородский пр-кт, 2к3стр1</t>
        </is>
      </c>
      <c r="G212" t="n">
        <v>77.09999999999999</v>
      </c>
      <c r="H212" t="inlineStr">
        <is>
          <t>17 171 700</t>
        </is>
      </c>
      <c r="I212" t="inlineStr">
        <is>
          <t>0</t>
        </is>
      </c>
      <c r="J212" t="inlineStr">
        <is>
          <t>У нас дешевле на 17 171 700 (100.0%)</t>
        </is>
      </c>
      <c r="K212" t="inlineStr">
        <is>
          <t>-17 171 700</t>
        </is>
      </c>
      <c r="L212" t="inlineStr">
        <is>
          <t>-100.0%</t>
        </is>
      </c>
      <c r="M212" t="inlineStr">
        <is>
          <t>any_type</t>
        </is>
      </c>
      <c r="N212" t="inlineStr">
        <is>
          <t>no</t>
        </is>
      </c>
      <c r="O212" t="inlineStr">
        <is>
          <t>none</t>
        </is>
      </c>
      <c r="P212">
        <f>HYPERLINK("https://knru.ru/catalog/p-shushary-novgorodskij-pr-d-2-k-3/","ссылка")</f>
        <v/>
      </c>
      <c r="Q212">
        <f>HYPERLINK("https://app.worldcafe.ru/object/20063","ссылка")</f>
        <v/>
      </c>
      <c r="R212" t="inlineStr">
        <is>
          <t>По адресу есть, но площадь другая</t>
        </is>
      </c>
      <c r="S212" t="n">
        <v>1</v>
      </c>
      <c r="T212" t="inlineStr">
        <is>
          <t>Архив rent 117.3 м² 0 =HYPERLINK("https://app.worldcafe.ru/object/20063","ссылка")</t>
        </is>
      </c>
      <c r="U212" t="n">
        <v>1188</v>
      </c>
      <c r="V212" t="n">
        <v>50</v>
      </c>
      <c r="W212" t="n">
        <v>12</v>
      </c>
      <c r="X212" t="n">
        <v>17171700</v>
      </c>
      <c r="Y212" t="n">
        <v>0</v>
      </c>
      <c r="Z212" t="n">
        <v>-17171700</v>
      </c>
      <c r="AA212" t="inlineStr">
        <is>
          <t>https://knru.ru/catalog/p-shushary-novgorodskij-pr-d-2-k-3/</t>
        </is>
      </c>
    </row>
    <row r="213">
      <c r="A213" t="n">
        <v>1189</v>
      </c>
      <c r="B213" t="n">
        <v>50</v>
      </c>
      <c r="C213" t="n">
        <v>13</v>
      </c>
      <c r="D213" t="n">
        <v>20</v>
      </c>
      <c r="E213" t="inlineStr"/>
      <c r="F213" t="inlineStr">
        <is>
          <t>Ольгинская дорога, 3/20</t>
        </is>
      </c>
      <c r="G213" t="n">
        <v>62.8</v>
      </c>
      <c r="H213" t="inlineStr">
        <is>
          <t>13 838 000</t>
        </is>
      </c>
      <c r="I213" t="inlineStr">
        <is>
          <t>14 762 000</t>
        </is>
      </c>
      <c r="J213" t="inlineStr">
        <is>
          <t>У нас дороже на 924 000 (6.7%)</t>
        </is>
      </c>
      <c r="K213" t="inlineStr">
        <is>
          <t>924 000</t>
        </is>
      </c>
      <c r="L213" t="inlineStr">
        <is>
          <t>6.7%</t>
        </is>
      </c>
      <c r="M213" t="inlineStr">
        <is>
          <t>sale_only</t>
        </is>
      </c>
      <c r="N213" t="inlineStr">
        <is>
          <t>no</t>
        </is>
      </c>
      <c r="O213" t="inlineStr">
        <is>
          <t>none</t>
        </is>
      </c>
      <c r="P213">
        <f>HYPERLINK("https://knru.ru/catalog/olginskaya-doroga-d-3-k-20/","ссылка")</f>
        <v/>
      </c>
      <c r="Q213">
        <f>HYPERLINK("https://app.worldcafe.ru/object/20187","ссылка")</f>
        <v/>
      </c>
      <c r="R213" t="inlineStr">
        <is>
          <t>По адресу есть, но площадь другая</t>
        </is>
      </c>
      <c r="S213" t="n">
        <v>2</v>
      </c>
      <c r="T213" t="inlineStr">
        <is>
          <t>На сайте sale 68 м² 14 762 000 =HYPERLINK("https://app.worldcafe.ru/object/20187","ссылка") | На сайте sale 128 м² 28 182 000 =HYPERLINK("https://app.worldcafe.ru/object/20186","ссылка")</t>
        </is>
      </c>
      <c r="U213" t="n">
        <v>1189</v>
      </c>
      <c r="V213" t="n">
        <v>50</v>
      </c>
      <c r="W213" t="n">
        <v>13</v>
      </c>
      <c r="X213" t="n">
        <v>13838000</v>
      </c>
      <c r="Y213" t="n">
        <v>14762000</v>
      </c>
      <c r="Z213" t="n">
        <v>924000</v>
      </c>
      <c r="AA213" t="inlineStr">
        <is>
          <t>https://knru.ru/catalog/olginskaya-doroga-d-3-k-20/</t>
        </is>
      </c>
    </row>
    <row r="214">
      <c r="A214" t="n">
        <v>1202</v>
      </c>
      <c r="B214" t="n">
        <v>51</v>
      </c>
      <c r="C214" t="n">
        <v>2</v>
      </c>
      <c r="D214" t="inlineStr"/>
      <c r="E214" t="inlineStr">
        <is>
          <t>Всеволожский</t>
        </is>
      </c>
      <c r="F214" t="inlineStr">
        <is>
          <t>Ручьевский пр-кт, 15</t>
        </is>
      </c>
      <c r="G214" t="n">
        <v>117</v>
      </c>
      <c r="H214" t="inlineStr">
        <is>
          <t>32 742 888</t>
        </is>
      </c>
      <c r="I214" t="inlineStr">
        <is>
          <t>16 700 000</t>
        </is>
      </c>
      <c r="J214" t="inlineStr">
        <is>
          <t>У нас дешевле на 16 042 888 (49.0%)</t>
        </is>
      </c>
      <c r="K214" t="inlineStr">
        <is>
          <t>-16 042 888</t>
        </is>
      </c>
      <c r="L214" t="inlineStr">
        <is>
          <t>-49.0%</t>
        </is>
      </c>
      <c r="M214" t="inlineStr">
        <is>
          <t>sale_only</t>
        </is>
      </c>
      <c r="N214" t="inlineStr">
        <is>
          <t>no</t>
        </is>
      </c>
      <c r="O214" t="inlineStr">
        <is>
          <t>none</t>
        </is>
      </c>
      <c r="P214">
        <f>HYPERLINK("https://knru.ru/catalog/ruchyevskij-pr/","ссылка")</f>
        <v/>
      </c>
      <c r="Q214">
        <f>HYPERLINK("https://app.worldcafe.ru/object/16878","ссылка")</f>
        <v/>
      </c>
      <c r="R214" t="inlineStr">
        <is>
          <t>По адресу есть, но площадь другая</t>
        </is>
      </c>
      <c r="S214" t="n">
        <v>2</v>
      </c>
      <c r="T214" t="inlineStr">
        <is>
          <t>Архив rent 80 м² 128 000 =HYPERLINK("https://app.worldcafe.ru/object/13962","ссылка") | Архив sale 65 м² 16 700 000 =HYPERLINK("https://app.worldcafe.ru/object/16878","ссылка")</t>
        </is>
      </c>
      <c r="U214" t="n">
        <v>1202</v>
      </c>
      <c r="V214" t="n">
        <v>51</v>
      </c>
      <c r="W214" t="n">
        <v>2</v>
      </c>
      <c r="X214" t="n">
        <v>32742888</v>
      </c>
      <c r="Y214" t="n">
        <v>16700000</v>
      </c>
      <c r="Z214" t="n">
        <v>-16042888</v>
      </c>
      <c r="AA214" t="inlineStr">
        <is>
          <t>https://knru.ru/catalog/ruchyevskij-pr/</t>
        </is>
      </c>
    </row>
    <row r="215">
      <c r="A215" t="n">
        <v>1211</v>
      </c>
      <c r="B215" t="n">
        <v>51</v>
      </c>
      <c r="C215" t="n">
        <v>11</v>
      </c>
      <c r="D215" t="n">
        <v>1</v>
      </c>
      <c r="E215" t="inlineStr">
        <is>
          <t>Петроградский</t>
        </is>
      </c>
      <c r="F215" t="inlineStr">
        <is>
          <t>Петровская коса, 6к1</t>
        </is>
      </c>
      <c r="G215" t="n">
        <v>180.5</v>
      </c>
      <c r="H215" t="inlineStr">
        <is>
          <t>53 496 090</t>
        </is>
      </c>
      <c r="I215" t="inlineStr">
        <is>
          <t>200 000</t>
        </is>
      </c>
      <c r="J215" t="inlineStr">
        <is>
          <t>У нас дешевле на 53 296 090 (99.6%)</t>
        </is>
      </c>
      <c r="K215" t="inlineStr">
        <is>
          <t>-53 296 090</t>
        </is>
      </c>
      <c r="L215" t="inlineStr">
        <is>
          <t>-99.6%</t>
        </is>
      </c>
      <c r="M215" t="inlineStr">
        <is>
          <t>any_type</t>
        </is>
      </c>
      <c r="N215" t="inlineStr">
        <is>
          <t>no</t>
        </is>
      </c>
      <c r="O215" t="inlineStr">
        <is>
          <t>none</t>
        </is>
      </c>
      <c r="P215">
        <f>HYPERLINK("https://knru.ru/catalog/petrovskaya-kosa-d-6-k-1/","ссылка")</f>
        <v/>
      </c>
      <c r="Q215">
        <f>HYPERLINK("https://app.worldcafe.ru/object/19856","ссылка")</f>
        <v/>
      </c>
      <c r="R215" t="inlineStr">
        <is>
          <t>По адресу есть, но площадь другая</t>
        </is>
      </c>
      <c r="S215" t="n">
        <v>1</v>
      </c>
      <c r="T215" t="inlineStr">
        <is>
          <t>На сайте rent 100 м² 200 000 =HYPERLINK("https://app.worldcafe.ru/object/19856","ссылка")</t>
        </is>
      </c>
      <c r="U215" t="n">
        <v>1211</v>
      </c>
      <c r="V215" t="n">
        <v>51</v>
      </c>
      <c r="W215" t="n">
        <v>11</v>
      </c>
      <c r="X215" t="n">
        <v>53496090</v>
      </c>
      <c r="Y215" t="n">
        <v>200000</v>
      </c>
      <c r="Z215" t="n">
        <v>-53296090</v>
      </c>
      <c r="AA215" t="inlineStr">
        <is>
          <t>https://knru.ru/catalog/petrovskaya-kosa-d-6-k-1/</t>
        </is>
      </c>
    </row>
    <row r="216">
      <c r="A216" t="n">
        <v>1225</v>
      </c>
      <c r="B216" t="n">
        <v>52</v>
      </c>
      <c r="C216" t="n">
        <v>1</v>
      </c>
      <c r="D216" t="n">
        <v>22</v>
      </c>
      <c r="E216" t="inlineStr"/>
      <c r="F216" t="inlineStr">
        <is>
          <t>Европейский пр-кт, 22</t>
        </is>
      </c>
      <c r="G216" t="n">
        <v>77.5</v>
      </c>
      <c r="H216" t="inlineStr">
        <is>
          <t>13 950 000</t>
        </is>
      </c>
      <c r="I216" t="inlineStr">
        <is>
          <t>11 766 600</t>
        </is>
      </c>
      <c r="J216" t="inlineStr">
        <is>
          <t>У нас дешевле на 2 183 400 (15.7%)</t>
        </is>
      </c>
      <c r="K216" t="inlineStr">
        <is>
          <t>-2 183 400</t>
        </is>
      </c>
      <c r="L216" t="inlineStr">
        <is>
          <t>-15.7%</t>
        </is>
      </c>
      <c r="M216" t="inlineStr">
        <is>
          <t>sale_only</t>
        </is>
      </c>
      <c r="N216" t="inlineStr">
        <is>
          <t>no</t>
        </is>
      </c>
      <c r="O216" t="inlineStr">
        <is>
          <t>none</t>
        </is>
      </c>
      <c r="P216">
        <f>HYPERLINK("https://knru.ru/catalog/evropejskij-pr-d-22/","ссылка")</f>
        <v/>
      </c>
      <c r="Q216">
        <f>HYPERLINK("https://app.worldcafe.ru/object/13388","ссылка")</f>
        <v/>
      </c>
      <c r="R216" t="inlineStr">
        <is>
          <t>По адресу есть, но площадь другая</t>
        </is>
      </c>
      <c r="S216" t="n">
        <v>1</v>
      </c>
      <c r="T216" t="inlineStr">
        <is>
          <t>Архив sale 65.4 м² 11 766 600 =HYPERLINK("https://app.worldcafe.ru/object/13388","ссылка")</t>
        </is>
      </c>
      <c r="U216" t="n">
        <v>1225</v>
      </c>
      <c r="V216" t="n">
        <v>52</v>
      </c>
      <c r="W216" t="n">
        <v>1</v>
      </c>
      <c r="X216" t="n">
        <v>13950000</v>
      </c>
      <c r="Y216" t="n">
        <v>11766600</v>
      </c>
      <c r="Z216" t="n">
        <v>-2183400</v>
      </c>
      <c r="AA216" t="inlineStr">
        <is>
          <t>https://knru.ru/catalog/evropejskij-pr-d-22/</t>
        </is>
      </c>
    </row>
    <row r="217">
      <c r="A217" t="n">
        <v>1247</v>
      </c>
      <c r="B217" t="n">
        <v>52</v>
      </c>
      <c r="C217" t="n">
        <v>23</v>
      </c>
      <c r="D217" t="n">
        <v>1</v>
      </c>
      <c r="E217" t="inlineStr">
        <is>
          <t>Выборгский</t>
        </is>
      </c>
      <c r="F217" t="inlineStr">
        <is>
          <t>Есенина, 1</t>
        </is>
      </c>
      <c r="G217" t="n">
        <v>250</v>
      </c>
      <c r="H217" t="inlineStr">
        <is>
          <t>40 000 000</t>
        </is>
      </c>
      <c r="I217" t="inlineStr">
        <is>
          <t>0</t>
        </is>
      </c>
      <c r="J217" t="inlineStr">
        <is>
          <t>У нас дешевле на 40 000 000 (100.0%)</t>
        </is>
      </c>
      <c r="K217" t="inlineStr">
        <is>
          <t>-40 000 000</t>
        </is>
      </c>
      <c r="L217" t="inlineStr">
        <is>
          <t>-100.0%</t>
        </is>
      </c>
      <c r="M217" t="inlineStr">
        <is>
          <t>sale_only</t>
        </is>
      </c>
      <c r="N217" t="inlineStr">
        <is>
          <t>no</t>
        </is>
      </c>
      <c r="O217" t="inlineStr">
        <is>
          <t>none</t>
        </is>
      </c>
      <c r="P217">
        <f>HYPERLINK("https://knru.ru/catalog/ul-esenina-d-1/","ссылка")</f>
        <v/>
      </c>
      <c r="Q217">
        <f>HYPERLINK("https://app.worldcafe.ru/object/16130","ссылка")</f>
        <v/>
      </c>
      <c r="R217" t="inlineStr">
        <is>
          <t>По адресу есть, но площадь другая</t>
        </is>
      </c>
      <c r="S217" t="n">
        <v>29</v>
      </c>
      <c r="T217" t="inlineStr">
        <is>
          <t>Без сделки no_deal 222.6 м² =HYPERLINK("https://app.worldcafe.ru/object/16135","ссылка") | Без сделки no_deal 219.6 м² =HYPERLINK("https://app.worldcafe.ru/object/16132","ссылка") | Без сделки no_deal 218.4 м² =HYPERLINK("https://app.worldcafe.ru/object/16136","ссылка") | Архив rent 218 м² 196 200 =HYPERLINK("https://app.worldcafe.ru/object/11343","ссылка") | Без сделки no_deal 285.5 м² =HYPERLINK("https://app.worldcafe.ru/object/16128","ссылка") | Без сделки no_deal 208 м² =HYPERLINK("https://app.worldcafe.ru/object/16126","ссылка") | Без сделки no_deal 205.1 м² =HYPERLINK("https://app.worldcafe.ru/object/16137","ссылка") | Без сделки no_deal 203.4 м² =HYPERLINK("https://app.worldcafe.ru/object/16140","ссылка") | Без сделки no_deal 199.1 м² =HYPERLINK("https://app.worldcafe.ru/object/16122","ссылка") | Без сделки no_deal 198.5 м² =HYPERLINK("https://app.worldcafe.ru/object/16139","ссылка") | Без сделки no_deal 196.2 м² =HYPERLINK("https://app.worldcafe.ru/object/16138","ссылка") | Без сделки no_deal 183.4 м² =HYPERLINK("https://app.worldcafe.ru/object/16125","ссылка")</t>
        </is>
      </c>
      <c r="U217" t="n">
        <v>1247</v>
      </c>
      <c r="V217" t="n">
        <v>52</v>
      </c>
      <c r="W217" t="n">
        <v>23</v>
      </c>
      <c r="X217" t="n">
        <v>40000000</v>
      </c>
      <c r="Y217" t="n">
        <v>0</v>
      </c>
      <c r="Z217" t="n">
        <v>-40000000</v>
      </c>
      <c r="AA217" t="inlineStr">
        <is>
          <t>https://knru.ru/catalog/ul-esenina-d-1/</t>
        </is>
      </c>
    </row>
    <row r="218">
      <c r="A218" t="n">
        <v>1248</v>
      </c>
      <c r="B218" t="n">
        <v>52</v>
      </c>
      <c r="C218" t="n">
        <v>24</v>
      </c>
      <c r="D218" t="inlineStr"/>
      <c r="E218" t="inlineStr">
        <is>
          <t>Московский</t>
        </is>
      </c>
      <c r="F218" t="inlineStr">
        <is>
          <t>Московский пр-кт, 133</t>
        </is>
      </c>
      <c r="G218" t="n">
        <v>3500</v>
      </c>
      <c r="H218" t="inlineStr">
        <is>
          <t>32 000 000</t>
        </is>
      </c>
      <c r="I218" t="inlineStr">
        <is>
          <t>2 890 000</t>
        </is>
      </c>
      <c r="J218" t="inlineStr">
        <is>
          <t>У нас дешевле на 29 110 000 (91.0%)</t>
        </is>
      </c>
      <c r="K218" t="inlineStr">
        <is>
          <t>-29 110 000</t>
        </is>
      </c>
      <c r="L218" t="inlineStr">
        <is>
          <t>-91.0%</t>
        </is>
      </c>
      <c r="M218" t="inlineStr">
        <is>
          <t>any_type</t>
        </is>
      </c>
      <c r="N218" t="inlineStr">
        <is>
          <t>no</t>
        </is>
      </c>
      <c r="O218" t="inlineStr">
        <is>
          <t>none</t>
        </is>
      </c>
      <c r="P218">
        <f>HYPERLINK("https://knru.ru/catalog/moskovskij-pr/","ссылка")</f>
        <v/>
      </c>
      <c r="Q218">
        <f>HYPERLINK("https://app.worldcafe.ru/object/14050","ссылка")</f>
        <v/>
      </c>
      <c r="R218" t="inlineStr">
        <is>
          <t>По адресу есть, но площадь другая</t>
        </is>
      </c>
      <c r="S218" t="n">
        <v>1</v>
      </c>
      <c r="T218" t="inlineStr">
        <is>
          <t>На сайте business_sale 67 м² 2 890 000 =HYPERLINK("https://app.worldcafe.ru/object/14050","ссылка")</t>
        </is>
      </c>
      <c r="U218" t="n">
        <v>1248</v>
      </c>
      <c r="V218" t="n">
        <v>52</v>
      </c>
      <c r="W218" t="n">
        <v>24</v>
      </c>
      <c r="X218" t="n">
        <v>32000000</v>
      </c>
      <c r="Y218" t="n">
        <v>2890000</v>
      </c>
      <c r="Z218" t="n">
        <v>-29110000</v>
      </c>
      <c r="AA218" t="inlineStr">
        <is>
          <t>https://knru.ru/catalog/moskovskij-pr/</t>
        </is>
      </c>
    </row>
    <row r="219">
      <c r="A219" t="n">
        <v>1256</v>
      </c>
      <c r="B219" t="n">
        <v>53</v>
      </c>
      <c r="C219" t="n">
        <v>8</v>
      </c>
      <c r="D219" t="n">
        <v>2</v>
      </c>
      <c r="E219" t="inlineStr">
        <is>
          <t>Выборгский</t>
        </is>
      </c>
      <c r="F219" t="inlineStr">
        <is>
          <t>Литовская ул, 8к2 А</t>
        </is>
      </c>
      <c r="G219" t="n">
        <v>1088</v>
      </c>
      <c r="H219" t="inlineStr">
        <is>
          <t>79 999 990</t>
        </is>
      </c>
      <c r="I219" t="inlineStr">
        <is>
          <t>100 000 000</t>
        </is>
      </c>
      <c r="J219" t="inlineStr">
        <is>
          <t>У нас дороже на 20 000 010 (25.0%)</t>
        </is>
      </c>
      <c r="K219" t="inlineStr">
        <is>
          <t>20 000 010</t>
        </is>
      </c>
      <c r="L219" t="inlineStr">
        <is>
          <t>25.0%</t>
        </is>
      </c>
      <c r="M219" t="inlineStr">
        <is>
          <t>sale_only</t>
        </is>
      </c>
      <c r="N219" t="inlineStr">
        <is>
          <t>no</t>
        </is>
      </c>
      <c r="O219" t="inlineStr">
        <is>
          <t>none</t>
        </is>
      </c>
      <c r="P219">
        <f>HYPERLINK("https://knru.ru/catalog/ul-litovskaya-d-8-k-2/","ссылка")</f>
        <v/>
      </c>
      <c r="Q219">
        <f>HYPERLINK("https://app.worldcafe.ru/object/13712","ссылка")</f>
        <v/>
      </c>
      <c r="R219" t="inlineStr">
        <is>
          <t>По адресу есть, но площадь другая</t>
        </is>
      </c>
      <c r="S219" t="n">
        <v>3</v>
      </c>
      <c r="T219" t="inlineStr">
        <is>
          <t>Архив rent 129 м² 200 000 =HYPERLINK("https://app.worldcafe.ru/object/13712","ссылка") | Архив sale 129 м² 100 000 000 =HYPERLINK("https://app.worldcafe.ru/object/13712","ссылка") | Архив rent 68.7 м² 0 =HYPERLINK("https://app.worldcafe.ru/object/19275","ссылка")</t>
        </is>
      </c>
      <c r="U219" t="n">
        <v>1256</v>
      </c>
      <c r="V219" t="n">
        <v>53</v>
      </c>
      <c r="W219" t="n">
        <v>8</v>
      </c>
      <c r="X219" t="n">
        <v>79999990</v>
      </c>
      <c r="Y219" t="n">
        <v>100000000</v>
      </c>
      <c r="Z219" t="n">
        <v>20000010</v>
      </c>
      <c r="AA219" t="inlineStr">
        <is>
          <t>https://knru.ru/catalog/ul-litovskaya-d-8-k-2/</t>
        </is>
      </c>
    </row>
    <row r="220">
      <c r="A220" t="n">
        <v>1261</v>
      </c>
      <c r="B220" t="n">
        <v>53</v>
      </c>
      <c r="C220" t="n">
        <v>13</v>
      </c>
      <c r="D220" t="n">
        <v>60</v>
      </c>
      <c r="E220" t="inlineStr">
        <is>
          <t>Центральный</t>
        </is>
      </c>
      <c r="F220" t="inlineStr">
        <is>
          <t>Некрасова ул, 60</t>
        </is>
      </c>
      <c r="G220" t="n">
        <v>100</v>
      </c>
      <c r="H220" t="inlineStr">
        <is>
          <t>42 000 000</t>
        </is>
      </c>
      <c r="I220" t="inlineStr">
        <is>
          <t>0</t>
        </is>
      </c>
      <c r="J220" t="inlineStr">
        <is>
          <t>У нас дешевле на 42 000 000 (100.0%)</t>
        </is>
      </c>
      <c r="K220" t="inlineStr">
        <is>
          <t>-42 000 000</t>
        </is>
      </c>
      <c r="L220" t="inlineStr">
        <is>
          <t>-100.0%</t>
        </is>
      </c>
      <c r="M220" t="inlineStr">
        <is>
          <t>any_type</t>
        </is>
      </c>
      <c r="N220" t="inlineStr">
        <is>
          <t>yes</t>
        </is>
      </c>
      <c r="O220" t="inlineStr">
        <is>
          <t>pixel_heuristic</t>
        </is>
      </c>
      <c r="P220">
        <f>HYPERLINK("https://knru.ru/catalog/ul-nekrasova-d-60/","ссылка")</f>
        <v/>
      </c>
      <c r="Q220">
        <f>HYPERLINK("https://app.worldcafe.ru/object/14789","ссылка")</f>
        <v/>
      </c>
      <c r="R220" t="inlineStr">
        <is>
          <t>По адресу есть, но площадь другая</t>
        </is>
      </c>
      <c r="S220" t="n">
        <v>4</v>
      </c>
      <c r="T220" t="inlineStr">
        <is>
          <t>Архив rent 87.1 м² 0 =HYPERLINK("https://app.worldcafe.ru/object/14789","ссылка") | Архив rent 184.5 м² 500 000 =HYPERLINK("https://app.worldcafe.ru/object/9788","ссылка") | Архив business_sale 184.5 м² 0 =HYPERLINK("https://app.worldcafe.ru/object/9788","ссылка") | Архив rent 437 м² 600 000 =HYPERLINK("https://app.worldcafe.ru/object/13769","ссылка")</t>
        </is>
      </c>
      <c r="U220" t="n">
        <v>1261</v>
      </c>
      <c r="V220" t="n">
        <v>53</v>
      </c>
      <c r="W220" t="n">
        <v>13</v>
      </c>
      <c r="X220" t="n">
        <v>42000000</v>
      </c>
      <c r="Y220" t="n">
        <v>0</v>
      </c>
      <c r="Z220" t="n">
        <v>-42000000</v>
      </c>
      <c r="AA220" t="inlineStr">
        <is>
          <t>https://knru.ru/catalog/ul-nekrasova-d-60/</t>
        </is>
      </c>
    </row>
    <row r="221">
      <c r="A221" t="n">
        <v>1262</v>
      </c>
      <c r="B221" t="n">
        <v>53</v>
      </c>
      <c r="C221" t="n">
        <v>14</v>
      </c>
      <c r="D221" t="n">
        <v>2</v>
      </c>
      <c r="E221" t="inlineStr">
        <is>
          <t>Приморский</t>
        </is>
      </c>
      <c r="F221" t="inlineStr">
        <is>
          <t>Испытателей пр-кт, 30к2 А</t>
        </is>
      </c>
      <c r="G221" t="n">
        <v>14000</v>
      </c>
      <c r="H221" t="inlineStr">
        <is>
          <t>980 000 000</t>
        </is>
      </c>
      <c r="I221" t="inlineStr"/>
      <c r="J221" t="inlineStr"/>
      <c r="K221" t="inlineStr"/>
      <c r="L221" t="inlineStr"/>
      <c r="M221" t="inlineStr"/>
      <c r="N221" t="inlineStr">
        <is>
          <t>no</t>
        </is>
      </c>
      <c r="O221" t="inlineStr">
        <is>
          <t>none</t>
        </is>
      </c>
      <c r="P221">
        <f>HYPERLINK("https://knru.ru/catalog/pr-kt-ispytatelej-d-30-k-2/","ссылка")</f>
        <v/>
      </c>
      <c r="Q221" t="inlineStr"/>
      <c r="R221" t="inlineStr">
        <is>
          <t>По адресу есть, но площадь другая</t>
        </is>
      </c>
      <c r="S221" t="n">
        <v>1</v>
      </c>
      <c r="T221" t="inlineStr">
        <is>
          <t>Без сделки no_deal 315 м² =HYPERLINK("https://app.worldcafe.ru/object/15556","ссылка")</t>
        </is>
      </c>
      <c r="U221" t="n">
        <v>1262</v>
      </c>
      <c r="V221" t="n">
        <v>53</v>
      </c>
      <c r="W221" t="n">
        <v>14</v>
      </c>
      <c r="X221" t="n">
        <v>980000000</v>
      </c>
      <c r="Y221" t="inlineStr"/>
      <c r="Z221" t="inlineStr"/>
      <c r="AA221" t="inlineStr">
        <is>
          <t>https://knru.ru/catalog/pr-kt-ispytatelej-d-30-k-2/</t>
        </is>
      </c>
    </row>
    <row r="222">
      <c r="A222" t="n">
        <v>1264</v>
      </c>
      <c r="B222" t="n">
        <v>53</v>
      </c>
      <c r="C222" t="n">
        <v>16</v>
      </c>
      <c r="D222" t="n">
        <v>2</v>
      </c>
      <c r="E222" t="inlineStr">
        <is>
          <t>Красногвардейский</t>
        </is>
      </c>
      <c r="F222" t="inlineStr">
        <is>
          <t>Среднеохтинский пр-кт, 2</t>
        </is>
      </c>
      <c r="G222" t="n">
        <v>90</v>
      </c>
      <c r="H222" t="inlineStr">
        <is>
          <t>33 000 000</t>
        </is>
      </c>
      <c r="I222" t="inlineStr">
        <is>
          <t>0</t>
        </is>
      </c>
      <c r="J222" t="inlineStr">
        <is>
          <t>У нас дешевле на 33 000 000 (100.0%)</t>
        </is>
      </c>
      <c r="K222" t="inlineStr">
        <is>
          <t>-33 000 000</t>
        </is>
      </c>
      <c r="L222" t="inlineStr">
        <is>
          <t>-100.0%</t>
        </is>
      </c>
      <c r="M222" t="inlineStr">
        <is>
          <t>sale_only</t>
        </is>
      </c>
      <c r="N222" t="inlineStr">
        <is>
          <t>no</t>
        </is>
      </c>
      <c r="O222" t="inlineStr">
        <is>
          <t>none</t>
        </is>
      </c>
      <c r="P222">
        <f>HYPERLINK("https://knru.ru/catalog/sredneoxtinskij-pr-d-2/","ссылка")</f>
        <v/>
      </c>
      <c r="Q222">
        <f>HYPERLINK("https://app.worldcafe.ru/object/16246","ссылка")</f>
        <v/>
      </c>
      <c r="R222" t="inlineStr">
        <is>
          <t>По адресу есть, но площадь другая</t>
        </is>
      </c>
      <c r="S222" t="n">
        <v>7</v>
      </c>
      <c r="T222" t="inlineStr">
        <is>
          <t>Без сделки no_deal 70.1 м² =HYPERLINK("https://app.worldcafe.ru/object/16251","ссылка") | Архив sale 69.8 м² 0 =HYPERLINK("https://app.worldcafe.ru/object/16246","ссылка") | Без сделки no_deal 51.1 м² =HYPERLINK("https://app.worldcafe.ru/object/16252","ссылка") | Без сделки no_deal 17.1 м² =HYPERLINK("https://app.worldcafe.ru/object/16247","ссылка") | Без сделки no_deal 14.8 м² =HYPERLINK("https://app.worldcafe.ru/object/16249","ссылка") | Без сделки no_deal 165.5 м² =HYPERLINK("https://app.worldcafe.ru/object/16248","ссылка") | Без сделки no_deal 388.2 м² =HYPERLINK("https://app.worldcafe.ru/object/16250","ссылка")</t>
        </is>
      </c>
      <c r="U222" t="n">
        <v>1264</v>
      </c>
      <c r="V222" t="n">
        <v>53</v>
      </c>
      <c r="W222" t="n">
        <v>16</v>
      </c>
      <c r="X222" t="n">
        <v>33000000</v>
      </c>
      <c r="Y222" t="n">
        <v>0</v>
      </c>
      <c r="Z222" t="n">
        <v>-33000000</v>
      </c>
      <c r="AA222" t="inlineStr">
        <is>
          <t>https://knru.ru/catalog/sredneoxtinskij-pr-d-2/</t>
        </is>
      </c>
    </row>
    <row r="223">
      <c r="A223" t="n">
        <v>1265</v>
      </c>
      <c r="B223" t="n">
        <v>53</v>
      </c>
      <c r="C223" t="n">
        <v>17</v>
      </c>
      <c r="D223" t="n">
        <v>10</v>
      </c>
      <c r="E223" t="inlineStr">
        <is>
          <t>Центральный</t>
        </is>
      </c>
      <c r="F223" t="inlineStr">
        <is>
          <t>Итальянская ул, 10</t>
        </is>
      </c>
      <c r="G223" t="n">
        <v>170</v>
      </c>
      <c r="H223" t="inlineStr">
        <is>
          <t>120 000 000</t>
        </is>
      </c>
      <c r="I223" t="inlineStr">
        <is>
          <t>49 000 000</t>
        </is>
      </c>
      <c r="J223" t="inlineStr">
        <is>
          <t>У нас дешевле на 71 000 000 (59.2%)</t>
        </is>
      </c>
      <c r="K223" t="inlineStr">
        <is>
          <t>-71 000 000</t>
        </is>
      </c>
      <c r="L223" t="inlineStr">
        <is>
          <t>-59.2%</t>
        </is>
      </c>
      <c r="M223" t="inlineStr">
        <is>
          <t>sale_only</t>
        </is>
      </c>
      <c r="N223" t="inlineStr">
        <is>
          <t>no</t>
        </is>
      </c>
      <c r="O223" t="inlineStr">
        <is>
          <t>none</t>
        </is>
      </c>
      <c r="P223">
        <f>HYPERLINK("https://knru.ru/catalog/italyanskaya-ul-d-10/","ссылка")</f>
        <v/>
      </c>
      <c r="Q223">
        <f>HYPERLINK("https://app.worldcafe.ru/object/8356","ссылка")</f>
        <v/>
      </c>
      <c r="R223" t="inlineStr">
        <is>
          <t>По адресу есть, но площадь другая</t>
        </is>
      </c>
      <c r="S223" t="n">
        <v>3</v>
      </c>
      <c r="T223" t="inlineStr">
        <is>
          <t>Архив rent 159 м² 400 000 =HYPERLINK("https://app.worldcafe.ru/object/9481","ссылка") | Архив sale 159 м² 49 000 000 =HYPERLINK("https://app.worldcafe.ru/object/8356","ссылка") | Архив rent 70 м² 365 000 =HYPERLINK("https://app.worldcafe.ru/object/11516","ссылка")</t>
        </is>
      </c>
      <c r="U223" t="n">
        <v>1265</v>
      </c>
      <c r="V223" t="n">
        <v>53</v>
      </c>
      <c r="W223" t="n">
        <v>17</v>
      </c>
      <c r="X223" t="n">
        <v>120000000</v>
      </c>
      <c r="Y223" t="n">
        <v>49000000</v>
      </c>
      <c r="Z223" t="n">
        <v>-71000000</v>
      </c>
      <c r="AA223" t="inlineStr">
        <is>
          <t>https://knru.ru/catalog/italyanskaya-ul-d-10/</t>
        </is>
      </c>
    </row>
    <row r="224">
      <c r="A224" t="n">
        <v>1266</v>
      </c>
      <c r="B224" t="n">
        <v>53</v>
      </c>
      <c r="C224" t="n">
        <v>18</v>
      </c>
      <c r="D224" t="n">
        <v>8</v>
      </c>
      <c r="E224" t="inlineStr">
        <is>
          <t>Фрунзенский</t>
        </is>
      </c>
      <c r="F224" t="inlineStr">
        <is>
          <t>Ярослава Гашека ул, 8</t>
        </is>
      </c>
      <c r="G224" t="n">
        <v>28</v>
      </c>
      <c r="H224" t="inlineStr">
        <is>
          <t>13 600 000</t>
        </is>
      </c>
      <c r="I224" t="inlineStr">
        <is>
          <t>19 900 000</t>
        </is>
      </c>
      <c r="J224" t="inlineStr">
        <is>
          <t>У нас дороже на 6 300 000 (46.3%)</t>
        </is>
      </c>
      <c r="K224" t="inlineStr">
        <is>
          <t>6 300 000</t>
        </is>
      </c>
      <c r="L224" t="inlineStr">
        <is>
          <t>46.3%</t>
        </is>
      </c>
      <c r="M224" t="inlineStr">
        <is>
          <t>sale_only</t>
        </is>
      </c>
      <c r="N224" t="inlineStr">
        <is>
          <t>no</t>
        </is>
      </c>
      <c r="O224" t="inlineStr">
        <is>
          <t>none</t>
        </is>
      </c>
      <c r="P224">
        <f>HYPERLINK("https://knru.ru/catalog/ul-yaroslava-gasheka-d-8/","ссылка")</f>
        <v/>
      </c>
      <c r="Q224">
        <f>HYPERLINK("https://app.worldcafe.ru/object/12026","ссылка")</f>
        <v/>
      </c>
      <c r="R224" t="inlineStr">
        <is>
          <t>По адресу есть, но площадь другая</t>
        </is>
      </c>
      <c r="S224" t="n">
        <v>1</v>
      </c>
      <c r="T224" t="inlineStr">
        <is>
          <t>Архив sale 60 м² 19 900 000 =HYPERLINK("https://app.worldcafe.ru/object/12026","ссылка")</t>
        </is>
      </c>
      <c r="U224" t="n">
        <v>1266</v>
      </c>
      <c r="V224" t="n">
        <v>53</v>
      </c>
      <c r="W224" t="n">
        <v>18</v>
      </c>
      <c r="X224" t="n">
        <v>13600000</v>
      </c>
      <c r="Y224" t="n">
        <v>19900000</v>
      </c>
      <c r="Z224" t="n">
        <v>6300000</v>
      </c>
      <c r="AA224" t="inlineStr">
        <is>
          <t>https://knru.ru/catalog/ul-yaroslava-gasheka-d-8/</t>
        </is>
      </c>
    </row>
    <row r="225">
      <c r="A225" t="n">
        <v>1267</v>
      </c>
      <c r="B225" t="n">
        <v>53</v>
      </c>
      <c r="C225" t="n">
        <v>19</v>
      </c>
      <c r="D225" t="n">
        <v>37</v>
      </c>
      <c r="E225" t="inlineStr">
        <is>
          <t>Центральный</t>
        </is>
      </c>
      <c r="F225" t="inlineStr">
        <is>
          <t>Некрасова ул, 37</t>
        </is>
      </c>
      <c r="G225" t="n">
        <v>215</v>
      </c>
      <c r="H225" t="inlineStr">
        <is>
          <t>135 000 000</t>
        </is>
      </c>
      <c r="I225" t="inlineStr">
        <is>
          <t>390 000</t>
        </is>
      </c>
      <c r="J225" t="inlineStr">
        <is>
          <t>У нас дешевле на 134 610 000 (99.7%)</t>
        </is>
      </c>
      <c r="K225" t="inlineStr">
        <is>
          <t>-134 610 000</t>
        </is>
      </c>
      <c r="L225" t="inlineStr">
        <is>
          <t>-99.7%</t>
        </is>
      </c>
      <c r="M225" t="inlineStr">
        <is>
          <t>any_type</t>
        </is>
      </c>
      <c r="N225" t="inlineStr">
        <is>
          <t>no</t>
        </is>
      </c>
      <c r="O225" t="inlineStr">
        <is>
          <t>none</t>
        </is>
      </c>
      <c r="P225">
        <f>HYPERLINK("https://knru.ru/catalog/ul-nekrasova-d-37/","ссылка")</f>
        <v/>
      </c>
      <c r="Q225">
        <f>HYPERLINK("https://app.worldcafe.ru/object/13503","ссылка")</f>
        <v/>
      </c>
      <c r="R225" t="inlineStr">
        <is>
          <t>По адресу есть, но площадь другая</t>
        </is>
      </c>
      <c r="S225" t="n">
        <v>3</v>
      </c>
      <c r="T225" t="inlineStr">
        <is>
          <t>Архив rent 208.8 м² 500 000 =HYPERLINK("https://app.worldcafe.ru/object/12330","ссылка") | Архив rent 278 м² 390 000 =HYPERLINK("https://app.worldcafe.ru/object/13503","ссылка") | Без сделки no_deal 125.7 м² =HYPERLINK("https://app.worldcafe.ru/object/18473","ссылка")</t>
        </is>
      </c>
      <c r="U225" t="n">
        <v>1267</v>
      </c>
      <c r="V225" t="n">
        <v>53</v>
      </c>
      <c r="W225" t="n">
        <v>19</v>
      </c>
      <c r="X225" t="n">
        <v>135000000</v>
      </c>
      <c r="Y225" t="n">
        <v>390000</v>
      </c>
      <c r="Z225" t="n">
        <v>-134610000</v>
      </c>
      <c r="AA225" t="inlineStr">
        <is>
          <t>https://knru.ru/catalog/ul-nekrasova-d-37/</t>
        </is>
      </c>
    </row>
    <row r="226">
      <c r="A226" t="n">
        <v>1268</v>
      </c>
      <c r="B226" t="n">
        <v>53</v>
      </c>
      <c r="C226" t="n">
        <v>20</v>
      </c>
      <c r="D226" t="n">
        <v>546262</v>
      </c>
      <c r="E226" t="inlineStr">
        <is>
          <t>Фрунзенский</t>
        </is>
      </c>
      <c r="F226" t="inlineStr">
        <is>
          <t>Ярослава Гашека, 4</t>
        </is>
      </c>
      <c r="G226" t="n">
        <v>45</v>
      </c>
      <c r="H226" t="inlineStr">
        <is>
          <t>33 000 000</t>
        </is>
      </c>
      <c r="I226" t="inlineStr">
        <is>
          <t>31 000 000</t>
        </is>
      </c>
      <c r="J226" t="inlineStr">
        <is>
          <t>У нас дешевле на 2 000 000 (6.1%)</t>
        </is>
      </c>
      <c r="K226" t="inlineStr">
        <is>
          <t>-2 000 000</t>
        </is>
      </c>
      <c r="L226" t="inlineStr">
        <is>
          <t>-6.1%</t>
        </is>
      </c>
      <c r="M226" t="inlineStr">
        <is>
          <t>sale_only</t>
        </is>
      </c>
      <c r="N226" t="inlineStr">
        <is>
          <t>no</t>
        </is>
      </c>
      <c r="O226" t="inlineStr">
        <is>
          <t>none</t>
        </is>
      </c>
      <c r="P226">
        <f>HYPERLINK("https://knru.ru/catalog/yaroslava-gasheka-ul-d-4-546262/","ссылка")</f>
        <v/>
      </c>
      <c r="Q226">
        <f>HYPERLINK("https://app.worldcafe.ru/object/12487","ссылка")</f>
        <v/>
      </c>
      <c r="R226" t="inlineStr">
        <is>
          <t>По адресу есть, но площадь другая</t>
        </is>
      </c>
      <c r="S226" t="n">
        <v>2</v>
      </c>
      <c r="T226" t="inlineStr">
        <is>
          <t>Архив rent 50.3 м² 160 000 =HYPERLINK("https://app.worldcafe.ru/object/12487","ссылка") | Архив sale 50.3 м² 31 000 000 =HYPERLINK("https://app.worldcafe.ru/object/12487","ссылка")</t>
        </is>
      </c>
      <c r="U226" t="n">
        <v>1268</v>
      </c>
      <c r="V226" t="n">
        <v>53</v>
      </c>
      <c r="W226" t="n">
        <v>20</v>
      </c>
      <c r="X226" t="n">
        <v>33000000</v>
      </c>
      <c r="Y226" t="n">
        <v>31000000</v>
      </c>
      <c r="Z226" t="n">
        <v>-2000000</v>
      </c>
      <c r="AA226" t="inlineStr">
        <is>
          <t>https://knru.ru/catalog/yaroslava-gasheka-ul-d-4-546262/</t>
        </is>
      </c>
    </row>
    <row r="227">
      <c r="A227" t="n">
        <v>1270</v>
      </c>
      <c r="B227" t="n">
        <v>53</v>
      </c>
      <c r="C227" t="n">
        <v>22</v>
      </c>
      <c r="D227" t="n">
        <v>2</v>
      </c>
      <c r="E227" t="inlineStr">
        <is>
          <t>Петроградский</t>
        </is>
      </c>
      <c r="F227" t="inlineStr">
        <is>
          <t>Большая Зеленина ул, 8к2</t>
        </is>
      </c>
      <c r="G227" t="n">
        <v>177</v>
      </c>
      <c r="H227" t="inlineStr">
        <is>
          <t>40 000 000</t>
        </is>
      </c>
      <c r="I227" t="inlineStr">
        <is>
          <t>71 011 500</t>
        </is>
      </c>
      <c r="J227" t="inlineStr">
        <is>
          <t>У нас дороже на 31 011 500 (77.5%)</t>
        </is>
      </c>
      <c r="K227" t="inlineStr">
        <is>
          <t>31 011 500</t>
        </is>
      </c>
      <c r="L227" t="inlineStr">
        <is>
          <t>77.5%</t>
        </is>
      </c>
      <c r="M227" t="inlineStr">
        <is>
          <t>sale_only</t>
        </is>
      </c>
      <c r="N227" t="inlineStr">
        <is>
          <t>no</t>
        </is>
      </c>
      <c r="O227" t="inlineStr">
        <is>
          <t>none</t>
        </is>
      </c>
      <c r="P227">
        <f>HYPERLINK("https://knru.ru/catalog/ul-bolshaya-zelenina-d-8-k-2/","ссылка")</f>
        <v/>
      </c>
      <c r="Q227">
        <f>HYPERLINK("https://app.worldcafe.ru/object/13358","ссылка")</f>
        <v/>
      </c>
      <c r="R227" t="inlineStr">
        <is>
          <t>По адресу есть, но площадь другая</t>
        </is>
      </c>
      <c r="S227" t="n">
        <v>1</v>
      </c>
      <c r="T227" t="inlineStr">
        <is>
          <t>Архив sale 306.2 м² 71 011 500 =HYPERLINK("https://app.worldcafe.ru/object/13358","ссылка")</t>
        </is>
      </c>
      <c r="U227" t="n">
        <v>1270</v>
      </c>
      <c r="V227" t="n">
        <v>53</v>
      </c>
      <c r="W227" t="n">
        <v>22</v>
      </c>
      <c r="X227" t="n">
        <v>40000000</v>
      </c>
      <c r="Y227" t="n">
        <v>71011500</v>
      </c>
      <c r="Z227" t="n">
        <v>31011500</v>
      </c>
      <c r="AA227" t="inlineStr">
        <is>
          <t>https://knru.ru/catalog/ul-bolshaya-zelenina-d-8-k-2/</t>
        </is>
      </c>
    </row>
    <row r="228">
      <c r="A228" t="n">
        <v>1271</v>
      </c>
      <c r="B228" t="n">
        <v>53</v>
      </c>
      <c r="C228" t="n">
        <v>23</v>
      </c>
      <c r="D228" t="n">
        <v>34</v>
      </c>
      <c r="E228" t="inlineStr">
        <is>
          <t>Центральный</t>
        </is>
      </c>
      <c r="F228" t="inlineStr">
        <is>
          <t>Маяковского ул, 34</t>
        </is>
      </c>
      <c r="G228" t="n">
        <v>47</v>
      </c>
      <c r="H228" t="inlineStr">
        <is>
          <t>13 500 000</t>
        </is>
      </c>
      <c r="I228" t="inlineStr">
        <is>
          <t>230 000</t>
        </is>
      </c>
      <c r="J228" t="inlineStr">
        <is>
          <t>У нас дешевле на 13 270 000 (98.3%)</t>
        </is>
      </c>
      <c r="K228" t="inlineStr">
        <is>
          <t>-13 270 000</t>
        </is>
      </c>
      <c r="L228" t="inlineStr">
        <is>
          <t>-98.3%</t>
        </is>
      </c>
      <c r="M228" t="inlineStr">
        <is>
          <t>any_type</t>
        </is>
      </c>
      <c r="N228" t="inlineStr">
        <is>
          <t>no</t>
        </is>
      </c>
      <c r="O228" t="inlineStr">
        <is>
          <t>none</t>
        </is>
      </c>
      <c r="P228">
        <f>HYPERLINK("https://knru.ru/catalog/ul-mayakovskogo-d-34/","ссылка")</f>
        <v/>
      </c>
      <c r="Q228">
        <f>HYPERLINK("https://app.worldcafe.ru/object/14343","ссылка")</f>
        <v/>
      </c>
      <c r="R228" t="inlineStr">
        <is>
          <t>По адресу есть, но площадь другая</t>
        </is>
      </c>
      <c r="S228" t="n">
        <v>3</v>
      </c>
      <c r="T228" t="inlineStr">
        <is>
          <t>Архив rent 140 м² 230 000 =HYPERLINK("https://app.worldcafe.ru/object/14343","ссылка") | Архив rent 150 м² 290 000 =HYPERLINK("https://app.worldcafe.ru/object/13488","ссылка") | Архив rent 290 м² 420 000 =HYPERLINK("https://app.worldcafe.ru/object/12764","ссылка")</t>
        </is>
      </c>
      <c r="U228" t="n">
        <v>1271</v>
      </c>
      <c r="V228" t="n">
        <v>53</v>
      </c>
      <c r="W228" t="n">
        <v>23</v>
      </c>
      <c r="X228" t="n">
        <v>13500000</v>
      </c>
      <c r="Y228" t="n">
        <v>230000</v>
      </c>
      <c r="Z228" t="n">
        <v>-13270000</v>
      </c>
      <c r="AA228" t="inlineStr">
        <is>
          <t>https://knru.ru/catalog/ul-mayakovskogo-d-34/</t>
        </is>
      </c>
    </row>
    <row r="229">
      <c r="A229" t="n">
        <v>1277</v>
      </c>
      <c r="B229" t="n">
        <v>54</v>
      </c>
      <c r="C229" t="n">
        <v>5</v>
      </c>
      <c r="D229" t="n">
        <v>198</v>
      </c>
      <c r="E229" t="inlineStr">
        <is>
          <t>Московский</t>
        </is>
      </c>
      <c r="F229" t="inlineStr">
        <is>
          <t>Московский, 198</t>
        </is>
      </c>
      <c r="G229" t="n">
        <v>70</v>
      </c>
      <c r="H229" t="inlineStr">
        <is>
          <t>24 800 000</t>
        </is>
      </c>
      <c r="I229" t="inlineStr">
        <is>
          <t>26 790 000</t>
        </is>
      </c>
      <c r="J229" t="inlineStr">
        <is>
          <t>У нас дороже на 1 990 000 (8.0%)</t>
        </is>
      </c>
      <c r="K229" t="inlineStr">
        <is>
          <t>1 990 000</t>
        </is>
      </c>
      <c r="L229" t="inlineStr">
        <is>
          <t>8.0%</t>
        </is>
      </c>
      <c r="M229" t="inlineStr">
        <is>
          <t>sale_only</t>
        </is>
      </c>
      <c r="N229" t="inlineStr">
        <is>
          <t>no</t>
        </is>
      </c>
      <c r="O229" t="inlineStr">
        <is>
          <t>none</t>
        </is>
      </c>
      <c r="P229">
        <f>HYPERLINK("https://knru.ru/catalog/moskovskij-prospekt-d-198/","ссылка")</f>
        <v/>
      </c>
      <c r="Q229">
        <f>HYPERLINK("https://app.worldcafe.ru/object/13014","ссылка")</f>
        <v/>
      </c>
      <c r="R229" t="inlineStr">
        <is>
          <t>По адресу есть, но площадь другая</t>
        </is>
      </c>
      <c r="S229" t="n">
        <v>4</v>
      </c>
      <c r="T229" t="inlineStr">
        <is>
          <t>Архив rent 60 м² 130 000 =HYPERLINK("https://app.worldcafe.ru/object/13014","ссылка") | На сайте sale 60 м² 26 790 000 =HYPERLINK("https://app.worldcafe.ru/object/13014","ссылка") | Архив sale 281.4 м² 59 000 000 =HYPERLINK("https://app.worldcafe.ru/object/12909","ссылка") | Архив rent 380 м² 380 000 =HYPERLINK("https://app.worldcafe.ru/object/11490","ссылка")</t>
        </is>
      </c>
      <c r="U229" t="n">
        <v>1277</v>
      </c>
      <c r="V229" t="n">
        <v>54</v>
      </c>
      <c r="W229" t="n">
        <v>5</v>
      </c>
      <c r="X229" t="n">
        <v>24800000</v>
      </c>
      <c r="Y229" t="n">
        <v>26790000</v>
      </c>
      <c r="Z229" t="n">
        <v>1990000</v>
      </c>
      <c r="AA229" t="inlineStr">
        <is>
          <t>https://knru.ru/catalog/moskovskij-prospekt-d-198/</t>
        </is>
      </c>
    </row>
    <row r="230">
      <c r="A230" t="n">
        <v>1281</v>
      </c>
      <c r="B230" t="n">
        <v>54</v>
      </c>
      <c r="C230" t="n">
        <v>9</v>
      </c>
      <c r="D230" t="inlineStr"/>
      <c r="E230" t="inlineStr">
        <is>
          <t>Кировский</t>
        </is>
      </c>
      <c r="F230" t="inlineStr">
        <is>
          <t>Балтийская ул, 30 А</t>
        </is>
      </c>
      <c r="G230" t="n">
        <v>266</v>
      </c>
      <c r="H230" t="inlineStr">
        <is>
          <t>39 501 000</t>
        </is>
      </c>
      <c r="I230" t="inlineStr"/>
      <c r="J230" t="inlineStr"/>
      <c r="K230" t="inlineStr"/>
      <c r="L230" t="inlineStr"/>
      <c r="M230" t="inlineStr"/>
      <c r="N230" t="inlineStr">
        <is>
          <t>no</t>
        </is>
      </c>
      <c r="O230" t="inlineStr">
        <is>
          <t>none</t>
        </is>
      </c>
      <c r="P230">
        <f>HYPERLINK("https://knru.ru/catalog/baltijskaya-ul-d-30a/","ссылка")</f>
        <v/>
      </c>
      <c r="Q230" t="inlineStr"/>
      <c r="R230" t="inlineStr">
        <is>
          <t>По адресу есть, но площадь другая</t>
        </is>
      </c>
      <c r="S230" t="n">
        <v>1</v>
      </c>
      <c r="T230" t="inlineStr">
        <is>
          <t>Без сделки no_deal 315 м² =HYPERLINK("https://app.worldcafe.ru/object/15556","ссылка")</t>
        </is>
      </c>
      <c r="U230" t="n">
        <v>1281</v>
      </c>
      <c r="V230" t="n">
        <v>54</v>
      </c>
      <c r="W230" t="n">
        <v>9</v>
      </c>
      <c r="X230" t="n">
        <v>39501000</v>
      </c>
      <c r="Y230" t="inlineStr"/>
      <c r="Z230" t="inlineStr"/>
      <c r="AA230" t="inlineStr">
        <is>
          <t>https://knru.ru/catalog/baltijskaya-ul-d-30a/</t>
        </is>
      </c>
    </row>
    <row r="231">
      <c r="A231" t="n">
        <v>1282</v>
      </c>
      <c r="B231" t="n">
        <v>54</v>
      </c>
      <c r="C231" t="n">
        <v>10</v>
      </c>
      <c r="D231" t="n">
        <v>7</v>
      </c>
      <c r="E231" t="inlineStr">
        <is>
          <t>Центральный</t>
        </is>
      </c>
      <c r="F231" t="inlineStr">
        <is>
          <t>Реки Мойки, 7</t>
        </is>
      </c>
      <c r="G231" t="n">
        <v>3440</v>
      </c>
      <c r="H231" t="inlineStr">
        <is>
          <t>2 000 000 000</t>
        </is>
      </c>
      <c r="I231" t="inlineStr">
        <is>
          <t>1 000 000</t>
        </is>
      </c>
      <c r="J231" t="inlineStr">
        <is>
          <t>У нас дешевле на 1 999 000 000 (100.0%)</t>
        </is>
      </c>
      <c r="K231" t="inlineStr">
        <is>
          <t>-1 999 000 000</t>
        </is>
      </c>
      <c r="L231" t="inlineStr">
        <is>
          <t>-100.0%</t>
        </is>
      </c>
      <c r="M231" t="inlineStr">
        <is>
          <t>any_type</t>
        </is>
      </c>
      <c r="N231" t="inlineStr">
        <is>
          <t>no</t>
        </is>
      </c>
      <c r="O231" t="inlineStr">
        <is>
          <t>none</t>
        </is>
      </c>
      <c r="P231">
        <f>HYPERLINK("https://knru.ru/catalog/nab-reki-mojki-d-7/","ссылка")</f>
        <v/>
      </c>
      <c r="Q231">
        <f>HYPERLINK("https://app.worldcafe.ru/object/13943","ссылка")</f>
        <v/>
      </c>
      <c r="R231" t="inlineStr">
        <is>
          <t>По адресу есть, но площадь другая</t>
        </is>
      </c>
      <c r="S231" t="n">
        <v>1</v>
      </c>
      <c r="T231" t="inlineStr">
        <is>
          <t>Архив rent 800 м² 1 000 000 =HYPERLINK("https://app.worldcafe.ru/object/13943","ссылка")</t>
        </is>
      </c>
      <c r="U231" t="n">
        <v>1282</v>
      </c>
      <c r="V231" t="n">
        <v>54</v>
      </c>
      <c r="W231" t="n">
        <v>10</v>
      </c>
      <c r="X231" t="n">
        <v>2000000000</v>
      </c>
      <c r="Y231" t="n">
        <v>1000000</v>
      </c>
      <c r="Z231" t="n">
        <v>-1999000000</v>
      </c>
      <c r="AA231" t="inlineStr">
        <is>
          <t>https://knru.ru/catalog/nab-reki-mojki-d-7/</t>
        </is>
      </c>
    </row>
    <row r="232">
      <c r="A232" t="n">
        <v>1285</v>
      </c>
      <c r="B232" t="n">
        <v>54</v>
      </c>
      <c r="C232" t="n">
        <v>13</v>
      </c>
      <c r="D232" t="n">
        <v>89</v>
      </c>
      <c r="E232" t="inlineStr">
        <is>
          <t>Кировский</t>
        </is>
      </c>
      <c r="F232" t="inlineStr">
        <is>
          <t>Ветеранов, 89</t>
        </is>
      </c>
      <c r="G232" t="n">
        <v>7215</v>
      </c>
      <c r="H232" t="inlineStr">
        <is>
          <t>900 000 000</t>
        </is>
      </c>
      <c r="I232" t="inlineStr">
        <is>
          <t>300 000</t>
        </is>
      </c>
      <c r="J232" t="inlineStr">
        <is>
          <t>У нас дешевле на 899 700 000 (100.0%)</t>
        </is>
      </c>
      <c r="K232" t="inlineStr">
        <is>
          <t>-899 700 000</t>
        </is>
      </c>
      <c r="L232" t="inlineStr">
        <is>
          <t>-100.0%</t>
        </is>
      </c>
      <c r="M232" t="inlineStr">
        <is>
          <t>any_type</t>
        </is>
      </c>
      <c r="N232" t="inlineStr">
        <is>
          <t>no</t>
        </is>
      </c>
      <c r="O232" t="inlineStr">
        <is>
          <t>none</t>
        </is>
      </c>
      <c r="P232">
        <f>HYPERLINK("https://knru.ru/catalog/veteranov-pr-kt-d-89/","ссылка")</f>
        <v/>
      </c>
      <c r="Q232">
        <f>HYPERLINK("https://app.worldcafe.ru/object/9272","ссылка")</f>
        <v/>
      </c>
      <c r="R232" t="inlineStr">
        <is>
          <t>По адресу есть, но площадь другая</t>
        </is>
      </c>
      <c r="S232" t="n">
        <v>1</v>
      </c>
      <c r="T232" t="inlineStr">
        <is>
          <t>Архив rent 240 м² 300 000 =HYPERLINK("https://app.worldcafe.ru/object/9272","ссылка")</t>
        </is>
      </c>
      <c r="U232" t="n">
        <v>1285</v>
      </c>
      <c r="V232" t="n">
        <v>54</v>
      </c>
      <c r="W232" t="n">
        <v>13</v>
      </c>
      <c r="X232" t="n">
        <v>900000000</v>
      </c>
      <c r="Y232" t="n">
        <v>300000</v>
      </c>
      <c r="Z232" t="n">
        <v>-899700000</v>
      </c>
      <c r="AA232" t="inlineStr">
        <is>
          <t>https://knru.ru/catalog/veteranov-pr-kt-d-89/</t>
        </is>
      </c>
    </row>
    <row r="233">
      <c r="A233" t="n">
        <v>1290</v>
      </c>
      <c r="B233" t="n">
        <v>54</v>
      </c>
      <c r="C233" t="n">
        <v>18</v>
      </c>
      <c r="D233" t="n">
        <v>16</v>
      </c>
      <c r="E233" t="inlineStr">
        <is>
          <t>Василеостровский</t>
        </is>
      </c>
      <c r="F233" t="inlineStr">
        <is>
          <t>8-я линия Васильевского острова, 16 А</t>
        </is>
      </c>
      <c r="G233" t="n">
        <v>166</v>
      </c>
      <c r="H233" t="inlineStr">
        <is>
          <t>39 000 000</t>
        </is>
      </c>
      <c r="I233" t="inlineStr">
        <is>
          <t>0</t>
        </is>
      </c>
      <c r="J233" t="inlineStr">
        <is>
          <t>У нас дешевле на 39 000 000 (100.0%)</t>
        </is>
      </c>
      <c r="K233" t="inlineStr">
        <is>
          <t>-39 000 000</t>
        </is>
      </c>
      <c r="L233" t="inlineStr">
        <is>
          <t>-100.0%</t>
        </is>
      </c>
      <c r="M233" t="inlineStr">
        <is>
          <t>any_type</t>
        </is>
      </c>
      <c r="N233" t="inlineStr">
        <is>
          <t>no</t>
        </is>
      </c>
      <c r="O233" t="inlineStr">
        <is>
          <t>none</t>
        </is>
      </c>
      <c r="P233">
        <f>HYPERLINK("https://knru.ru/catalog/9-ya-liniya-d-16/","ссылка")</f>
        <v/>
      </c>
      <c r="Q233">
        <f>HYPERLINK("https://app.worldcafe.ru/object/19534","ссылка")</f>
        <v/>
      </c>
      <c r="R233" t="inlineStr">
        <is>
          <t>По адресу есть, но площадь другая</t>
        </is>
      </c>
      <c r="S233" t="n">
        <v>1</v>
      </c>
      <c r="T233" t="inlineStr">
        <is>
          <t>Архив rent 27.6 м² 0 =HYPERLINK("https://app.worldcafe.ru/object/19534","ссылка")</t>
        </is>
      </c>
      <c r="U233" t="n">
        <v>1290</v>
      </c>
      <c r="V233" t="n">
        <v>54</v>
      </c>
      <c r="W233" t="n">
        <v>18</v>
      </c>
      <c r="X233" t="n">
        <v>39000000</v>
      </c>
      <c r="Y233" t="n">
        <v>0</v>
      </c>
      <c r="Z233" t="n">
        <v>-39000000</v>
      </c>
      <c r="AA233" t="inlineStr">
        <is>
          <t>https://knru.ru/catalog/9-ya-liniya-d-16/</t>
        </is>
      </c>
    </row>
    <row r="234">
      <c r="A234" t="n">
        <v>1291</v>
      </c>
      <c r="B234" t="n">
        <v>54</v>
      </c>
      <c r="C234" t="n">
        <v>19</v>
      </c>
      <c r="D234" t="n">
        <v>6</v>
      </c>
      <c r="E234" t="inlineStr">
        <is>
          <t>Курортный</t>
        </is>
      </c>
      <c r="F234" t="inlineStr">
        <is>
          <t>Юнтоловский пр-кт, 49к6 А</t>
        </is>
      </c>
      <c r="G234" t="n">
        <v>99</v>
      </c>
      <c r="H234" t="inlineStr">
        <is>
          <t>22 000 000</t>
        </is>
      </c>
      <c r="I234" t="inlineStr">
        <is>
          <t>0</t>
        </is>
      </c>
      <c r="J234" t="inlineStr">
        <is>
          <t>У нас дешевле на 22 000 000 (100.0%)</t>
        </is>
      </c>
      <c r="K234" t="inlineStr">
        <is>
          <t>-22 000 000</t>
        </is>
      </c>
      <c r="L234" t="inlineStr">
        <is>
          <t>-100.0%</t>
        </is>
      </c>
      <c r="M234" t="inlineStr">
        <is>
          <t>any_type</t>
        </is>
      </c>
      <c r="N234" t="inlineStr">
        <is>
          <t>no</t>
        </is>
      </c>
      <c r="O234" t="inlineStr">
        <is>
          <t>none</t>
        </is>
      </c>
      <c r="P234">
        <f>HYPERLINK("https://knru.ru/catalog/yuntolovskij-pr-t-d-49-korp-6/","ссылка")</f>
        <v/>
      </c>
      <c r="Q234">
        <f>HYPERLINK("https://app.worldcafe.ru/object/12248","ссылка")</f>
        <v/>
      </c>
      <c r="R234" t="inlineStr">
        <is>
          <t>По адресу есть, но площадь другая</t>
        </is>
      </c>
      <c r="S234" t="n">
        <v>2</v>
      </c>
      <c r="T234" t="inlineStr">
        <is>
          <t>Архив rent 1 м² 0 =HYPERLINK("https://app.worldcafe.ru/object/12248","ссылка") | Без сделки no_deal 1 м² =HYPERLINK("https://app.worldcafe.ru/object/12246","ссылка")</t>
        </is>
      </c>
      <c r="U234" t="n">
        <v>1291</v>
      </c>
      <c r="V234" t="n">
        <v>54</v>
      </c>
      <c r="W234" t="n">
        <v>19</v>
      </c>
      <c r="X234" t="n">
        <v>22000000</v>
      </c>
      <c r="Y234" t="n">
        <v>0</v>
      </c>
      <c r="Z234" t="n">
        <v>-22000000</v>
      </c>
      <c r="AA234" t="inlineStr">
        <is>
          <t>https://knru.ru/catalog/yuntolovskij-pr-t-d-49-korp-6/</t>
        </is>
      </c>
    </row>
    <row r="235">
      <c r="A235" t="n">
        <v>1294</v>
      </c>
      <c r="B235" t="n">
        <v>54</v>
      </c>
      <c r="C235" t="n">
        <v>22</v>
      </c>
      <c r="D235" t="n">
        <v>49</v>
      </c>
      <c r="E235" t="inlineStr">
        <is>
          <t>Фрунзенский</t>
        </is>
      </c>
      <c r="F235" t="inlineStr">
        <is>
          <t>Будапештская ул, 49к1 А</t>
        </is>
      </c>
      <c r="G235" t="n">
        <v>184</v>
      </c>
      <c r="H235" t="inlineStr">
        <is>
          <t>74 000 000</t>
        </is>
      </c>
      <c r="I235" t="inlineStr">
        <is>
          <t>0</t>
        </is>
      </c>
      <c r="J235" t="inlineStr">
        <is>
          <t>У нас дешевле на 74 000 000 (100.0%)</t>
        </is>
      </c>
      <c r="K235" t="inlineStr">
        <is>
          <t>-74 000 000</t>
        </is>
      </c>
      <c r="L235" t="inlineStr">
        <is>
          <t>-100.0%</t>
        </is>
      </c>
      <c r="M235" t="inlineStr">
        <is>
          <t>any_type</t>
        </is>
      </c>
      <c r="N235" t="inlineStr">
        <is>
          <t>no</t>
        </is>
      </c>
      <c r="O235" t="inlineStr">
        <is>
          <t>none</t>
        </is>
      </c>
      <c r="P235">
        <f>HYPERLINK("https://knru.ru/catalog/budapeshtskaya-ul-d-49/","ссылка")</f>
        <v/>
      </c>
      <c r="Q235">
        <f>HYPERLINK("https://app.worldcafe.ru/object/12248","ссылка")</f>
        <v/>
      </c>
      <c r="R235" t="inlineStr">
        <is>
          <t>По адресу есть, но площадь другая</t>
        </is>
      </c>
      <c r="S235" t="n">
        <v>2</v>
      </c>
      <c r="T235" t="inlineStr">
        <is>
          <t>Архив rent 1 м² 0 =HYPERLINK("https://app.worldcafe.ru/object/12248","ссылка") | Без сделки no_deal 1 м² =HYPERLINK("https://app.worldcafe.ru/object/12246","ссылка")</t>
        </is>
      </c>
      <c r="U235" t="n">
        <v>1294</v>
      </c>
      <c r="V235" t="n">
        <v>54</v>
      </c>
      <c r="W235" t="n">
        <v>22</v>
      </c>
      <c r="X235" t="n">
        <v>74000000</v>
      </c>
      <c r="Y235" t="n">
        <v>0</v>
      </c>
      <c r="Z235" t="n">
        <v>-74000000</v>
      </c>
      <c r="AA235" t="inlineStr">
        <is>
          <t>https://knru.ru/catalog/budapeshtskaya-ul-d-49/</t>
        </is>
      </c>
    </row>
    <row r="236">
      <c r="A236" t="n">
        <v>1295</v>
      </c>
      <c r="B236" t="n">
        <v>54</v>
      </c>
      <c r="C236" t="n">
        <v>23</v>
      </c>
      <c r="D236" t="n">
        <v>5</v>
      </c>
      <c r="E236" t="inlineStr">
        <is>
          <t>Центральный</t>
        </is>
      </c>
      <c r="F236" t="inlineStr">
        <is>
          <t>Чернорецкий пер, 5 А</t>
        </is>
      </c>
      <c r="G236" t="n">
        <v>2827</v>
      </c>
      <c r="H236" t="inlineStr">
        <is>
          <t>2 500 000 000</t>
        </is>
      </c>
      <c r="I236" t="inlineStr">
        <is>
          <t>54 000 000</t>
        </is>
      </c>
      <c r="J236" t="inlineStr">
        <is>
          <t>У нас дешевле на 2 446 000 000 (97.8%)</t>
        </is>
      </c>
      <c r="K236" t="inlineStr">
        <is>
          <t>-2 446 000 000</t>
        </is>
      </c>
      <c r="L236" t="inlineStr">
        <is>
          <t>-97.8%</t>
        </is>
      </c>
      <c r="M236" t="inlineStr">
        <is>
          <t>sale_only</t>
        </is>
      </c>
      <c r="N236" t="inlineStr">
        <is>
          <t>no</t>
        </is>
      </c>
      <c r="O236" t="inlineStr">
        <is>
          <t>none</t>
        </is>
      </c>
      <c r="P236">
        <f>HYPERLINK("https://knru.ru/catalog/chernoretskij-per-d-5/","ссылка")</f>
        <v/>
      </c>
      <c r="Q236">
        <f>HYPERLINK("https://app.worldcafe.ru/object/13775","ссылка")</f>
        <v/>
      </c>
      <c r="R236" t="inlineStr">
        <is>
          <t>По адресу есть, но площадь другая</t>
        </is>
      </c>
      <c r="S236" t="n">
        <v>1</v>
      </c>
      <c r="T236" t="inlineStr">
        <is>
          <t>Архив sale 2876 м² 54 000 000 =HYPERLINK("https://app.worldcafe.ru/object/13775","ссылка")</t>
        </is>
      </c>
      <c r="U236" t="n">
        <v>1295</v>
      </c>
      <c r="V236" t="n">
        <v>54</v>
      </c>
      <c r="W236" t="n">
        <v>23</v>
      </c>
      <c r="X236" t="n">
        <v>2500000000</v>
      </c>
      <c r="Y236" t="n">
        <v>54000000</v>
      </c>
      <c r="Z236" t="n">
        <v>-2446000000</v>
      </c>
      <c r="AA236" t="inlineStr">
        <is>
          <t>https://knru.ru/catalog/chernoretskij-per-d-5/</t>
        </is>
      </c>
    </row>
    <row r="237">
      <c r="A237" t="n">
        <v>1297</v>
      </c>
      <c r="B237" t="n">
        <v>55</v>
      </c>
      <c r="C237" t="n">
        <v>1</v>
      </c>
      <c r="D237" t="inlineStr"/>
      <c r="E237" t="inlineStr">
        <is>
          <t>Красногвардейский</t>
        </is>
      </c>
      <c r="F237" t="inlineStr">
        <is>
          <t>Косыгина пр-кт, 30к1 А</t>
        </is>
      </c>
      <c r="G237" t="n">
        <v>412</v>
      </c>
      <c r="H237" t="inlineStr">
        <is>
          <t>100 800 000</t>
        </is>
      </c>
      <c r="I237" t="inlineStr"/>
      <c r="J237" t="inlineStr"/>
      <c r="K237" t="inlineStr"/>
      <c r="L237" t="inlineStr"/>
      <c r="M237" t="inlineStr"/>
      <c r="N237" t="inlineStr">
        <is>
          <t>no</t>
        </is>
      </c>
      <c r="O237" t="inlineStr">
        <is>
          <t>none</t>
        </is>
      </c>
      <c r="P237">
        <f>HYPERLINK("https://knru.ru/catalog/kosygina-pr-d-30-k-1b/","ссылка")</f>
        <v/>
      </c>
      <c r="Q237" t="inlineStr"/>
      <c r="R237" t="inlineStr">
        <is>
          <t>По адресу есть, но площадь другая</t>
        </is>
      </c>
      <c r="S237" t="n">
        <v>1</v>
      </c>
      <c r="T237" t="inlineStr">
        <is>
          <t>Без сделки no_deal 315 м² =HYPERLINK("https://app.worldcafe.ru/object/15556","ссылка")</t>
        </is>
      </c>
      <c r="U237" t="n">
        <v>1297</v>
      </c>
      <c r="V237" t="n">
        <v>55</v>
      </c>
      <c r="W237" t="n">
        <v>1</v>
      </c>
      <c r="X237" t="n">
        <v>100800000</v>
      </c>
      <c r="Y237" t="inlineStr"/>
      <c r="Z237" t="inlineStr"/>
      <c r="AA237" t="inlineStr">
        <is>
          <t>https://knru.ru/catalog/kosygina-pr-d-30-k-1b/</t>
        </is>
      </c>
    </row>
    <row r="238">
      <c r="A238" t="n">
        <v>1306</v>
      </c>
      <c r="B238" t="n">
        <v>55</v>
      </c>
      <c r="C238" t="n">
        <v>10</v>
      </c>
      <c r="D238" t="n">
        <v>32</v>
      </c>
      <c r="E238" t="inlineStr">
        <is>
          <t>Приморский</t>
        </is>
      </c>
      <c r="F238" t="inlineStr">
        <is>
          <t>Гаккелевская ул, 32 А</t>
        </is>
      </c>
      <c r="G238" t="n">
        <v>420</v>
      </c>
      <c r="H238" t="inlineStr">
        <is>
          <t>185 000 000</t>
        </is>
      </c>
      <c r="I238" t="inlineStr">
        <is>
          <t>25 000 000</t>
        </is>
      </c>
      <c r="J238" t="inlineStr">
        <is>
          <t>У нас дешевле на 160 000 000 (86.5%)</t>
        </is>
      </c>
      <c r="K238" t="inlineStr">
        <is>
          <t>-160 000 000</t>
        </is>
      </c>
      <c r="L238" t="inlineStr">
        <is>
          <t>-86.5%</t>
        </is>
      </c>
      <c r="M238" t="inlineStr">
        <is>
          <t>sale_only</t>
        </is>
      </c>
      <c r="N238" t="inlineStr">
        <is>
          <t>no</t>
        </is>
      </c>
      <c r="O238" t="inlineStr">
        <is>
          <t>none</t>
        </is>
      </c>
      <c r="P238">
        <f>HYPERLINK("https://knru.ru/catalog/gakkelevskaya-d-32/","ссылка")</f>
        <v/>
      </c>
      <c r="Q238">
        <f>HYPERLINK("https://app.worldcafe.ru/object/19771","ссылка")</f>
        <v/>
      </c>
      <c r="R238" t="inlineStr">
        <is>
          <t>По адресу есть, но площадь другая</t>
        </is>
      </c>
      <c r="S238" t="n">
        <v>2</v>
      </c>
      <c r="T238" t="inlineStr">
        <is>
          <t>Архив sale 214.9 м² 25 000 000 =HYPERLINK("https://app.worldcafe.ru/object/19771","ссылка") | На сайте sale 1568 м² 400 000 000 =HYPERLINK("https://app.worldcafe.ru/object/19143","ссылка")</t>
        </is>
      </c>
      <c r="U238" t="n">
        <v>1306</v>
      </c>
      <c r="V238" t="n">
        <v>55</v>
      </c>
      <c r="W238" t="n">
        <v>10</v>
      </c>
      <c r="X238" t="n">
        <v>185000000</v>
      </c>
      <c r="Y238" t="n">
        <v>25000000</v>
      </c>
      <c r="Z238" t="n">
        <v>-160000000</v>
      </c>
      <c r="AA238" t="inlineStr">
        <is>
          <t>https://knru.ru/catalog/gakkelevskaya-d-32/</t>
        </is>
      </c>
    </row>
    <row r="239">
      <c r="A239" t="n">
        <v>1307</v>
      </c>
      <c r="B239" t="n">
        <v>55</v>
      </c>
      <c r="C239" t="n">
        <v>11</v>
      </c>
      <c r="D239" t="n">
        <v>2</v>
      </c>
      <c r="E239" t="inlineStr"/>
      <c r="F239" t="inlineStr">
        <is>
          <t>Тульская ул, 2</t>
        </is>
      </c>
      <c r="G239" t="n">
        <v>350</v>
      </c>
      <c r="H239" t="inlineStr">
        <is>
          <t>110 000 000</t>
        </is>
      </c>
      <c r="I239" t="inlineStr">
        <is>
          <t>150 000</t>
        </is>
      </c>
      <c r="J239" t="inlineStr">
        <is>
          <t>У нас дешевле на 109 850 000 (99.9%)</t>
        </is>
      </c>
      <c r="K239" t="inlineStr">
        <is>
          <t>-109 850 000</t>
        </is>
      </c>
      <c r="L239" t="inlineStr">
        <is>
          <t>-99.9%</t>
        </is>
      </c>
      <c r="M239" t="inlineStr">
        <is>
          <t>any_type</t>
        </is>
      </c>
      <c r="N239" t="inlineStr">
        <is>
          <t>no</t>
        </is>
      </c>
      <c r="O239" t="inlineStr">
        <is>
          <t>none</t>
        </is>
      </c>
      <c r="P239">
        <f>HYPERLINK("https://knru.ru/catalog/ul-tulskaya-d-2/","ссылка")</f>
        <v/>
      </c>
      <c r="Q239">
        <f>HYPERLINK("https://app.worldcafe.ru/object/12943","ссылка")</f>
        <v/>
      </c>
      <c r="R239" t="inlineStr">
        <is>
          <t>По адресу есть, но площадь другая</t>
        </is>
      </c>
      <c r="S239" t="n">
        <v>1</v>
      </c>
      <c r="T239" t="inlineStr">
        <is>
          <t>Архив rent 80 м² 150 000 =HYPERLINK("https://app.worldcafe.ru/object/12943","ссылка")</t>
        </is>
      </c>
      <c r="U239" t="n">
        <v>1307</v>
      </c>
      <c r="V239" t="n">
        <v>55</v>
      </c>
      <c r="W239" t="n">
        <v>11</v>
      </c>
      <c r="X239" t="n">
        <v>110000000</v>
      </c>
      <c r="Y239" t="n">
        <v>150000</v>
      </c>
      <c r="Z239" t="n">
        <v>-109850000</v>
      </c>
      <c r="AA239" t="inlineStr">
        <is>
          <t>https://knru.ru/catalog/ul-tulskaya-d-2/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position_global</t>
        </is>
      </c>
      <c r="B1" t="inlineStr">
        <is>
          <t>page_num</t>
        </is>
      </c>
      <c r="C1" t="inlineStr">
        <is>
          <t>page_pos</t>
        </is>
      </c>
      <c r="D1" t="inlineStr">
        <is>
          <t>competitor_listing_id</t>
        </is>
      </c>
      <c r="E1" t="inlineStr">
        <is>
          <t>district</t>
        </is>
      </c>
      <c r="F1" t="inlineStr">
        <is>
          <t>address</t>
        </is>
      </c>
      <c r="G1" t="inlineStr">
        <is>
          <t>area_m2</t>
        </is>
      </c>
      <c r="H1" t="inlineStr">
        <is>
          <t>price_rub</t>
        </is>
      </c>
      <c r="I1" t="inlineStr">
        <is>
          <t>our_best_price_rub</t>
        </is>
      </c>
      <c r="J1" t="inlineStr">
        <is>
          <t>price_alert</t>
        </is>
      </c>
      <c r="K1" t="inlineStr">
        <is>
          <t>price_diff_rub</t>
        </is>
      </c>
      <c r="L1" t="inlineStr">
        <is>
          <t>price_diff_pct</t>
        </is>
      </c>
      <c r="M1" t="inlineStr">
        <is>
          <t>price_scope</t>
        </is>
      </c>
      <c r="N1" t="inlineStr">
        <is>
          <t>pro_mark</t>
        </is>
      </c>
      <c r="O1" t="inlineStr">
        <is>
          <t>pro_note</t>
        </is>
      </c>
      <c r="P1" t="inlineStr">
        <is>
          <t>competitor_link</t>
        </is>
      </c>
      <c r="Q1" t="inlineStr">
        <is>
          <t>our_best_link</t>
        </is>
      </c>
      <c r="R1" t="inlineStr">
        <is>
          <t>result</t>
        </is>
      </c>
      <c r="S1" t="inlineStr">
        <is>
          <t>matched_count</t>
        </is>
      </c>
      <c r="T1" t="inlineStr">
        <is>
          <t>reason</t>
        </is>
      </c>
      <c r="U1" t="inlineStr">
        <is>
          <t>position_global_num</t>
        </is>
      </c>
      <c r="V1" t="inlineStr">
        <is>
          <t>page_num_num</t>
        </is>
      </c>
      <c r="W1" t="inlineStr">
        <is>
          <t>page_pos_num</t>
        </is>
      </c>
      <c r="X1" t="inlineStr">
        <is>
          <t>competitor_price_num</t>
        </is>
      </c>
      <c r="Y1" t="inlineStr">
        <is>
          <t>our_price_num</t>
        </is>
      </c>
      <c r="Z1" t="inlineStr">
        <is>
          <t>price_diff_num</t>
        </is>
      </c>
      <c r="AA1" t="inlineStr">
        <is>
          <t>competitor_url</t>
        </is>
      </c>
      <c r="AB1" t="inlineStr">
        <is>
          <t>priority_tier</t>
        </is>
      </c>
      <c r="AC1" t="inlineStr">
        <is>
          <t>enrich_status</t>
        </is>
      </c>
      <c r="AD1" t="inlineStr">
        <is>
          <t>card_h1</t>
        </is>
      </c>
      <c r="AE1" t="inlineStr">
        <is>
          <t>card_object_type</t>
        </is>
      </c>
      <c r="AF1" t="inlineStr">
        <is>
          <t>card_region</t>
        </is>
      </c>
      <c r="AG1" t="inlineStr">
        <is>
          <t>card_district</t>
        </is>
      </c>
      <c r="AH1" t="inlineStr">
        <is>
          <t>card_settlement</t>
        </is>
      </c>
      <c r="AI1" t="inlineStr">
        <is>
          <t>card_address</t>
        </is>
      </c>
      <c r="AJ1" t="inlineStr">
        <is>
          <t>card_metro</t>
        </is>
      </c>
      <c r="AK1" t="inlineStr">
        <is>
          <t>card_developer</t>
        </is>
      </c>
      <c r="AL1" t="inlineStr">
        <is>
          <t>card_building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Гатчинский муниципальный район</t>
        </is>
      </c>
      <c r="F2" t="inlineStr">
        <is>
          <t>25 Октября пр-кт, 37а</t>
        </is>
      </c>
      <c r="G2" t="n">
        <v>230</v>
      </c>
      <c r="H2" t="inlineStr">
        <is>
          <t>10 000 000</t>
        </is>
      </c>
      <c r="I2" t="inlineStr"/>
      <c r="J2" t="inlineStr"/>
      <c r="K2" t="inlineStr"/>
      <c r="L2" t="inlineStr"/>
      <c r="M2" t="inlineStr"/>
      <c r="N2" t="inlineStr">
        <is>
          <t>no</t>
        </is>
      </c>
      <c r="O2" t="inlineStr">
        <is>
          <t>none</t>
        </is>
      </c>
      <c r="P2">
        <f>HYPERLINK("https://knru.ru/catalog/25-oktyabrya-pr-kt-37a/","ссылка")</f>
        <v/>
      </c>
      <c r="Q2" t="inlineStr"/>
      <c r="R2" t="inlineStr">
        <is>
          <t>Нет у нас</t>
        </is>
      </c>
      <c r="S2" t="n">
        <v>0</v>
      </c>
      <c r="T2" t="inlineStr">
        <is>
          <t>Совпадений по улице+дому не найдено</t>
        </is>
      </c>
      <c r="U2" t="n">
        <v>1</v>
      </c>
      <c r="V2" t="n">
        <v>1</v>
      </c>
      <c r="W2" t="n">
        <v>1</v>
      </c>
      <c r="X2" t="n">
        <v>10000000</v>
      </c>
      <c r="Y2" t="inlineStr"/>
      <c r="Z2" t="inlineStr"/>
      <c r="AA2" t="inlineStr">
        <is>
          <t>https://knru.ru/catalog/25-oktyabrya-pr-kt-37a/</t>
        </is>
      </c>
      <c r="AB2" t="inlineStr">
        <is>
          <t>A</t>
        </is>
      </c>
      <c r="AC2" t="inlineStr">
        <is>
          <t>ok</t>
        </is>
      </c>
      <c r="AD2" t="inlineStr">
        <is>
          <t>Готовый бизнес, 230 м2</t>
        </is>
      </c>
      <c r="AE2" t="inlineStr">
        <is>
          <t>Готовый бизнес</t>
        </is>
      </c>
      <c r="AF2" t="inlineStr">
        <is>
          <t>Ленинградская область</t>
        </is>
      </c>
      <c r="AG2" t="inlineStr">
        <is>
          <t>р-н, 25 Октября пр-кт, 37а</t>
        </is>
      </c>
      <c r="AH2" t="inlineStr">
        <is>
          <t>Гатчина</t>
        </is>
      </c>
      <c r="AI2" t="inlineStr">
        <is>
          <t>25 Октября пр-кт, 37а</t>
        </is>
      </c>
      <c r="AJ2" t="inlineStr">
        <is>
          <t>Московская</t>
        </is>
      </c>
      <c r="AK2" t="inlineStr"/>
      <c r="AL2" t="inlineStr"/>
    </row>
    <row r="3">
      <c r="A3" t="n">
        <v>3</v>
      </c>
      <c r="B3" t="n">
        <v>1</v>
      </c>
      <c r="C3" t="n">
        <v>3</v>
      </c>
      <c r="D3" t="inlineStr"/>
      <c r="E3" t="inlineStr">
        <is>
          <t>Курортный</t>
        </is>
      </c>
      <c r="F3" t="inlineStr">
        <is>
          <t>Отдыха ул, 6 А</t>
        </is>
      </c>
      <c r="G3" t="n">
        <v>26647</v>
      </c>
      <c r="H3" t="inlineStr">
        <is>
          <t>1 700 000 000</t>
        </is>
      </c>
      <c r="I3" t="inlineStr"/>
      <c r="J3" t="inlineStr"/>
      <c r="K3" t="inlineStr"/>
      <c r="L3" t="inlineStr"/>
      <c r="M3" t="inlineStr"/>
      <c r="N3" t="inlineStr">
        <is>
          <t>no</t>
        </is>
      </c>
      <c r="O3" t="inlineStr">
        <is>
          <t>none</t>
        </is>
      </c>
      <c r="P3">
        <f>HYPERLINK("https://knru.ru/catalog/otdykha-ul-6-a/","ссылка")</f>
        <v/>
      </c>
      <c r="Q3" t="inlineStr"/>
      <c r="R3" t="inlineStr">
        <is>
          <t>Нет у нас</t>
        </is>
      </c>
      <c r="S3" t="n">
        <v>0</v>
      </c>
      <c r="T3" t="inlineStr">
        <is>
          <t>Совпадений по улице+дому не найдено</t>
        </is>
      </c>
      <c r="U3" t="n">
        <v>3</v>
      </c>
      <c r="V3" t="n">
        <v>1</v>
      </c>
      <c r="W3" t="n">
        <v>3</v>
      </c>
      <c r="X3" t="n">
        <v>1700000000</v>
      </c>
      <c r="Y3" t="inlineStr"/>
      <c r="Z3" t="inlineStr"/>
      <c r="AA3" t="inlineStr">
        <is>
          <t>https://knru.ru/catalog/otdykha-ul-6-a/</t>
        </is>
      </c>
      <c r="AB3" t="inlineStr">
        <is>
          <t>A</t>
        </is>
      </c>
      <c r="AC3" t="inlineStr">
        <is>
          <t>ok</t>
        </is>
      </c>
      <c r="AD3" t="inlineStr">
        <is>
          <t>Земельный участок, 26647 м2</t>
        </is>
      </c>
      <c r="AE3" t="inlineStr">
        <is>
          <t>Земельный участок</t>
        </is>
      </c>
      <c r="AF3" t="inlineStr">
        <is>
          <t>Санкт-Петербург</t>
        </is>
      </c>
      <c r="AG3" t="inlineStr">
        <is>
          <t>Санкт-Петербург</t>
        </is>
      </c>
      <c r="AH3" t="inlineStr">
        <is>
          <t>Комарово</t>
        </is>
      </c>
      <c r="AI3" t="inlineStr">
        <is>
          <t>Отдыха ул, 6 А</t>
        </is>
      </c>
      <c r="AJ3" t="inlineStr"/>
      <c r="AK3" t="inlineStr"/>
      <c r="AL3" t="inlineStr"/>
    </row>
    <row r="4">
      <c r="A4" t="n">
        <v>6</v>
      </c>
      <c r="B4" t="n">
        <v>1</v>
      </c>
      <c r="C4" t="n">
        <v>6</v>
      </c>
      <c r="D4" t="n">
        <v>50</v>
      </c>
      <c r="E4" t="inlineStr">
        <is>
          <t>Василеостровский</t>
        </is>
      </c>
      <c r="F4" t="inlineStr">
        <is>
          <t>13-я В.О. линия, 50</t>
        </is>
      </c>
      <c r="G4" t="n">
        <v>1000</v>
      </c>
      <c r="H4" t="inlineStr">
        <is>
          <t>482 196 523</t>
        </is>
      </c>
      <c r="I4" t="inlineStr"/>
      <c r="J4" t="inlineStr"/>
      <c r="K4" t="inlineStr"/>
      <c r="L4" t="inlineStr"/>
      <c r="M4" t="inlineStr"/>
      <c r="N4" t="inlineStr">
        <is>
          <t>no</t>
        </is>
      </c>
      <c r="O4" t="inlineStr">
        <is>
          <t>none</t>
        </is>
      </c>
      <c r="P4">
        <f>HYPERLINK("https://knru.ru/catalog/13-ya-v-o-liniya-50/","ссылка")</f>
        <v/>
      </c>
      <c r="Q4" t="inlineStr"/>
      <c r="R4" t="inlineStr">
        <is>
          <t>Нет у нас</t>
        </is>
      </c>
      <c r="S4" t="n">
        <v>0</v>
      </c>
      <c r="T4" t="inlineStr">
        <is>
          <t>Совпадений по улице+дому не найдено</t>
        </is>
      </c>
      <c r="U4" t="n">
        <v>6</v>
      </c>
      <c r="V4" t="n">
        <v>1</v>
      </c>
      <c r="W4" t="n">
        <v>6</v>
      </c>
      <c r="X4" t="n">
        <v>482196523</v>
      </c>
      <c r="Y4" t="inlineStr"/>
      <c r="Z4" t="inlineStr"/>
      <c r="AA4" t="inlineStr">
        <is>
          <t>https://knru.ru/catalog/13-ya-v-o-liniya-50/</t>
        </is>
      </c>
      <c r="AB4" t="inlineStr">
        <is>
          <t>A</t>
        </is>
      </c>
      <c r="AC4" t="inlineStr">
        <is>
          <t>ok</t>
        </is>
      </c>
      <c r="AD4" t="inlineStr">
        <is>
          <t>Помещение свободного назначения, 1000 м2</t>
        </is>
      </c>
      <c r="AE4" t="inlineStr">
        <is>
          <t>Помещение свободного назначения</t>
        </is>
      </c>
      <c r="AF4" t="inlineStr">
        <is>
          <t>Санкт-Петербург</t>
        </is>
      </c>
      <c r="AG4" t="inlineStr">
        <is>
          <t>отличается прекрасно развитой инфраструктурой, 20 минут пешком до Дворцовой площади или 8 минут на машине до выезда на ЗСД. Дом сдан. ID - 573117</t>
        </is>
      </c>
      <c r="AH4" t="inlineStr">
        <is>
          <t>Санкт-Петербург</t>
        </is>
      </c>
      <c r="AI4" t="inlineStr">
        <is>
          <t>13-я В.О. линия, 50</t>
        </is>
      </c>
      <c r="AJ4" t="inlineStr">
        <is>
          <t>Василеостровская</t>
        </is>
      </c>
      <c r="AK4" t="inlineStr"/>
      <c r="AL4" t="inlineStr"/>
    </row>
    <row r="5">
      <c r="A5" t="n">
        <v>7</v>
      </c>
      <c r="B5" t="n">
        <v>1</v>
      </c>
      <c r="C5" t="n">
        <v>7</v>
      </c>
      <c r="D5" t="n">
        <v>1407189380</v>
      </c>
      <c r="E5" t="inlineStr">
        <is>
          <t>Адмиралтейский</t>
        </is>
      </c>
      <c r="F5" t="inlineStr">
        <is>
          <t>Московский пр-кт, 73к3 А</t>
        </is>
      </c>
      <c r="G5" t="n">
        <v>299</v>
      </c>
      <c r="H5" t="inlineStr">
        <is>
          <t>8 500 000</t>
        </is>
      </c>
      <c r="I5" t="inlineStr"/>
      <c r="J5" t="inlineStr"/>
      <c r="K5" t="inlineStr"/>
      <c r="L5" t="inlineStr"/>
      <c r="M5" t="inlineStr"/>
      <c r="N5" t="inlineStr">
        <is>
          <t>no</t>
        </is>
      </c>
      <c r="O5" t="inlineStr">
        <is>
          <t>none</t>
        </is>
      </c>
      <c r="P5">
        <f>HYPERLINK("https://knru.ru/catalog/moskovskiy-pr-d-73-k-3-1407189380/","ссылка")</f>
        <v/>
      </c>
      <c r="Q5" t="inlineStr"/>
      <c r="R5" t="inlineStr">
        <is>
          <t>Нет у нас</t>
        </is>
      </c>
      <c r="S5" t="n">
        <v>0</v>
      </c>
      <c r="T5" t="inlineStr">
        <is>
          <t>Совпадений по улице+дому не найдено</t>
        </is>
      </c>
      <c r="U5" t="n">
        <v>7</v>
      </c>
      <c r="V5" t="n">
        <v>1</v>
      </c>
      <c r="W5" t="n">
        <v>7</v>
      </c>
      <c r="X5" t="n">
        <v>8500000</v>
      </c>
      <c r="Y5" t="inlineStr"/>
      <c r="Z5" t="inlineStr"/>
      <c r="AA5" t="inlineStr">
        <is>
          <t>https://knru.ru/catalog/moskovskiy-pr-d-73-k-3-1407189380/</t>
        </is>
      </c>
      <c r="AB5" t="inlineStr">
        <is>
          <t>A</t>
        </is>
      </c>
      <c r="AC5" t="inlineStr">
        <is>
          <t>ok</t>
        </is>
      </c>
      <c r="AD5" t="inlineStr">
        <is>
          <t>Готовый бизнес, 299 м2</t>
        </is>
      </c>
      <c r="AE5" t="inlineStr">
        <is>
          <t>Готовый бизнес</t>
        </is>
      </c>
      <c r="AF5" t="inlineStr">
        <is>
          <t>Санкт-Петербург</t>
        </is>
      </c>
      <c r="AG5" t="inlineStr">
        <is>
          <t>Санкт-Петербург</t>
        </is>
      </c>
      <c r="AH5" t="inlineStr">
        <is>
          <t>Санкт-Петербург</t>
        </is>
      </c>
      <c r="AI5" t="inlineStr">
        <is>
          <t>Московский пр-кт, 73к3 А</t>
        </is>
      </c>
      <c r="AJ5" t="inlineStr">
        <is>
          <t>Фрунзенская продажа бизнеса, 2-й этаж, 299м2, с отделкой, все городские коммуникации, 100 кВт, высота потолков: 3м Готовый бизнес: ресторан Manneken Pis в апарт отеле Vertical. Отель находится на первой линии Московского проспекта, в зоне деловой активности, в 10 минутах от центра города и Невского проспекта, а также в 15 минутах от Московского вокзала и аэропорта Пулково. Количество номеров в отеле: 126 номеров, расположенных на 12 этажах. Развитая инфраструктура района, рядом остановки общественного транспорта.  Более 5-ти лет непрерывной аренды, долгосрочный договор с пролонгацией.  Охраняемая парковка на 15 машиномест. МАП: 650 000 руб. в месяц. Срок аренды до 09.12.2028. ID - 573102</t>
        </is>
      </c>
      <c r="AK5" t="inlineStr"/>
      <c r="AL5" t="inlineStr"/>
    </row>
    <row r="6">
      <c r="A6" t="n">
        <v>8</v>
      </c>
      <c r="B6" t="n">
        <v>1</v>
      </c>
      <c r="C6" t="n">
        <v>8</v>
      </c>
      <c r="D6" t="n">
        <v>5</v>
      </c>
      <c r="E6" t="inlineStr">
        <is>
          <t>Чкаловский</t>
        </is>
      </c>
      <c r="F6" t="inlineStr">
        <is>
          <t>Леонова ул, 5</t>
        </is>
      </c>
      <c r="G6" t="n">
        <v>707</v>
      </c>
      <c r="H6" t="inlineStr">
        <is>
          <t>77 700 000</t>
        </is>
      </c>
      <c r="I6" t="inlineStr"/>
      <c r="J6" t="inlineStr"/>
      <c r="K6" t="inlineStr"/>
      <c r="L6" t="inlineStr"/>
      <c r="M6" t="inlineStr"/>
      <c r="N6" t="inlineStr">
        <is>
          <t>no</t>
        </is>
      </c>
      <c r="O6" t="inlineStr">
        <is>
          <t>none</t>
        </is>
      </c>
      <c r="P6">
        <f>HYPERLINK("https://knru.ru/catalog/zamyatin-per-d-5/","ссылка")</f>
        <v/>
      </c>
      <c r="Q6" t="inlineStr"/>
      <c r="R6" t="inlineStr">
        <is>
          <t>Нет у нас</t>
        </is>
      </c>
      <c r="S6" t="n">
        <v>0</v>
      </c>
      <c r="T6" t="inlineStr">
        <is>
          <t>Совпадений по улице+дому не найдено</t>
        </is>
      </c>
      <c r="U6" t="n">
        <v>8</v>
      </c>
      <c r="V6" t="n">
        <v>1</v>
      </c>
      <c r="W6" t="n">
        <v>8</v>
      </c>
      <c r="X6" t="n">
        <v>77700000</v>
      </c>
      <c r="Y6" t="inlineStr"/>
      <c r="Z6" t="inlineStr"/>
      <c r="AA6" t="inlineStr">
        <is>
          <t>https://knru.ru/catalog/zamyatin-per-d-5/</t>
        </is>
      </c>
      <c r="AB6" t="inlineStr">
        <is>
          <t>A</t>
        </is>
      </c>
      <c r="AC6" t="inlineStr">
        <is>
          <t>ok</t>
        </is>
      </c>
      <c r="AD6" t="inlineStr">
        <is>
          <t>Помещение свободного назначения, 707 м2</t>
        </is>
      </c>
      <c r="AE6" t="inlineStr">
        <is>
          <t>Помещение свободного назначения</t>
        </is>
      </c>
      <c r="AF6" t="inlineStr">
        <is>
          <t>Ленинградская область</t>
        </is>
      </c>
      <c r="AG6" t="inlineStr">
        <is>
          <t>Гатчинский р-н</t>
        </is>
      </c>
      <c r="AH6" t="inlineStr">
        <is>
          <t>Гатчина</t>
        </is>
      </c>
      <c r="AI6" t="inlineStr">
        <is>
          <t>Леонова ул, 5</t>
        </is>
      </c>
      <c r="AJ6" t="inlineStr"/>
      <c r="AK6" t="inlineStr"/>
      <c r="AL6" t="inlineStr"/>
    </row>
    <row r="7">
      <c r="A7" t="n">
        <v>9</v>
      </c>
      <c r="B7" t="n">
        <v>1</v>
      </c>
      <c r="C7" t="n">
        <v>9</v>
      </c>
      <c r="D7" t="n">
        <v>1545894825</v>
      </c>
      <c r="E7" t="inlineStr">
        <is>
          <t>Центральный</t>
        </is>
      </c>
      <c r="F7" t="inlineStr">
        <is>
          <t>Лиговский пр-кт, 56Б</t>
        </is>
      </c>
      <c r="G7" t="n">
        <v>86.09999999999999</v>
      </c>
      <c r="H7" t="inlineStr">
        <is>
          <t>21 525 000</t>
        </is>
      </c>
      <c r="I7" t="inlineStr"/>
      <c r="J7" t="inlineStr"/>
      <c r="K7" t="inlineStr"/>
      <c r="L7" t="inlineStr"/>
      <c r="M7" t="inlineStr"/>
      <c r="N7" t="inlineStr">
        <is>
          <t>no</t>
        </is>
      </c>
      <c r="O7" t="inlineStr">
        <is>
          <t>none</t>
        </is>
      </c>
      <c r="P7">
        <f>HYPERLINK("https://knru.ru/catalog/ligovskiy-pr-d-56-1545894825/","ссылка")</f>
        <v/>
      </c>
      <c r="Q7" t="inlineStr"/>
      <c r="R7" t="inlineStr">
        <is>
          <t>Нет у нас</t>
        </is>
      </c>
      <c r="S7" t="n">
        <v>0</v>
      </c>
      <c r="T7" t="inlineStr">
        <is>
          <t>Совпадений по улице+дому не найдено</t>
        </is>
      </c>
      <c r="U7" t="n">
        <v>9</v>
      </c>
      <c r="V7" t="n">
        <v>1</v>
      </c>
      <c r="W7" t="n">
        <v>9</v>
      </c>
      <c r="X7" t="n">
        <v>21525000</v>
      </c>
      <c r="Y7" t="inlineStr"/>
      <c r="Z7" t="inlineStr"/>
      <c r="AA7" t="inlineStr">
        <is>
          <t>https://knru.ru/catalog/ligovskiy-pr-d-56-1545894825/</t>
        </is>
      </c>
      <c r="AB7" t="inlineStr">
        <is>
          <t>A</t>
        </is>
      </c>
      <c r="AC7" t="inlineStr">
        <is>
          <t>ok</t>
        </is>
      </c>
      <c r="AD7" t="inlineStr">
        <is>
          <t>Помещение свободного назначения, 86.1 м2</t>
        </is>
      </c>
      <c r="AE7" t="inlineStr">
        <is>
          <t>Помещение свободного назначения</t>
        </is>
      </c>
      <c r="AF7" t="inlineStr">
        <is>
          <t>Санкт-Петербург</t>
        </is>
      </c>
      <c r="AG7" t="inlineStr">
        <is>
          <t>Санкт-Петербург</t>
        </is>
      </c>
      <c r="AH7" t="inlineStr">
        <is>
          <t>Санкт-Петербург</t>
        </is>
      </c>
      <c r="AI7" t="inlineStr">
        <is>
          <t>Лиговский пр-кт, 56Б</t>
        </is>
      </c>
      <c r="AJ7" t="inlineStr">
        <is>
          <t>«Лиговский проспект», «Площадь Восстания», Московского вокзала Цоколь, площадь: 86,1м2, все городские коммуникации, без отделки, электроснабжение: по запросу, высота потолков: 2,6м, 1 вход, любое коммерческое использование UNO — статусный 6-ти этажный апарт-отель 4988м2 на 168 апартаментов в здании бывшего доходного дома 1901 года. Апарт-отель расположен на одной из главных магистралей города, в окружении отелей, бутиков, памятников архитектуры, ресторанов и креативных пространств. Центральная локация привлекает абсолютно все категории туристического потока, все типы гостей и арендаторов, тем самым обеспечивая высокую загрузку апарт-отеля.  ID - 573012</t>
        </is>
      </c>
      <c r="AK7" t="inlineStr"/>
      <c r="AL7" t="inlineStr"/>
    </row>
    <row r="8">
      <c r="A8" t="n">
        <v>10</v>
      </c>
      <c r="B8" t="n">
        <v>1</v>
      </c>
      <c r="C8" t="n">
        <v>10</v>
      </c>
      <c r="D8" t="n">
        <v>414833084</v>
      </c>
      <c r="E8" t="inlineStr">
        <is>
          <t>Центральный</t>
        </is>
      </c>
      <c r="F8" t="inlineStr">
        <is>
          <t>Лиговский пр-кт, 56Б</t>
        </is>
      </c>
      <c r="G8" t="n">
        <v>52.5</v>
      </c>
      <c r="H8" t="inlineStr">
        <is>
          <t>14 962 500</t>
        </is>
      </c>
      <c r="I8" t="inlineStr"/>
      <c r="J8" t="inlineStr"/>
      <c r="K8" t="inlineStr"/>
      <c r="L8" t="inlineStr"/>
      <c r="M8" t="inlineStr"/>
      <c r="N8" t="inlineStr">
        <is>
          <t>no</t>
        </is>
      </c>
      <c r="O8" t="inlineStr">
        <is>
          <t>none</t>
        </is>
      </c>
      <c r="P8">
        <f>HYPERLINK("https://knru.ru/catalog/ligovskiy-pr-d-56-414833084/","ссылка")</f>
        <v/>
      </c>
      <c r="Q8" t="inlineStr"/>
      <c r="R8" t="inlineStr">
        <is>
          <t>Нет у нас</t>
        </is>
      </c>
      <c r="S8" t="n">
        <v>0</v>
      </c>
      <c r="T8" t="inlineStr">
        <is>
          <t>Совпадений по улице+дому не найдено</t>
        </is>
      </c>
      <c r="U8" t="n">
        <v>10</v>
      </c>
      <c r="V8" t="n">
        <v>1</v>
      </c>
      <c r="W8" t="n">
        <v>10</v>
      </c>
      <c r="X8" t="n">
        <v>14962500</v>
      </c>
      <c r="Y8" t="inlineStr"/>
      <c r="Z8" t="inlineStr"/>
      <c r="AA8" t="inlineStr">
        <is>
          <t>https://knru.ru/catalog/ligovskiy-pr-d-56-414833084/</t>
        </is>
      </c>
      <c r="AB8" t="inlineStr">
        <is>
          <t>A</t>
        </is>
      </c>
      <c r="AC8" t="inlineStr">
        <is>
          <t>ok</t>
        </is>
      </c>
      <c r="AD8" t="inlineStr">
        <is>
          <t>Помещение свободного назначения, 52.5 м2</t>
        </is>
      </c>
      <c r="AE8" t="inlineStr">
        <is>
          <t>Помещение свободного назначения</t>
        </is>
      </c>
      <c r="AF8" t="inlineStr">
        <is>
          <t>Санкт-Петербург</t>
        </is>
      </c>
      <c r="AG8" t="inlineStr">
        <is>
          <t>Санкт-Петербург</t>
        </is>
      </c>
      <c r="AH8" t="inlineStr">
        <is>
          <t>Санкт-Петербург</t>
        </is>
      </c>
      <c r="AI8" t="inlineStr">
        <is>
          <t>Лиговский пр-кт, 56Б</t>
        </is>
      </c>
      <c r="AJ8" t="inlineStr">
        <is>
          <t>«Лиговский проспект», «Площадь Восстания», Московского вокзала Цоколь, площадь: 52,5м2, все городские коммуникации, без отделки, электроснабжение: по запросу, высота потолков: 2,6м, 1 вход, любое коммерческое использование UNO — статусный 6-ти этажный апарт-отель 4988м2 на 168 апартаментов в здании бывшего доходного дома 1901 года. Апарт-отель расположен на одной из главных магистралей города, в окружении отелей, бутиков, памятников архитектуры, ресторанов и креативных пространств. Центральная локация привлекает абсолютно все категории туристического потока, все типы гостей и арендаторов, тем самым обеспечивая высокую загрузку апарт-отеля.  ID - 573010</t>
        </is>
      </c>
      <c r="AK8" t="inlineStr"/>
      <c r="AL8" t="inlineStr"/>
    </row>
    <row r="9">
      <c r="A9" t="n">
        <v>11</v>
      </c>
      <c r="B9" t="n">
        <v>1</v>
      </c>
      <c r="C9" t="n">
        <v>11</v>
      </c>
      <c r="D9" t="n">
        <v>56</v>
      </c>
      <c r="E9" t="inlineStr">
        <is>
          <t>Центральный</t>
        </is>
      </c>
      <c r="F9" t="inlineStr">
        <is>
          <t>Лиговский пр-кт, 56Б</t>
        </is>
      </c>
      <c r="G9" t="n">
        <v>82.7</v>
      </c>
      <c r="H9" t="inlineStr">
        <is>
          <t>20 675 000</t>
        </is>
      </c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none</t>
        </is>
      </c>
      <c r="P9">
        <f>HYPERLINK("https://knru.ru/catalog/ligovskiy-pr-d-56/","ссылка")</f>
        <v/>
      </c>
      <c r="Q9" t="inlineStr"/>
      <c r="R9" t="inlineStr">
        <is>
          <t>Нет у нас</t>
        </is>
      </c>
      <c r="S9" t="n">
        <v>0</v>
      </c>
      <c r="T9" t="inlineStr">
        <is>
          <t>Совпадений по улице+дому не найдено</t>
        </is>
      </c>
      <c r="U9" t="n">
        <v>11</v>
      </c>
      <c r="V9" t="n">
        <v>1</v>
      </c>
      <c r="W9" t="n">
        <v>11</v>
      </c>
      <c r="X9" t="n">
        <v>20675000</v>
      </c>
      <c r="Y9" t="inlineStr"/>
      <c r="Z9" t="inlineStr"/>
      <c r="AA9" t="inlineStr">
        <is>
          <t>https://knru.ru/catalog/ligovskiy-pr-d-56/</t>
        </is>
      </c>
      <c r="AB9" t="inlineStr">
        <is>
          <t>A</t>
        </is>
      </c>
      <c r="AC9" t="inlineStr">
        <is>
          <t>ok</t>
        </is>
      </c>
      <c r="AD9" t="inlineStr">
        <is>
          <t>Помещение свободного назначения, 82.7 м2</t>
        </is>
      </c>
      <c r="AE9" t="inlineStr">
        <is>
          <t>Помещение свободного назначения</t>
        </is>
      </c>
      <c r="AF9" t="inlineStr">
        <is>
          <t>Санкт-Петербург</t>
        </is>
      </c>
      <c r="AG9" t="inlineStr">
        <is>
          <t>Санкт-Петербург</t>
        </is>
      </c>
      <c r="AH9" t="inlineStr">
        <is>
          <t>Санкт-Петербург</t>
        </is>
      </c>
      <c r="AI9" t="inlineStr">
        <is>
          <t>Лиговский пр-кт, 56Б</t>
        </is>
      </c>
      <c r="AJ9" t="inlineStr">
        <is>
          <t>«Лиговский проспект», «Площадь Восстания», Московского вокзала Цоколь, площадь: 82,7м2, все городские коммуникации, без отделки, электроснабжение: по запросу, высота потолков: 2,6м, 1 вход, любое коммерческое использование UNO — статусный 6-ти этажный апарт-отель 4988м2 на 168 апартаментов в здании бывшего доходного дома 1901 года. Апарт-отель расположен на одной из главных магистралей города, в окружении отелей, бутиков, памятников архитектуры, ресторанов и креативных пространств. Центральная локация привлекает абсолютно все категории туристического потока, все типы гостей и арендаторов, тем самым обеспечивая высокую загрузку апарт-отеля.  ID - 573009</t>
        </is>
      </c>
      <c r="AK9" t="inlineStr"/>
      <c r="AL9" t="inlineStr"/>
    </row>
    <row r="10">
      <c r="A10" t="n">
        <v>12</v>
      </c>
      <c r="B10" t="n">
        <v>1</v>
      </c>
      <c r="C10" t="n">
        <v>12</v>
      </c>
      <c r="D10" t="n">
        <v>1</v>
      </c>
      <c r="E10" t="inlineStr"/>
      <c r="F10" t="inlineStr">
        <is>
          <t>Маршала Блюхера пр-кт, 74к2 стр 1</t>
        </is>
      </c>
      <c r="G10" t="n">
        <v>2364</v>
      </c>
      <c r="H10" t="inlineStr">
        <is>
          <t>283 680 000</t>
        </is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none</t>
        </is>
      </c>
      <c r="P10">
        <f>HYPERLINK("https://knru.ru/catalog/marshala-blyukhera-pr-kt-74k2-str-1/","ссылка")</f>
        <v/>
      </c>
      <c r="Q10" t="inlineStr"/>
      <c r="R10" t="inlineStr">
        <is>
          <t>Нет у нас</t>
        </is>
      </c>
      <c r="S10" t="n">
        <v>0</v>
      </c>
      <c r="T10" t="inlineStr">
        <is>
          <t>Совпадений по улице+дому не найдено</t>
        </is>
      </c>
      <c r="U10" t="n">
        <v>12</v>
      </c>
      <c r="V10" t="n">
        <v>1</v>
      </c>
      <c r="W10" t="n">
        <v>12</v>
      </c>
      <c r="X10" t="n">
        <v>283680000</v>
      </c>
      <c r="Y10" t="inlineStr"/>
      <c r="Z10" t="inlineStr"/>
      <c r="AA10" t="inlineStr">
        <is>
          <t>https://knru.ru/catalog/marshala-blyukhera-pr-kt-74k2-str-1/</t>
        </is>
      </c>
      <c r="AB10" t="inlineStr">
        <is>
          <t>A</t>
        </is>
      </c>
      <c r="AC10" t="inlineStr">
        <is>
          <t>ok</t>
        </is>
      </c>
      <c r="AD10" t="inlineStr">
        <is>
          <t>Складское помещение, 2364 м2</t>
        </is>
      </c>
      <c r="AE10" t="inlineStr">
        <is>
          <t>Складское помещение</t>
        </is>
      </c>
      <c r="AF10" t="inlineStr">
        <is>
          <t>Санкт-Петербург</t>
        </is>
      </c>
      <c r="AG10" t="inlineStr">
        <is>
          <t>Санкт-Петербург</t>
        </is>
      </c>
      <c r="AH10" t="inlineStr">
        <is>
          <t>Санкт-Петербург</t>
        </is>
      </c>
      <c r="AI10" t="inlineStr">
        <is>
          <t>Маршала Блюхера пр-кт, 74к2 стр 1</t>
        </is>
      </c>
      <c r="AJ10" t="inlineStr"/>
      <c r="AK10" t="inlineStr"/>
      <c r="AL10" t="inlineStr"/>
    </row>
    <row r="11">
      <c r="A11" t="n">
        <v>14</v>
      </c>
      <c r="B11" t="n">
        <v>1</v>
      </c>
      <c r="C11" t="n">
        <v>14</v>
      </c>
      <c r="D11" t="n">
        <v>60966936</v>
      </c>
      <c r="E11" t="inlineStr">
        <is>
          <t>Петродворцовый</t>
        </is>
      </c>
      <c r="F11" t="inlineStr">
        <is>
          <t>проспект Будённого, 18к4</t>
        </is>
      </c>
      <c r="G11" t="n">
        <v>244</v>
      </c>
      <c r="H11" t="inlineStr">
        <is>
          <t>80 520 000</t>
        </is>
      </c>
      <c r="I11" t="inlineStr"/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none</t>
        </is>
      </c>
      <c r="P11">
        <f>HYPERLINK("https://knru.ru/catalog/prospekt-budyennogo-18k4-60966936/","ссылка")</f>
        <v/>
      </c>
      <c r="Q11" t="inlineStr"/>
      <c r="R11" t="inlineStr">
        <is>
          <t>Нет у нас</t>
        </is>
      </c>
      <c r="S11" t="n">
        <v>0</v>
      </c>
      <c r="T11" t="inlineStr">
        <is>
          <t>Совпадений по улице+дому не найдено</t>
        </is>
      </c>
      <c r="U11" t="n">
        <v>14</v>
      </c>
      <c r="V11" t="n">
        <v>1</v>
      </c>
      <c r="W11" t="n">
        <v>14</v>
      </c>
      <c r="X11" t="n">
        <v>80520000</v>
      </c>
      <c r="Y11" t="inlineStr"/>
      <c r="Z11" t="inlineStr"/>
      <c r="AA11" t="inlineStr">
        <is>
          <t>https://knru.ru/catalog/prospekt-budyennogo-18k4-60966936/</t>
        </is>
      </c>
      <c r="AB11" t="inlineStr">
        <is>
          <t>A</t>
        </is>
      </c>
      <c r="AC11" t="inlineStr">
        <is>
          <t>ok</t>
        </is>
      </c>
      <c r="AD11" t="inlineStr">
        <is>
          <t>Помещение свободного назначения, 244 м2</t>
        </is>
      </c>
      <c r="AE11" t="inlineStr">
        <is>
          <t>Помещение свободного назначения</t>
        </is>
      </c>
      <c r="AF11" t="inlineStr">
        <is>
          <t>Санкт-Петербург</t>
        </is>
      </c>
      <c r="AG11" t="inlineStr">
        <is>
          <t>Санкт-Петербург</t>
        </is>
      </c>
      <c r="AH11" t="inlineStr">
        <is>
          <t>посёлок Стрельна</t>
        </is>
      </c>
      <c r="AI11" t="inlineStr">
        <is>
          <t>проспект Будённого, 18к4</t>
        </is>
      </c>
      <c r="AJ11" t="inlineStr">
        <is>
          <t>— «Проспект Ветеранов» или «Автово» — около 20 минут на автомобиле, до КАД — всего 5 минут езды. Два собственных парка: парадный верхний – для спокойного отдыха, нижний – для активных занятий. Проект, соответствующий стандартам экологичного строительства, энергоэффективности, экономии и комфорта Объединение площадей (113.83м²+27.29м²+102.17м²), возможно использование помещений по отдельности Сдача 1 квартал 2026г. Ключи до 30.09.26 отдадут раньше.​​​​​​​Планируемый МАП 2500р/м² ID - 572930</t>
        </is>
      </c>
      <c r="AK11" t="inlineStr"/>
      <c r="AL11" t="inlineStr">
        <is>
          <t>«Дворцовый фасад» — малоэтажный жилой комплекс комфорт-класса на южном берегу Финского залива, рядом с парадными ансамблями Стрельны и Петергофа. Комплекс находится в окружении дворцово-парковых ансамблей Стрельны, Константиновского дворца и Петергофа. Рядом — парк Новознаменка, Сосновая поляна и Шунгеровский лесопарк. До центра Петербурга можно добраться за 40 минут на транспорте по Петергофскому шоссе. До ближайших станций метро — «Проспект Ветеранов» или «Автово» — около 20 минут на автомобиле, до КАД — всего 5 минут езды. Два собственных парка: парадный верхний – для спокойного отдыха, нижний – для активных занятий. Проект, соответствующий стандартам экологичного строительства, энергоэффективности, экономии и комфорта Объединение площадей (113.83м²+27.29м²+102.17м²), возможно использование помещений по отдельности Сдача 1 квартал 2026г. Ключи до 30.09.26 отдадут раньше.​​​​​​​Планируемый МАП 2500р/м² ID - 572930</t>
        </is>
      </c>
    </row>
    <row r="12">
      <c r="A12" t="n">
        <v>15</v>
      </c>
      <c r="B12" t="n">
        <v>1</v>
      </c>
      <c r="C12" t="n">
        <v>15</v>
      </c>
      <c r="D12" t="inlineStr"/>
      <c r="E12" t="inlineStr">
        <is>
          <t>Петродворцовый</t>
        </is>
      </c>
      <c r="F12" t="inlineStr">
        <is>
          <t>проспект Будённого, 18к4</t>
        </is>
      </c>
      <c r="G12" t="n">
        <v>93</v>
      </c>
      <c r="H12" t="inlineStr">
        <is>
          <t>32 550 000</t>
        </is>
      </c>
      <c r="I12" t="inlineStr"/>
      <c r="J12" t="inlineStr"/>
      <c r="K12" t="inlineStr"/>
      <c r="L12" t="inlineStr"/>
      <c r="M12" t="inlineStr"/>
      <c r="N12" t="inlineStr">
        <is>
          <t>no</t>
        </is>
      </c>
      <c r="O12" t="inlineStr">
        <is>
          <t>none</t>
        </is>
      </c>
      <c r="P12">
        <f>HYPERLINK("https://knru.ru/catalog/prospekt-budyennogo-18k4/","ссылка")</f>
        <v/>
      </c>
      <c r="Q12" t="inlineStr"/>
      <c r="R12" t="inlineStr">
        <is>
          <t>Нет у нас</t>
        </is>
      </c>
      <c r="S12" t="n">
        <v>0</v>
      </c>
      <c r="T12" t="inlineStr">
        <is>
          <t>Совпадений по улице+дому не найдено</t>
        </is>
      </c>
      <c r="U12" t="n">
        <v>15</v>
      </c>
      <c r="V12" t="n">
        <v>1</v>
      </c>
      <c r="W12" t="n">
        <v>15</v>
      </c>
      <c r="X12" t="n">
        <v>32550000</v>
      </c>
      <c r="Y12" t="inlineStr"/>
      <c r="Z12" t="inlineStr"/>
      <c r="AA12" t="inlineStr">
        <is>
          <t>https://knru.ru/catalog/prospekt-budyennogo-18k4/</t>
        </is>
      </c>
      <c r="AB12" t="inlineStr">
        <is>
          <t>A</t>
        </is>
      </c>
      <c r="AC12" t="inlineStr">
        <is>
          <t>ok</t>
        </is>
      </c>
      <c r="AD12" t="inlineStr">
        <is>
          <t>Помещение свободного назначения, 93 м2</t>
        </is>
      </c>
      <c r="AE12" t="inlineStr">
        <is>
          <t>Помещение свободного назначения</t>
        </is>
      </c>
      <c r="AF12" t="inlineStr">
        <is>
          <t>Санкт-Петербург</t>
        </is>
      </c>
      <c r="AG12" t="inlineStr">
        <is>
          <t>Санкт-Петербург</t>
        </is>
      </c>
      <c r="AH12" t="inlineStr">
        <is>
          <t>посёлок Стрельна</t>
        </is>
      </c>
      <c r="AI12" t="inlineStr">
        <is>
          <t>проспект Будённого, 18к4</t>
        </is>
      </c>
      <c r="AJ12" t="inlineStr">
        <is>
          <t>— «Проспект Ветеранов» или «Автово» — около 20 минут на автомобиле, до КАД — всего 5 минут езды. Два собственных парка: парадный верхний – для спокойного отдыха, нижний – для активных занятий. Проект, соответствующий стандартам экологичного строительства, энергоэффективности, экономии и комфорта Сдача 1 квартал 2026г. Ключи до 30.09.26 отдадут раньше. ID - 572929</t>
        </is>
      </c>
      <c r="AK12" t="inlineStr"/>
      <c r="AL12" t="inlineStr">
        <is>
          <t>«Дворцовый фасад» — малоэтажный жилой комплекс комфорт-класса на южном берегу Финского залива, рядом с парадными ансамблями Стрельны и Петергофа. Комплекс находится в окружении дворцово-парковых ансамблей Стрельны, Константиновского дворца и Петергофа. Рядом — парк Новознаменка, Сосновая поляна и Шунгеровский лесопарк. До центра Петербурга можно добраться за 40 минут на транспорте по Петергофскому шоссе. До ближайших станций метро — «Проспект Ветеранов» или «Автово» — около 20 минут на автомобиле, до КАД — всего 5 минут езды. Два собственных парка: парадный верхний – для спокойного отдыха, нижний – для активных занятий. Проект, соответствующий стандартам экологичного строительства, энергоэффективности, экономии и комфорта Сдача 1 квартал 2026г. Ключи до 30.09.26 отдадут раньше. ID - 572929</t>
        </is>
      </c>
    </row>
    <row r="13">
      <c r="A13" t="n">
        <v>16</v>
      </c>
      <c r="B13" t="n">
        <v>1</v>
      </c>
      <c r="C13" t="n">
        <v>16</v>
      </c>
      <c r="D13" t="n">
        <v>468742874</v>
      </c>
      <c r="E13" t="inlineStr">
        <is>
          <t>Центральный</t>
        </is>
      </c>
      <c r="F13" t="inlineStr">
        <is>
          <t>Чайковского ул, 12а Л</t>
        </is>
      </c>
      <c r="G13" t="n">
        <v>724</v>
      </c>
      <c r="H13" t="inlineStr">
        <is>
          <t>175 000 000</t>
        </is>
      </c>
      <c r="I13" t="inlineStr"/>
      <c r="J13" t="inlineStr"/>
      <c r="K13" t="inlineStr"/>
      <c r="L13" t="inlineStr"/>
      <c r="M13" t="inlineStr"/>
      <c r="N13" t="inlineStr">
        <is>
          <t>no</t>
        </is>
      </c>
      <c r="O13" t="inlineStr">
        <is>
          <t>none</t>
        </is>
      </c>
      <c r="P13">
        <f>HYPERLINK("https://knru.ru/catalog/chaykovskogo-ul-12a-l-468742874/","ссылка")</f>
        <v/>
      </c>
      <c r="Q13" t="inlineStr"/>
      <c r="R13" t="inlineStr">
        <is>
          <t>Нет у нас</t>
        </is>
      </c>
      <c r="S13" t="n">
        <v>0</v>
      </c>
      <c r="T13" t="inlineStr">
        <is>
          <t>Совпадений по улице+дому не найдено</t>
        </is>
      </c>
      <c r="U13" t="n">
        <v>16</v>
      </c>
      <c r="V13" t="n">
        <v>1</v>
      </c>
      <c r="W13" t="n">
        <v>16</v>
      </c>
      <c r="X13" t="n">
        <v>175000000</v>
      </c>
      <c r="Y13" t="inlineStr"/>
      <c r="Z13" t="inlineStr"/>
      <c r="AA13" t="inlineStr">
        <is>
          <t>https://knru.ru/catalog/chaykovskogo-ul-12a-l-468742874/</t>
        </is>
      </c>
      <c r="AB13" t="inlineStr">
        <is>
          <t>A</t>
        </is>
      </c>
      <c r="AC13" t="inlineStr">
        <is>
          <t>load_error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17</v>
      </c>
      <c r="B14" t="n">
        <v>1</v>
      </c>
      <c r="C14" t="n">
        <v>17</v>
      </c>
      <c r="D14" t="inlineStr"/>
      <c r="E14" t="inlineStr">
        <is>
          <t>Центральный</t>
        </is>
      </c>
      <c r="F14" t="inlineStr">
        <is>
          <t>Чайковского ул, 12а Л</t>
        </is>
      </c>
      <c r="G14" t="n">
        <v>192</v>
      </c>
      <c r="H14" t="inlineStr">
        <is>
          <t>41 000 000</t>
        </is>
      </c>
      <c r="I14" t="inlineStr"/>
      <c r="J14" t="inlineStr"/>
      <c r="K14" t="inlineStr"/>
      <c r="L14" t="inlineStr"/>
      <c r="M14" t="inlineStr"/>
      <c r="N14" t="inlineStr">
        <is>
          <t>no</t>
        </is>
      </c>
      <c r="O14" t="inlineStr">
        <is>
          <t>none</t>
        </is>
      </c>
      <c r="P14">
        <f>HYPERLINK("https://knru.ru/catalog/chaykovskogo-ul-12a-l/","ссылка")</f>
        <v/>
      </c>
      <c r="Q14" t="inlineStr"/>
      <c r="R14" t="inlineStr">
        <is>
          <t>Нет у нас</t>
        </is>
      </c>
      <c r="S14" t="n">
        <v>0</v>
      </c>
      <c r="T14" t="inlineStr">
        <is>
          <t>Совпадений по улице+дому не найдено</t>
        </is>
      </c>
      <c r="U14" t="n">
        <v>17</v>
      </c>
      <c r="V14" t="n">
        <v>1</v>
      </c>
      <c r="W14" t="n">
        <v>17</v>
      </c>
      <c r="X14" t="n">
        <v>41000000</v>
      </c>
      <c r="Y14" t="inlineStr"/>
      <c r="Z14" t="inlineStr"/>
      <c r="AA14" t="inlineStr">
        <is>
          <t>https://knru.ru/catalog/chaykovskogo-ul-12a-l/</t>
        </is>
      </c>
      <c r="AB14" t="inlineStr">
        <is>
          <t>A</t>
        </is>
      </c>
      <c r="AC14" t="inlineStr">
        <is>
          <t>load_error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n">
        <v>24</v>
      </c>
      <c r="B15" t="n">
        <v>1</v>
      </c>
      <c r="C15" t="n">
        <v>24</v>
      </c>
      <c r="D15" t="n">
        <v>11</v>
      </c>
      <c r="E15" t="inlineStr">
        <is>
          <t>Петроградский</t>
        </is>
      </c>
      <c r="F15" t="inlineStr">
        <is>
          <t>Каменноостровский пр-кт, 11 А</t>
        </is>
      </c>
      <c r="G15" t="n">
        <v>1178</v>
      </c>
      <c r="H15" t="inlineStr">
        <is>
          <t>450 000 000</t>
        </is>
      </c>
      <c r="I15" t="inlineStr"/>
      <c r="J15" t="inlineStr"/>
      <c r="K15" t="inlineStr"/>
      <c r="L15" t="inlineStr"/>
      <c r="M15" t="inlineStr"/>
      <c r="N15" t="inlineStr">
        <is>
          <t>no</t>
        </is>
      </c>
      <c r="O15" t="inlineStr">
        <is>
          <t>none</t>
        </is>
      </c>
      <c r="P15">
        <f>HYPERLINK("https://knru.ru/catalog/kamennoostrovskiy-pr-kt-d-11/","ссылка")</f>
        <v/>
      </c>
      <c r="Q15" t="inlineStr"/>
      <c r="R15" t="inlineStr">
        <is>
          <t>Нет у нас</t>
        </is>
      </c>
      <c r="S15" t="n">
        <v>0</v>
      </c>
      <c r="T15" t="inlineStr">
        <is>
          <t>Совпадений по улице+дому не найдено</t>
        </is>
      </c>
      <c r="U15" t="n">
        <v>24</v>
      </c>
      <c r="V15" t="n">
        <v>1</v>
      </c>
      <c r="W15" t="n">
        <v>24</v>
      </c>
      <c r="X15" t="n">
        <v>450000000</v>
      </c>
      <c r="Y15" t="inlineStr"/>
      <c r="Z15" t="inlineStr"/>
      <c r="AA15" t="inlineStr">
        <is>
          <t>https://knru.ru/catalog/kamennoostrovskiy-pr-kt-d-11/</t>
        </is>
      </c>
      <c r="AB15" t="inlineStr">
        <is>
          <t>A</t>
        </is>
      </c>
      <c r="AC15" t="inlineStr">
        <is>
          <t>ok</t>
        </is>
      </c>
      <c r="AD15" t="inlineStr">
        <is>
          <t>Помещение свободного назначения, 1178 м2</t>
        </is>
      </c>
      <c r="AE15" t="inlineStr">
        <is>
          <t>Помещение свободного назначения</t>
        </is>
      </c>
      <c r="AF15" t="inlineStr">
        <is>
          <t>Санкт-Петербург</t>
        </is>
      </c>
      <c r="AG15" t="inlineStr">
        <is>
          <t>Санкт-Петербург</t>
        </is>
      </c>
      <c r="AH15" t="inlineStr">
        <is>
          <t>Санкт-Петербург</t>
        </is>
      </c>
      <c r="AI15" t="inlineStr">
        <is>
          <t>Каменноостровский пр-кт, 11 А</t>
        </is>
      </c>
      <c r="AJ15" t="inlineStr">
        <is>
          <t>«Горьковская». Стоимость продажи — 450 000 000 рублей. Уникальный объект исторической застройки с высоким инвестиционным потенциалом. Свободная планировка и большая площадь позволяют создать офисный, медицинский или гостиничный комплекс. Отличная транспортная доступность и престижное расположение в центре города. Здание имеет подвал и мансарду, что расширяет возможности его использования. Помещение обладает отличными характеристиками: высота потолков от 1,84 м (подвал) до 3,55 м (1 этаж), электроснабжение 60 кВт. Локация в престижном Петроградском районе рядом с точками притяжения: Станция метро «Горьковская» Каменноостровский проспект Петропавловская крепость Исторический центр города Идеально подойдет для: офисного центра, медицинской клиники, мини-отеля, учебного центра. Основные характеристики: Операция: Продажа Тип объекта: Отдельно стоящее здание (ОСЗ) Площадь: 1178 м² Цена: 450 000 000 руб. Этажность: 4 этажа + подвал + мансарда Высота потолков: 1 эт. - 3,55 м, 2 эт. - 2,98 м, 3 эт. - 3,05 м, 4 эт. - 3,2 м, мансарда - 2,58 м, подвал - 1,84 м Электроснабжение: 60 кВт Локация: Санкт-Петербург, Петроградский район, Каменноостровский пр., 11, 3 мин. пешком от м. Горьковская Звоните для просмотра и вопросов! ID - 539129</t>
        </is>
      </c>
      <c r="AK15" t="inlineStr"/>
      <c r="AL15" t="inlineStr"/>
    </row>
    <row r="16">
      <c r="A16" t="n">
        <v>25</v>
      </c>
      <c r="B16" t="n">
        <v>2</v>
      </c>
      <c r="C16" t="n">
        <v>1</v>
      </c>
      <c r="D16" t="n">
        <v>1718420734</v>
      </c>
      <c r="E16" t="inlineStr">
        <is>
          <t>Василеостровский</t>
        </is>
      </c>
      <c r="F16" t="inlineStr">
        <is>
          <t>9-я В.О. линия, 32</t>
        </is>
      </c>
      <c r="G16" t="n">
        <v>190</v>
      </c>
      <c r="H16" t="inlineStr">
        <is>
          <t>95 000 000</t>
        </is>
      </c>
      <c r="I16" t="inlineStr"/>
      <c r="J16" t="inlineStr"/>
      <c r="K16" t="inlineStr"/>
      <c r="L16" t="inlineStr"/>
      <c r="M16" t="inlineStr"/>
      <c r="N16" t="inlineStr">
        <is>
          <t>no</t>
        </is>
      </c>
      <c r="O16" t="inlineStr">
        <is>
          <t>none</t>
        </is>
      </c>
      <c r="P16">
        <f>HYPERLINK("https://knru.ru/catalog/9-ya-v-o-liniya-32-1718420734/","ссылка")</f>
        <v/>
      </c>
      <c r="Q16" t="inlineStr"/>
      <c r="R16" t="inlineStr">
        <is>
          <t>Нет у нас</t>
        </is>
      </c>
      <c r="S16" t="n">
        <v>0</v>
      </c>
      <c r="T16" t="inlineStr">
        <is>
          <t>Совпадений по улице+дому не найдено</t>
        </is>
      </c>
      <c r="U16" t="n">
        <v>25</v>
      </c>
      <c r="V16" t="n">
        <v>2</v>
      </c>
      <c r="W16" t="n">
        <v>1</v>
      </c>
      <c r="X16" t="n">
        <v>95000000</v>
      </c>
      <c r="Y16" t="inlineStr"/>
      <c r="Z16" t="inlineStr"/>
      <c r="AA16" t="inlineStr">
        <is>
          <t>https://knru.ru/catalog/9-ya-v-o-liniya-32-1718420734/</t>
        </is>
      </c>
      <c r="AB16" t="inlineStr">
        <is>
          <t>A</t>
        </is>
      </c>
      <c r="AC16" t="inlineStr">
        <is>
          <t>ok</t>
        </is>
      </c>
      <c r="AD16" t="inlineStr">
        <is>
          <t>Помещение свободного назначения, 190 м2</t>
        </is>
      </c>
      <c r="AE16" t="inlineStr">
        <is>
          <t>Помещение свободного назначения</t>
        </is>
      </c>
      <c r="AF16" t="inlineStr">
        <is>
          <t>Санкт-Петербург</t>
        </is>
      </c>
      <c r="AG16" t="inlineStr">
        <is>
          <t>Санкт-Петербург</t>
        </is>
      </c>
      <c r="AH16" t="inlineStr">
        <is>
          <t>Санкт-Петербург</t>
        </is>
      </c>
      <c r="AI16" t="inlineStr">
        <is>
          <t>9-я В.О. линия, 32</t>
        </is>
      </c>
      <c r="AJ16" t="inlineStr">
        <is>
          <t>«Василеостровская».  Помещение на первой линии домов с большими витринными окнами и двумя отдельными входами (с улицы и со двора). Высокие потолки 3.6 метра создают просторное и светлое пространство. Локация в развитом районе с оживлённым пешеходным и автомобильным трафиком обеспечит высокую проходимость для вашего бизнеса. Помещение обладает отличными характеристиками: высота потолков 3.6 метра, электроснабжение 15кВт. Локация в Василеостровском районе рядом с точками притяжения: - Станция метро «Василеостровская» - Развитая инфраструктура района - Оживлённые пешеходные потоки Основные характеристики: - Операция: Аренда - Площадь: 190м² - Этаж: 1 - Высота потолков: 3.6м - Электроснабжение: 15кВт - Входы: 2 отдельных входа (с улицы и со двора) - Особенности: Первая линия, большие витринные окна - Локация: Санкт-Петербург, Василеостровский район, м. Василеостровская Помещение свободно, ранее находился банк МКБ. Потенциальная арендная ставка - 600.000 рублей. Звоните для просмотра и вопросов! ID - 570792</t>
        </is>
      </c>
      <c r="AK16" t="inlineStr"/>
      <c r="AL16" t="inlineStr"/>
    </row>
    <row r="17">
      <c r="A17" t="n">
        <v>28</v>
      </c>
      <c r="B17" t="n">
        <v>2</v>
      </c>
      <c r="C17" t="n">
        <v>4</v>
      </c>
      <c r="D17" t="n">
        <v>43</v>
      </c>
      <c r="E17" t="inlineStr">
        <is>
          <t>Адмиралтейский</t>
        </is>
      </c>
      <c r="F17" t="inlineStr">
        <is>
          <t>Московский пр-кт, 43</t>
        </is>
      </c>
      <c r="G17" t="n">
        <v>17</v>
      </c>
      <c r="H17" t="inlineStr">
        <is>
          <t>7 000 000</t>
        </is>
      </c>
      <c r="I17" t="inlineStr"/>
      <c r="J17" t="inlineStr"/>
      <c r="K17" t="inlineStr"/>
      <c r="L17" t="inlineStr"/>
      <c r="M17" t="inlineStr"/>
      <c r="N17" t="inlineStr">
        <is>
          <t>no</t>
        </is>
      </c>
      <c r="O17" t="inlineStr">
        <is>
          <t>none</t>
        </is>
      </c>
      <c r="P17">
        <f>HYPERLINK("https://knru.ru/catalog/moskovskiy-pr-kt-43/","ссылка")</f>
        <v/>
      </c>
      <c r="Q17" t="inlineStr"/>
      <c r="R17" t="inlineStr">
        <is>
          <t>Нет у нас</t>
        </is>
      </c>
      <c r="S17" t="n">
        <v>0</v>
      </c>
      <c r="T17" t="inlineStr">
        <is>
          <t>Совпадений по улице+дому не найдено</t>
        </is>
      </c>
      <c r="U17" t="n">
        <v>28</v>
      </c>
      <c r="V17" t="n">
        <v>2</v>
      </c>
      <c r="W17" t="n">
        <v>4</v>
      </c>
      <c r="X17" t="n">
        <v>7000000</v>
      </c>
      <c r="Y17" t="inlineStr"/>
      <c r="Z17" t="inlineStr"/>
      <c r="AA17" t="inlineStr">
        <is>
          <t>https://knru.ru/catalog/moskovskiy-pr-kt-43/</t>
        </is>
      </c>
      <c r="AB17" t="inlineStr">
        <is>
          <t>A</t>
        </is>
      </c>
      <c r="AC17" t="inlineStr">
        <is>
          <t>ok</t>
        </is>
      </c>
      <c r="AD17" t="inlineStr">
        <is>
          <t>17 м2</t>
        </is>
      </c>
      <c r="AE17" t="inlineStr"/>
      <c r="AF17" t="inlineStr">
        <is>
          <t>Санкт-Петербург</t>
        </is>
      </c>
      <c r="AG17" t="inlineStr">
        <is>
          <t>Санкт-Петербург</t>
        </is>
      </c>
      <c r="AH17" t="inlineStr">
        <is>
          <t>Санкт-Петербург</t>
        </is>
      </c>
      <c r="AI17" t="inlineStr">
        <is>
          <t>Московский пр-кт, 43</t>
        </is>
      </c>
      <c r="AJ17" t="inlineStr">
        <is>
          <t>ТЕХНОЛОГИЧЕСКИЙ ИНСТИТУТ! Продаётся отдельно стоящее здание площадью 17м² с земельным участком 23м². Это действительно отдельно стоящее здание: одна из стен примыкает к забору. Объект расположен в Санкт-Петербурге, Адмиралтейский район, в шаговой доступности от станции метро «Технологический институт». Уникальное предложение — собственность на землю и здание. Помещение с свежим ремонтом, тёплым полом и автономным отоплением. Мощность электросети 100 кВт позволяет установить зарядную станцию для электромобилей и создать дополнительный источник дохода. Высокий потолок 3.4 метра расширяет возможности использования. Помещение обладает отличными характеристиками: высота потолков 3.4 метра, отопление: автономное (теплый пол). Локация в престижном Адмиралтейском районе рядом с точками притяжения: - Станция метро «Технологический институт» - Развитая транспортная и деловая инфраструктура центра города - Высокий пешеходный и автомобильный трафик Идеально подойдет для: зарядной станции для электромобилей, небольшого офиса, представительства, магазина. В настоящий момент помещение арендует звукозаписывающая студия.  Основные характеристики: - Операция: Продажа - Тип объекта: Отдельно стоящее здание с земельным участком - Площадь здания: 17м² - Площадь участка: 23м² - Высота потолков: 3.4м - Электроснабжение: 100кВт (есть возможность увеличения) - Состояние: Офисная отделка, свежий ремонт - Отопление: Автономное (теплый пол) - Вход: Отдельный, с улицы - Локация: Санкт-Петербург, Адмиралтейский район, м. Технологический институт Звоните для просмотра и вопросов! ID - 572684</t>
        </is>
      </c>
      <c r="AK17" t="inlineStr"/>
      <c r="AL17" t="inlineStr"/>
    </row>
    <row r="18">
      <c r="A18" t="n">
        <v>36</v>
      </c>
      <c r="B18" t="n">
        <v>2</v>
      </c>
      <c r="C18" t="n">
        <v>12</v>
      </c>
      <c r="D18" t="n">
        <v>16</v>
      </c>
      <c r="E18" t="inlineStr">
        <is>
          <t>Приморский</t>
        </is>
      </c>
      <c r="F18" t="inlineStr">
        <is>
          <t>1-я Никитинская ул, 16</t>
        </is>
      </c>
      <c r="G18" t="n">
        <v>4500</v>
      </c>
      <c r="H18" t="inlineStr">
        <is>
          <t>850 000 000</t>
        </is>
      </c>
      <c r="I18" t="inlineStr"/>
      <c r="J18" t="inlineStr"/>
      <c r="K18" t="inlineStr"/>
      <c r="L18" t="inlineStr"/>
      <c r="M18" t="inlineStr"/>
      <c r="N18" t="inlineStr">
        <is>
          <t>no</t>
        </is>
      </c>
      <c r="O18" t="inlineStr">
        <is>
          <t>none</t>
        </is>
      </c>
      <c r="P18">
        <f>HYPERLINK("https://knru.ru/catalog/1-ya-nikitinskaya-ul-16/","ссылка")</f>
        <v/>
      </c>
      <c r="Q18" t="inlineStr"/>
      <c r="R18" t="inlineStr">
        <is>
          <t>Нет у нас</t>
        </is>
      </c>
      <c r="S18" t="n">
        <v>0</v>
      </c>
      <c r="T18" t="inlineStr">
        <is>
          <t>Совпадений по улице+дому не найдено</t>
        </is>
      </c>
      <c r="U18" t="n">
        <v>36</v>
      </c>
      <c r="V18" t="n">
        <v>2</v>
      </c>
      <c r="W18" t="n">
        <v>12</v>
      </c>
      <c r="X18" t="n">
        <v>850000000</v>
      </c>
      <c r="Y18" t="inlineStr"/>
      <c r="Z18" t="inlineStr"/>
      <c r="AA18" t="inlineStr">
        <is>
          <t>https://knru.ru/catalog/1-ya-nikitinskaya-ul-16/</t>
        </is>
      </c>
      <c r="AB18" t="inlineStr">
        <is>
          <t>A</t>
        </is>
      </c>
      <c r="AC18" t="inlineStr">
        <is>
          <t>ok</t>
        </is>
      </c>
      <c r="AD18" t="inlineStr">
        <is>
          <t>4500 м2</t>
        </is>
      </c>
      <c r="AE18" t="inlineStr"/>
      <c r="AF18" t="inlineStr">
        <is>
          <t>Санкт-Петербург</t>
        </is>
      </c>
      <c r="AG18" t="inlineStr">
        <is>
          <t>Санкт-Петербург</t>
        </is>
      </c>
      <c r="AH18" t="inlineStr">
        <is>
          <t>Санкт-Петербург</t>
        </is>
      </c>
      <c r="AI18" t="inlineStr">
        <is>
          <t>1-я Никитинская ул, 16</t>
        </is>
      </c>
      <c r="AJ18" t="inlineStr">
        <is>
          <t>Пионерская, Удельная. Нежилое отдельно стоящее здание (1 этаж, 2 этаж, подвал, цоколь, технический чердак). Есть прилегающая территория, зу в собственности. Все коммуникации. Под чистовую отделку. 250кВт (с возможностью увеличения еще на 250кВт). Отопление - газовый котёл. Есть система вентиляции. Потолки: 2.09м - 9.59м. Несколько входов. Идеально под размещение клиники, школы, пансионата, офисного здания.Трафик, в окружении сложившаяся инфраструктура района.  ID - 572481</t>
        </is>
      </c>
      <c r="AK18" t="inlineStr"/>
      <c r="AL18" t="inlineStr"/>
    </row>
    <row r="19">
      <c r="A19" t="n">
        <v>41</v>
      </c>
      <c r="B19" t="n">
        <v>2</v>
      </c>
      <c r="C19" t="n">
        <v>17</v>
      </c>
      <c r="D19" t="n">
        <v>29</v>
      </c>
      <c r="E19" t="inlineStr">
        <is>
          <t>Адмиралтейский</t>
        </is>
      </c>
      <c r="F19" t="inlineStr">
        <is>
          <t>Казанская ул, 29</t>
        </is>
      </c>
      <c r="G19" t="n">
        <v>140</v>
      </c>
      <c r="H19" t="inlineStr">
        <is>
          <t>5 500 000</t>
        </is>
      </c>
      <c r="I19" t="inlineStr"/>
      <c r="J19" t="inlineStr"/>
      <c r="K19" t="inlineStr"/>
      <c r="L19" t="inlineStr"/>
      <c r="M19" t="inlineStr"/>
      <c r="N19" t="inlineStr">
        <is>
          <t>no</t>
        </is>
      </c>
      <c r="O19" t="inlineStr">
        <is>
          <t>none</t>
        </is>
      </c>
      <c r="P19">
        <f>HYPERLINK("https://knru.ru/catalog/kazanskaya-ul-29/","ссылка")</f>
        <v/>
      </c>
      <c r="Q19" t="inlineStr"/>
      <c r="R19" t="inlineStr">
        <is>
          <t>Нет у нас</t>
        </is>
      </c>
      <c r="S19" t="n">
        <v>0</v>
      </c>
      <c r="T19" t="inlineStr">
        <is>
          <t>Совпадений по улице+дому не найдено</t>
        </is>
      </c>
      <c r="U19" t="n">
        <v>41</v>
      </c>
      <c r="V19" t="n">
        <v>2</v>
      </c>
      <c r="W19" t="n">
        <v>17</v>
      </c>
      <c r="X19" t="n">
        <v>5500000</v>
      </c>
      <c r="Y19" t="inlineStr"/>
      <c r="Z19" t="inlineStr"/>
      <c r="AA19" t="inlineStr">
        <is>
          <t>https://knru.ru/catalog/kazanskaya-ul-29/</t>
        </is>
      </c>
      <c r="AB19" t="inlineStr">
        <is>
          <t>A</t>
        </is>
      </c>
      <c r="AC19" t="inlineStr">
        <is>
          <t>ok</t>
        </is>
      </c>
      <c r="AD19" t="inlineStr">
        <is>
          <t>Готовый бизнес, 140 м2</t>
        </is>
      </c>
      <c r="AE19" t="inlineStr">
        <is>
          <t>Готовый бизнес</t>
        </is>
      </c>
      <c r="AF19" t="inlineStr">
        <is>
          <t>Санкт-Петербург</t>
        </is>
      </c>
      <c r="AG19" t="inlineStr">
        <is>
          <t>Санкт-Петербург</t>
        </is>
      </c>
      <c r="AH19" t="inlineStr">
        <is>
          <t>Санкт-Петербург</t>
        </is>
      </c>
      <c r="AI19" t="inlineStr">
        <is>
          <t>Казанская ул, 29</t>
        </is>
      </c>
      <c r="AJ19" t="inlineStr">
        <is>
          <t>«Гостиный двор».  Полностью укомплектованный бизнес с оборудованием, товарными остатками и работающим коллективом. Действующая алкогольная лицензия и долгосрочный арендный договор на 5 лет (остаток 4 года 3 месяца) обеспечивают стабильность. Выгодное расположение в центре города гарантирует высокий трафик гостей. Помещение обладает отличными характеристиками: электрическая мощность 50 кВт, вентиляция: согласованная свеча. Локация в престижном Адмиралтейском районе рядом с точками притяжения: - Станции метро «Гостиный двор» и «Невский проспект» - Основные туристические маршруты - Деловой центр города Идеально подойдет для: продолжения успешного бизнеса, инвестиций в готовое заведение. Основные характеристики: - Операция: Продажа бизнеса (юр.лица) - Тип объекта: Бар/рюмочная - Площадь: 140м² - Арендная ставка: 175 000 руб./мес + индексация 10 000 руб./год - Остаток аренды: 4 года 3 месяца - Электроснабжение: 50кВт - Особенности: Алкогольная лицензия, оборудование, товарные остатки, коллектив - Формат: Крафтовое пиво, бизнес-ланчи, настольные игры​​​​​​​- Локация: Санкт-Петербург, Адмиралтейский район, ул. Караванная, 29, 5 мин. пешком от м. Гостиный двор Звоните для просмотра и вопросов! ID - 572155</t>
        </is>
      </c>
      <c r="AK19" t="inlineStr"/>
      <c r="AL19" t="inlineStr"/>
    </row>
    <row r="20">
      <c r="A20" t="n">
        <v>42</v>
      </c>
      <c r="B20" t="n">
        <v>2</v>
      </c>
      <c r="C20" t="n">
        <v>18</v>
      </c>
      <c r="D20" t="inlineStr"/>
      <c r="E20" t="inlineStr">
        <is>
          <t>Невский</t>
        </is>
      </c>
      <c r="F20" t="inlineStr">
        <is>
          <t>Дыбенко ул, 1к2</t>
        </is>
      </c>
      <c r="G20" t="n">
        <v>500</v>
      </c>
      <c r="H20" t="inlineStr">
        <is>
          <t>90 000 000</t>
        </is>
      </c>
      <c r="I20" t="inlineStr"/>
      <c r="J20" t="inlineStr"/>
      <c r="K20" t="inlineStr"/>
      <c r="L20" t="inlineStr"/>
      <c r="M20" t="inlineStr"/>
      <c r="N20" t="inlineStr">
        <is>
          <t>no</t>
        </is>
      </c>
      <c r="O20" t="inlineStr">
        <is>
          <t>none</t>
        </is>
      </c>
      <c r="P20">
        <f>HYPERLINK("https://knru.ru/catalog/dybenko-ul-1k2/","ссылка")</f>
        <v/>
      </c>
      <c r="Q20" t="inlineStr"/>
      <c r="R20" t="inlineStr">
        <is>
          <t>Нет у нас</t>
        </is>
      </c>
      <c r="S20" t="n">
        <v>0</v>
      </c>
      <c r="T20" t="inlineStr">
        <is>
          <t>Совпадений по улице+дому не найдено</t>
        </is>
      </c>
      <c r="U20" t="n">
        <v>42</v>
      </c>
      <c r="V20" t="n">
        <v>2</v>
      </c>
      <c r="W20" t="n">
        <v>18</v>
      </c>
      <c r="X20" t="n">
        <v>90000000</v>
      </c>
      <c r="Y20" t="inlineStr"/>
      <c r="Z20" t="inlineStr"/>
      <c r="AA20" t="inlineStr">
        <is>
          <t>https://knru.ru/catalog/dybenko-ul-1k2/</t>
        </is>
      </c>
      <c r="AB20" t="inlineStr">
        <is>
          <t>A</t>
        </is>
      </c>
      <c r="AC20" t="inlineStr">
        <is>
          <t>ok</t>
        </is>
      </c>
      <c r="AD20" t="inlineStr">
        <is>
          <t>Помещение свободного назначения, 500 м2</t>
        </is>
      </c>
      <c r="AE20" t="inlineStr">
        <is>
          <t>Помещение свободного назначения</t>
        </is>
      </c>
      <c r="AF20" t="inlineStr">
        <is>
          <t>Санкт-Петербург</t>
        </is>
      </c>
      <c r="AG20" t="inlineStr">
        <is>
          <t>Санкт-Петербург</t>
        </is>
      </c>
      <c r="AH20" t="inlineStr">
        <is>
          <t>Санкт-Петербург</t>
        </is>
      </c>
      <c r="AI20" t="inlineStr">
        <is>
          <t>Дыбенко ул, 1к2</t>
        </is>
      </c>
      <c r="AJ20" t="inlineStr">
        <is>
          <t>Улица Дыбенко, Елизаровская, Ломоносовская. 1 этаж. Площадь: 500м2. С отделкой. Потолки: 3,3м. Витринное остекление. В окружении новые ЖК с высоким трафиком. Арендатор: Магнит. МАП: 500 000руб. + индексация 5 % от товарооборота ID - 572463</t>
        </is>
      </c>
      <c r="AK20" t="inlineStr"/>
      <c r="AL20" t="inlineStr">
        <is>
          <t>с высоким трафиком. Арендатор: Магнит. МАП: 500 000руб. + индексация 5 % от товарооборота ID - 572463</t>
        </is>
      </c>
    </row>
    <row r="21">
      <c r="A21" t="n">
        <v>45</v>
      </c>
      <c r="B21" t="n">
        <v>2</v>
      </c>
      <c r="C21" t="n">
        <v>21</v>
      </c>
      <c r="D21" t="n">
        <v>6</v>
      </c>
      <c r="E21" t="inlineStr">
        <is>
          <t>Приморский</t>
        </is>
      </c>
      <c r="F21" t="inlineStr">
        <is>
          <t>Торфяная дор, 17к6</t>
        </is>
      </c>
      <c r="G21" t="n">
        <v>2290</v>
      </c>
      <c r="H21" t="inlineStr">
        <is>
          <t>180 000 000</t>
        </is>
      </c>
      <c r="I21" t="inlineStr"/>
      <c r="J21" t="inlineStr"/>
      <c r="K21" t="inlineStr"/>
      <c r="L21" t="inlineStr"/>
      <c r="M21" t="inlineStr"/>
      <c r="N21" t="inlineStr">
        <is>
          <t>no</t>
        </is>
      </c>
      <c r="O21" t="inlineStr">
        <is>
          <t>none</t>
        </is>
      </c>
      <c r="P21">
        <f>HYPERLINK("https://knru.ru/catalog/torfyanaya-doroga-d-17k-6/","ссылка")</f>
        <v/>
      </c>
      <c r="Q21" t="inlineStr"/>
      <c r="R21" t="inlineStr">
        <is>
          <t>Нет у нас</t>
        </is>
      </c>
      <c r="S21" t="n">
        <v>0</v>
      </c>
      <c r="T21" t="inlineStr">
        <is>
          <t>Совпадений по улице+дому не найдено</t>
        </is>
      </c>
      <c r="U21" t="n">
        <v>45</v>
      </c>
      <c r="V21" t="n">
        <v>2</v>
      </c>
      <c r="W21" t="n">
        <v>21</v>
      </c>
      <c r="X21" t="n">
        <v>180000000</v>
      </c>
      <c r="Y21" t="inlineStr"/>
      <c r="Z21" t="inlineStr"/>
      <c r="AA21" t="inlineStr">
        <is>
          <t>https://knru.ru/catalog/torfyanaya-doroga-d-17k-6/</t>
        </is>
      </c>
      <c r="AB21" t="inlineStr">
        <is>
          <t>A</t>
        </is>
      </c>
      <c r="AC21" t="inlineStr">
        <is>
          <t>ok</t>
        </is>
      </c>
      <c r="AD21" t="inlineStr">
        <is>
          <t>Помещение свободного назначения, 2290 м2</t>
        </is>
      </c>
      <c r="AE21" t="inlineStr">
        <is>
          <t>Помещение свободного назначения</t>
        </is>
      </c>
      <c r="AF21" t="inlineStr">
        <is>
          <t>Санкт-Петербург</t>
        </is>
      </c>
      <c r="AG21" t="inlineStr">
        <is>
          <t>Санкт-Петербург</t>
        </is>
      </c>
      <c r="AH21" t="inlineStr">
        <is>
          <t>Санкт-Петербург</t>
        </is>
      </c>
      <c r="AI21" t="inlineStr">
        <is>
          <t>Торфяная дор, 17к6</t>
        </is>
      </c>
      <c r="AJ21" t="inlineStr">
        <is>
          <t>«Старая Деревня» Пристройка к апарт-отелю,  2290м2, из которых: 1-й этаж = 800м2, 2-й этаж = 600м2, цоколь, подвал = 890м2 Евростандарт, все городские коммуникации, 119кВт (возможно увеличение), высота потолков: 2,15м – 8,75м, витринные окна по фасаду, 8 входов Жилой комплекс «ArtLine» объединит пять жилых корпусов по 11 этажей с подземными паркингами, два апарт-отеля по 12 этажей. ЖК расположился в шаговой доступности от метро «Старая Деревня», в отлично развитой части Приморского района. В 15-ти минутах ходьбы располагается парк «Елагин остров». Огромный жилой массив, пешеходный и автомобильный трафик, высокая покупательская способность! Дом сдан! Назначение: ФОК. Помещение свободно. Есть подборка арендаторов: продовольственный ритейлер, даркстор, фитнес и т.д. с ориентировочным арендным потоком 1 500 000руб. в мес. Продажа через переуступку. ID - 552743</t>
        </is>
      </c>
      <c r="AK21" t="inlineStr"/>
      <c r="AL21" t="inlineStr">
        <is>
          <t>комфорт-класса «ArtLine», в 7-ми минутах ходьбы от ст. метро «Старая Деревня» Пристройка к апарт-отелю,  2290м2, из которых: 1-й этаж = 800м2, 2-й этаж = 600м2, цоколь, подвал = 890м2 Евростандарт, все городские коммуникации, 119кВт (возможно увеличение), высота потолков: 2,15м – 8,75м, витринные окна по фасаду, 8 входов Жилой комплекс «ArtLine» объединит пять жилых корпусов по 11 этажей с подземными паркингами, два апарт-отеля по 12 этажей. ЖК расположился в шаговой доступности от метро «Старая Деревня», в отлично развитой части Приморского района. В 15-ти минутах ходьбы располагается парк «Елагин остров». Огромный жилой массив, пешеходный и автомобильный трафик, высокая покупательская способность! Дом сдан! Назначение: ФОК. Помещение свободно. Есть подборка арендаторов: продовольственный ритейлер, даркстор, фитнес и т.д. с ориентировочным арендным потоком 1 500 000руб. в мес. Продажа через переуступку. ID - 552743</t>
        </is>
      </c>
    </row>
    <row r="22">
      <c r="A22" t="n">
        <v>46</v>
      </c>
      <c r="B22" t="n">
        <v>2</v>
      </c>
      <c r="C22" t="n">
        <v>22</v>
      </c>
      <c r="D22" t="n">
        <v>4</v>
      </c>
      <c r="E22" t="inlineStr">
        <is>
          <t>Петроградский</t>
        </is>
      </c>
      <c r="F22" t="inlineStr">
        <is>
          <t>Большая Разночинная ул, 4</t>
        </is>
      </c>
      <c r="G22" t="n">
        <v>82</v>
      </c>
      <c r="H22" t="inlineStr">
        <is>
          <t>6 000 000</t>
        </is>
      </c>
      <c r="I22" t="inlineStr"/>
      <c r="J22" t="inlineStr"/>
      <c r="K22" t="inlineStr"/>
      <c r="L22" t="inlineStr"/>
      <c r="M22" t="inlineStr"/>
      <c r="N22" t="inlineStr">
        <is>
          <t>no</t>
        </is>
      </c>
      <c r="O22" t="inlineStr">
        <is>
          <t>none</t>
        </is>
      </c>
      <c r="P22">
        <f>HYPERLINK("https://knru.ru/catalog/bolshaya-raznochinnaya-ul-4/","ссылка")</f>
        <v/>
      </c>
      <c r="Q22" t="inlineStr"/>
      <c r="R22" t="inlineStr">
        <is>
          <t>Нет у нас</t>
        </is>
      </c>
      <c r="S22" t="n">
        <v>0</v>
      </c>
      <c r="T22" t="inlineStr">
        <is>
          <t>Совпадений по улице+дому не найдено</t>
        </is>
      </c>
      <c r="U22" t="n">
        <v>46</v>
      </c>
      <c r="V22" t="n">
        <v>2</v>
      </c>
      <c r="W22" t="n">
        <v>22</v>
      </c>
      <c r="X22" t="n">
        <v>6000000</v>
      </c>
      <c r="Y22" t="inlineStr"/>
      <c r="Z22" t="inlineStr"/>
      <c r="AA22" t="inlineStr">
        <is>
          <t>https://knru.ru/catalog/bolshaya-raznochinnaya-ul-4/</t>
        </is>
      </c>
      <c r="AB22" t="inlineStr">
        <is>
          <t>A</t>
        </is>
      </c>
      <c r="AC22" t="inlineStr">
        <is>
          <t>ok</t>
        </is>
      </c>
      <c r="AD22" t="inlineStr">
        <is>
          <t>Готовый бизнес, 82 м2</t>
        </is>
      </c>
      <c r="AE22" t="inlineStr">
        <is>
          <t>Готовый бизнес</t>
        </is>
      </c>
      <c r="AF22" t="inlineStr">
        <is>
          <t>Санкт-Петербург</t>
        </is>
      </c>
      <c r="AG22" t="inlineStr">
        <is>
          <t>Санкт-Петербург</t>
        </is>
      </c>
      <c r="AH22" t="inlineStr">
        <is>
          <t>Санкт-Петербург</t>
        </is>
      </c>
      <c r="AI22" t="inlineStr">
        <is>
          <t>Большая Разночинная ул, 4</t>
        </is>
      </c>
      <c r="AJ22" t="inlineStr">
        <is>
          <t>«Чкаловская».  Уникальный салон с подтвержденной прибылью 180 000 руб./мес и выручкой 1 300 000 руб./мес. Эксклюзивный дизайнерский интерьер и авторская концепция услуг обеспечивают высокую лояльность клиентской базы (2000 человек). Полностью укомплектованная команда и готовый бизнес-процесс позволяют войти в дело без простоев. Помещение обладает отличными характеристиками: электроснабжение 15 кВт. Локация в престижном Петроградском районе рядом с точками притяжения: - Станции метро «Чкаловская», «Спортивная», «Петроградская» - Исторический центр города - Платежеспособная аудитория Идеально подойдет для: управляющего премиальным бизнесом, инвестора. Основные характеристики: - Операция: Продажа (готовый бизнес) - Тип объекта: Салон красоты (премиум)  - Площадь: 82м² - Прибыль: ~180 000 руб./мес - Потенциал прибыли: до 450 000 руб./мес  - Выручка: ~1 300 000 руб./мес - Арендная плата: 174 000 руб./мес - Этаж: 1 - Электроснабжение: 15 кВт - Команда: 10 человек (5 nail-специалистов, 1 бровист, 2 парикмахера, 2 администратора) - Клиентская база: 2000 человек - Включено в стоимость: Бренд, CRM, оборудование, ремонт, план развития - Локация: Санкт-Петербург, Петроградский район, ул. Большая Разночинная, 4, 1.5 мин. пешком от м. Чкаловская Звоните для просмотра и вопросов! ​​​​​​​ID - 572389</t>
        </is>
      </c>
      <c r="AK22" t="inlineStr"/>
      <c r="AL22" t="inlineStr"/>
    </row>
    <row r="23">
      <c r="A23" t="n">
        <v>48</v>
      </c>
      <c r="B23" t="n">
        <v>2</v>
      </c>
      <c r="C23" t="n">
        <v>24</v>
      </c>
      <c r="D23" t="inlineStr"/>
      <c r="E23" t="inlineStr">
        <is>
          <t>Адмиралтейский</t>
        </is>
      </c>
      <c r="F23" t="inlineStr">
        <is>
          <t>Александра Блока ул, 5</t>
        </is>
      </c>
      <c r="G23" t="n">
        <v>106.8</v>
      </c>
      <c r="H23" t="inlineStr">
        <is>
          <t>46 992 000</t>
        </is>
      </c>
      <c r="I23" t="inlineStr"/>
      <c r="J23" t="inlineStr"/>
      <c r="K23" t="inlineStr"/>
      <c r="L23" t="inlineStr"/>
      <c r="M23" t="inlineStr"/>
      <c r="N23" t="inlineStr">
        <is>
          <t>no</t>
        </is>
      </c>
      <c r="O23" t="inlineStr">
        <is>
          <t>none</t>
        </is>
      </c>
      <c r="P23">
        <f>HYPERLINK("https://knru.ru/catalog/ostrov-pervykh/","ссылка")</f>
        <v/>
      </c>
      <c r="Q23" t="inlineStr"/>
      <c r="R23" t="inlineStr">
        <is>
          <t>Нет у нас</t>
        </is>
      </c>
      <c r="S23" t="n">
        <v>0</v>
      </c>
      <c r="T23" t="inlineStr">
        <is>
          <t>Совпадений по улице+дому не найдено</t>
        </is>
      </c>
      <c r="U23" t="n">
        <v>48</v>
      </c>
      <c r="V23" t="n">
        <v>2</v>
      </c>
      <c r="W23" t="n">
        <v>24</v>
      </c>
      <c r="X23" t="n">
        <v>46992000</v>
      </c>
      <c r="Y23" t="inlineStr"/>
      <c r="Z23" t="inlineStr"/>
      <c r="AA23" t="inlineStr">
        <is>
          <t>https://knru.ru/catalog/ostrov-pervykh/</t>
        </is>
      </c>
      <c r="AB23" t="inlineStr">
        <is>
          <t>A</t>
        </is>
      </c>
      <c r="AC23" t="inlineStr">
        <is>
          <t>ok</t>
        </is>
      </c>
      <c r="AD23" t="inlineStr">
        <is>
          <t>Помещение свободного назначения, 106.8 м2</t>
        </is>
      </c>
      <c r="AE23" t="inlineStr">
        <is>
          <t>Помещение свободного назначения</t>
        </is>
      </c>
      <c r="AF23" t="inlineStr">
        <is>
          <t>Санкт-Петербург</t>
        </is>
      </c>
      <c r="AG23" t="inlineStr">
        <is>
          <t>Санкт-Петербург</t>
        </is>
      </c>
      <c r="AH23" t="inlineStr">
        <is>
          <t>Санкт-Петербург</t>
        </is>
      </c>
      <c r="AI23" t="inlineStr">
        <is>
          <t>Александра Блока ул, 5</t>
        </is>
      </c>
      <c r="AJ23" t="inlineStr">
        <is>
          <t>Адмиралтейская</t>
        </is>
      </c>
      <c r="AK23" t="inlineStr"/>
      <c r="AL23" t="inlineStr">
        <is>
          <t>в эксплуатацию будет происходить с IV квартала 2028 года до III квартала 2029-го. ID - 572388</t>
        </is>
      </c>
    </row>
    <row r="24">
      <c r="A24" t="n">
        <v>50</v>
      </c>
      <c r="B24" t="n">
        <v>3</v>
      </c>
      <c r="C24" t="n">
        <v>2</v>
      </c>
      <c r="D24" t="n">
        <v>2075826791</v>
      </c>
      <c r="E24" t="inlineStr">
        <is>
          <t>Красногвардейский</t>
        </is>
      </c>
      <c r="F24" t="inlineStr">
        <is>
          <t>Ириновский пр-кт, 38</t>
        </is>
      </c>
      <c r="G24" t="n">
        <v>79</v>
      </c>
      <c r="H24" t="inlineStr">
        <is>
          <t>27 646 500</t>
        </is>
      </c>
      <c r="I24" t="inlineStr"/>
      <c r="J24" t="inlineStr"/>
      <c r="K24" t="inlineStr"/>
      <c r="L24" t="inlineStr"/>
      <c r="M24" t="inlineStr"/>
      <c r="N24" t="inlineStr">
        <is>
          <t>no</t>
        </is>
      </c>
      <c r="O24" t="inlineStr">
        <is>
          <t>none</t>
        </is>
      </c>
      <c r="P24">
        <f>HYPERLINK("https://knru.ru/catalog/irinovskiy-pr-d-38-2075826791/","ссылка")</f>
        <v/>
      </c>
      <c r="Q24" t="inlineStr"/>
      <c r="R24" t="inlineStr">
        <is>
          <t>Нет у нас</t>
        </is>
      </c>
      <c r="S24" t="n">
        <v>0</v>
      </c>
      <c r="T24" t="inlineStr">
        <is>
          <t>Совпадений по улице+дому не найдено</t>
        </is>
      </c>
      <c r="U24" t="n">
        <v>50</v>
      </c>
      <c r="V24" t="n">
        <v>3</v>
      </c>
      <c r="W24" t="n">
        <v>2</v>
      </c>
      <c r="X24" t="n">
        <v>27646500</v>
      </c>
      <c r="Y24" t="inlineStr"/>
      <c r="Z24" t="inlineStr"/>
      <c r="AA24" t="inlineStr">
        <is>
          <t>https://knru.ru/catalog/irinovskiy-pr-d-38-2075826791/</t>
        </is>
      </c>
      <c r="AB24" t="inlineStr">
        <is>
          <t>A</t>
        </is>
      </c>
      <c r="AC24" t="inlineStr">
        <is>
          <t>ok</t>
        </is>
      </c>
      <c r="AD24" t="inlineStr">
        <is>
          <t>Помещение свободного назначения, 78.99 м2</t>
        </is>
      </c>
      <c r="AE24" t="inlineStr">
        <is>
          <t>Помещение свободного назначения</t>
        </is>
      </c>
      <c r="AF24" t="inlineStr">
        <is>
          <t>Санкт-Петербург</t>
        </is>
      </c>
      <c r="AG24" t="inlineStr">
        <is>
          <t>Санкт-Петербург</t>
        </is>
      </c>
      <c r="AH24" t="inlineStr">
        <is>
          <t>Санкт-Петербург</t>
        </is>
      </c>
      <c r="AI24" t="inlineStr">
        <is>
          <t>Ириновский пр-кт, 38</t>
        </is>
      </c>
      <c r="AJ24" t="inlineStr">
        <is>
          <t>«Ладожская» продажа, 1-й этаж, 78.99м2, с отделкой, все городские коммуникации, 10 кВт, высота потолков: 5м, 1 вход при входе в комплекс, расположение центральное, возможность установки вывески на окна-витрины Smart Ириновский - это современный многофункциональный 2-х этажный комплекс сети Smart-центров в Санкт-Петербурге, общей площадью 5 200м2 в густонаселенном спальном районе города. Общий охват – 500 000 жителей, в непосредственной близости новые ЖК на 100 000 жителей. Доп. возможности: организация линии авто, зоны разгрузки, летней площадки. Рассрочка от застройщика до 3-х лет (без подтверждения дохода и справок). 1-ая линия одной из ключевых магистралей города на территории Красногвардейского района. Прогнозируемая проходимость более 500 чел/час. Является важным логистическим мостом города и ЛО, транспортным мостом для жителей Янино и Всеволожска. ID - 572383</t>
        </is>
      </c>
      <c r="AK24" t="inlineStr"/>
      <c r="AL24" t="inlineStr">
        <is>
          <t>на 100 000 жителей. Доп. возможности: организация линии авто, зоны разгрузки, летней площадки. Рассрочка от застройщика до 3-х лет (без подтверждения дохода и справок). 1-ая линия одной из ключевых магистралей города на территории Красногвардейского района. Прогнозируемая проходимость более 500 чел/час. Является важным логистическим мостом города и ЛО, транспортным мостом для жителей Янино и Всеволожска. ID - 572383</t>
        </is>
      </c>
    </row>
    <row r="25">
      <c r="A25" t="n">
        <v>52</v>
      </c>
      <c r="B25" t="n">
        <v>3</v>
      </c>
      <c r="C25" t="n">
        <v>4</v>
      </c>
      <c r="D25" t="n">
        <v>627284695</v>
      </c>
      <c r="E25" t="inlineStr">
        <is>
          <t>Фрунзенский</t>
        </is>
      </c>
      <c r="F25" t="inlineStr">
        <is>
          <t>Бухарестская ул, 39к1</t>
        </is>
      </c>
      <c r="G25" t="n">
        <v>28.1</v>
      </c>
      <c r="H25" t="inlineStr">
        <is>
          <t>17 000 000</t>
        </is>
      </c>
      <c r="I25" t="inlineStr"/>
      <c r="J25" t="inlineStr"/>
      <c r="K25" t="inlineStr"/>
      <c r="L25" t="inlineStr"/>
      <c r="M25" t="inlineStr"/>
      <c r="N25" t="inlineStr">
        <is>
          <t>no</t>
        </is>
      </c>
      <c r="O25" t="inlineStr">
        <is>
          <t>none</t>
        </is>
      </c>
      <c r="P25">
        <f>HYPERLINK("https://knru.ru/catalog/bukharestskaya-ul-39k1-627284695/","ссылка")</f>
        <v/>
      </c>
      <c r="Q25" t="inlineStr"/>
      <c r="R25" t="inlineStr">
        <is>
          <t>Нет у нас</t>
        </is>
      </c>
      <c r="S25" t="n">
        <v>0</v>
      </c>
      <c r="T25" t="inlineStr">
        <is>
          <t>Совпадений по улице+дому не найдено</t>
        </is>
      </c>
      <c r="U25" t="n">
        <v>52</v>
      </c>
      <c r="V25" t="n">
        <v>3</v>
      </c>
      <c r="W25" t="n">
        <v>4</v>
      </c>
      <c r="X25" t="n">
        <v>17000000</v>
      </c>
      <c r="Y25" t="inlineStr"/>
      <c r="Z25" t="inlineStr"/>
      <c r="AA25" t="inlineStr">
        <is>
          <t>https://knru.ru/catalog/bukharestskaya-ul-39k1-627284695/</t>
        </is>
      </c>
      <c r="AB25" t="inlineStr">
        <is>
          <t>A</t>
        </is>
      </c>
      <c r="AC25" t="inlineStr">
        <is>
          <t>ok</t>
        </is>
      </c>
      <c r="AD25" t="inlineStr">
        <is>
          <t>Помещение свободного назначения, 28.1 м2</t>
        </is>
      </c>
      <c r="AE25" t="inlineStr">
        <is>
          <t>Помещение свободного назначения</t>
        </is>
      </c>
      <c r="AF25" t="inlineStr">
        <is>
          <t>Санкт-Петербург</t>
        </is>
      </c>
      <c r="AG25" t="inlineStr">
        <is>
          <t>Санкт-Петербург</t>
        </is>
      </c>
      <c r="AH25" t="inlineStr">
        <is>
          <t>Санкт-Петербург</t>
        </is>
      </c>
      <c r="AI25" t="inlineStr">
        <is>
          <t>Бухарестская ул, 39к1</t>
        </is>
      </c>
      <c r="AJ25" t="inlineStr">
        <is>
          <t>«Проспект Славы».  Помещение в суперпроходном месте напротив пешеходного перехода к остановкам и ТК. Отдельный вход с фасада и витринные окна обеспечивают максимальную видимость. Качественный офисный ремонт и возможность размещения рекламы на фасаде. Бесплатная парковка у помещения, включая места для грузового транспорта. Помещение обладает отличными характеристиками: высота потолков 2.6 метра, мощность электросети 5 кВт. Локация в престижном Фрунзенском районе рядом с точками притяжения: Станции метро «Проспект Славы» (6 мин.) и «Международная» (14 мин.) Остановки общественного транспорта Торговый комплекс Пешеходный переход напротив входа Идеально подойдет для: салона услуг, шоу-рума, пункта выдачи, офиса. Основные характеристики: Операция: Продажа Тип объекта: Помещение свободного назначения Площадь: 28.1 м² Цена: 17 000 000 руб. Этаж: 1 Высота потолков: 2.6 м Электроснабжение: 5 кВт Состояние: Офисная отделка Особенности: Отдельный вход, витринные окна, реклама на фасаде Парковка: Бесплатная, уличная, для грузового транспорта​​​​​​​Локация: Санкт-Петербург, Фрунзенский район, ул. Бухарестская, 39к1, 6 мин. пешком от м. Проспект Славы Звоните для просмотра и вопросов! ID - 572315</t>
        </is>
      </c>
      <c r="AK25" t="inlineStr"/>
      <c r="AL25" t="inlineStr"/>
    </row>
    <row r="26">
      <c r="A26" t="n">
        <v>53</v>
      </c>
      <c r="B26" t="n">
        <v>3</v>
      </c>
      <c r="C26" t="n">
        <v>5</v>
      </c>
      <c r="D26" t="inlineStr"/>
      <c r="E26" t="inlineStr">
        <is>
          <t>Петроградский</t>
        </is>
      </c>
      <c r="F26" t="inlineStr">
        <is>
          <t>Реки Малой Невки наб, 33а</t>
        </is>
      </c>
      <c r="G26" t="n">
        <v>1465.5</v>
      </c>
      <c r="H26" t="inlineStr">
        <is>
          <t>600 000 000</t>
        </is>
      </c>
      <c r="I26" t="inlineStr"/>
      <c r="J26" t="inlineStr"/>
      <c r="K26" t="inlineStr"/>
      <c r="L26" t="inlineStr"/>
      <c r="M26" t="inlineStr"/>
      <c r="N26" t="inlineStr">
        <is>
          <t>no</t>
        </is>
      </c>
      <c r="O26" t="inlineStr">
        <is>
          <t>none</t>
        </is>
      </c>
      <c r="P26">
        <f>HYPERLINK("https://knru.ru/catalog/reki-maloy-nevki-nab-33a/","ссылка")</f>
        <v/>
      </c>
      <c r="Q26" t="inlineStr"/>
      <c r="R26" t="inlineStr">
        <is>
          <t>Нет у нас</t>
        </is>
      </c>
      <c r="S26" t="n">
        <v>0</v>
      </c>
      <c r="T26" t="inlineStr">
        <is>
          <t>Совпадений по улице+дому не найдено</t>
        </is>
      </c>
      <c r="U26" t="n">
        <v>53</v>
      </c>
      <c r="V26" t="n">
        <v>3</v>
      </c>
      <c r="W26" t="n">
        <v>5</v>
      </c>
      <c r="X26" t="n">
        <v>600000000</v>
      </c>
      <c r="Y26" t="inlineStr"/>
      <c r="Z26" t="inlineStr"/>
      <c r="AA26" t="inlineStr">
        <is>
          <t>https://knru.ru/catalog/reki-maloy-nevki-nab-33a/</t>
        </is>
      </c>
      <c r="AB26" t="inlineStr">
        <is>
          <t>A</t>
        </is>
      </c>
      <c r="AC26" t="inlineStr">
        <is>
          <t>ok</t>
        </is>
      </c>
      <c r="AD26" t="inlineStr">
        <is>
          <t>1465.5 м2</t>
        </is>
      </c>
      <c r="AE26" t="inlineStr"/>
      <c r="AF26" t="inlineStr">
        <is>
          <t>Санкт-Петербург</t>
        </is>
      </c>
      <c r="AG26" t="inlineStr">
        <is>
          <t>Санкт-Петербург</t>
        </is>
      </c>
      <c r="AH26" t="inlineStr">
        <is>
          <t>Санкт-Петербург</t>
        </is>
      </c>
      <c r="AI26" t="inlineStr">
        <is>
          <t>Реки Малой Невки наб, 33а</t>
        </is>
      </c>
      <c r="AJ26" t="inlineStr">
        <is>
          <t>Чкаловская</t>
        </is>
      </c>
      <c r="AK26" t="inlineStr"/>
      <c r="AL26" t="inlineStr">
        <is>
          <t>iD Murino III , 1</t>
        </is>
      </c>
    </row>
    <row r="27">
      <c r="A27" t="n">
        <v>54</v>
      </c>
      <c r="B27" t="n">
        <v>3</v>
      </c>
      <c r="C27" t="n">
        <v>6</v>
      </c>
      <c r="D27" t="inlineStr"/>
      <c r="E27" t="inlineStr">
        <is>
          <t>Адмиралтейский</t>
        </is>
      </c>
      <c r="F27" t="inlineStr">
        <is>
          <t>Серпуховская ул, 37 Б</t>
        </is>
      </c>
      <c r="G27" t="n">
        <v>1322.6</v>
      </c>
      <c r="H27" t="inlineStr">
        <is>
          <t>240 000 000</t>
        </is>
      </c>
      <c r="I27" t="inlineStr"/>
      <c r="J27" t="inlineStr"/>
      <c r="K27" t="inlineStr"/>
      <c r="L27" t="inlineStr"/>
      <c r="M27" t="inlineStr"/>
      <c r="N27" t="inlineStr">
        <is>
          <t>no</t>
        </is>
      </c>
      <c r="O27" t="inlineStr">
        <is>
          <t>none</t>
        </is>
      </c>
      <c r="P27">
        <f>HYPERLINK("https://knru.ru/catalog/serpukhovskaya-ul-37-b/","ссылка")</f>
        <v/>
      </c>
      <c r="Q27" t="inlineStr"/>
      <c r="R27" t="inlineStr">
        <is>
          <t>Нет у нас</t>
        </is>
      </c>
      <c r="S27" t="n">
        <v>0</v>
      </c>
      <c r="T27" t="inlineStr">
        <is>
          <t>Совпадений по улице+дому не найдено</t>
        </is>
      </c>
      <c r="U27" t="n">
        <v>54</v>
      </c>
      <c r="V27" t="n">
        <v>3</v>
      </c>
      <c r="W27" t="n">
        <v>6</v>
      </c>
      <c r="X27" t="n">
        <v>240000000</v>
      </c>
      <c r="Y27" t="inlineStr"/>
      <c r="Z27" t="inlineStr"/>
      <c r="AA27" t="inlineStr">
        <is>
          <t>https://knru.ru/catalog/serpukhovskaya-ul-37-b/</t>
        </is>
      </c>
      <c r="AB27" t="inlineStr">
        <is>
          <t>A</t>
        </is>
      </c>
      <c r="AC27" t="inlineStr">
        <is>
          <t>ok</t>
        </is>
      </c>
      <c r="AD27" t="inlineStr">
        <is>
          <t>1322.6 м2</t>
        </is>
      </c>
      <c r="AE27" t="inlineStr"/>
      <c r="AF27" t="inlineStr">
        <is>
          <t>Санкт-Петербург</t>
        </is>
      </c>
      <c r="AG27" t="inlineStr">
        <is>
          <t>Санкт-Петербург</t>
        </is>
      </c>
      <c r="AH27" t="inlineStr">
        <is>
          <t>Санкт-Петербург</t>
        </is>
      </c>
      <c r="AI27" t="inlineStr">
        <is>
          <t>Серпуховская ул, 37 Б</t>
        </is>
      </c>
      <c r="AJ27" t="inlineStr">
        <is>
          <t>«Технологический институт». Здание в собственности, земля в долгосрочной аренде до 2055 года.  Помещения с хорошим ремонтом, готовы к использованию. Отдельно стоящее здание на 6 этажей (включая подземный уровень) предоставляет полную свободу для планирования бизнеса. Электроснабжение 62 кВт позволяет разместить любые мощности. Локация в престижном Адмиралтейском районе рядом с точками притяжения: Технологический институт, вузы, деловая инфраструктура, Исторический центр, высокая проходимость. Идеально подойдет для: офисного центра, медицинского центра, шоу-рума, частной клиники.​​​​​​​Основные характеристики: Общая площадь: 1322,6 м² 6 этажей (5 надземных + 1 подземный) Высота потолков: от 2,56 м Электроснабжение: 65 кВт Состояние: хороший ремонт Право на здание: собственность (физ. лицо) Земельный участок: аренда до 2055 года Продажа 240 000 000 руб. ID - 571878</t>
        </is>
      </c>
      <c r="AK27" t="inlineStr"/>
      <c r="AL27" t="inlineStr"/>
    </row>
    <row r="28">
      <c r="A28" t="n">
        <v>55</v>
      </c>
      <c r="B28" t="n">
        <v>3</v>
      </c>
      <c r="C28" t="n">
        <v>7</v>
      </c>
      <c r="D28" t="inlineStr"/>
      <c r="E28" t="inlineStr">
        <is>
          <t>Адмиралтейский</t>
        </is>
      </c>
      <c r="F28" t="inlineStr">
        <is>
          <t>Реки Пряжки наб, 7а</t>
        </is>
      </c>
      <c r="G28" t="n">
        <v>94.5</v>
      </c>
      <c r="H28" t="inlineStr">
        <is>
          <t>76 000 000</t>
        </is>
      </c>
      <c r="I28" t="inlineStr"/>
      <c r="J28" t="inlineStr"/>
      <c r="K28" t="inlineStr"/>
      <c r="L28" t="inlineStr"/>
      <c r="M28" t="inlineStr"/>
      <c r="N28" t="inlineStr">
        <is>
          <t>no</t>
        </is>
      </c>
      <c r="O28" t="inlineStr">
        <is>
          <t>none</t>
        </is>
      </c>
      <c r="P28">
        <f>HYPERLINK("https://knru.ru/catalog/reki-pryazhki-nab-7a/","ссылка")</f>
        <v/>
      </c>
      <c r="Q28" t="inlineStr"/>
      <c r="R28" t="inlineStr">
        <is>
          <t>Нет у нас</t>
        </is>
      </c>
      <c r="S28" t="n">
        <v>0</v>
      </c>
      <c r="T28" t="inlineStr">
        <is>
          <t>Совпадений по улице+дому не найдено</t>
        </is>
      </c>
      <c r="U28" t="n">
        <v>55</v>
      </c>
      <c r="V28" t="n">
        <v>3</v>
      </c>
      <c r="W28" t="n">
        <v>7</v>
      </c>
      <c r="X28" t="n">
        <v>76000000</v>
      </c>
      <c r="Y28" t="inlineStr"/>
      <c r="Z28" t="inlineStr"/>
      <c r="AA28" t="inlineStr">
        <is>
          <t>https://knru.ru/catalog/reki-pryazhki-nab-7a/</t>
        </is>
      </c>
      <c r="AB28" t="inlineStr">
        <is>
          <t>A</t>
        </is>
      </c>
      <c r="AC28" t="inlineStr">
        <is>
          <t>ok</t>
        </is>
      </c>
      <c r="AD28" t="inlineStr">
        <is>
          <t>Помещение свободного назначения, 94.5 м2</t>
        </is>
      </c>
      <c r="AE28" t="inlineStr">
        <is>
          <t>Помещение свободного назначения</t>
        </is>
      </c>
      <c r="AF28" t="inlineStr">
        <is>
          <t>Санкт-Петербург</t>
        </is>
      </c>
      <c r="AG28" t="inlineStr">
        <is>
          <t>Санкт-Петербург</t>
        </is>
      </c>
      <c r="AH28" t="inlineStr">
        <is>
          <t>Санкт-Петербург</t>
        </is>
      </c>
      <c r="AI28" t="inlineStr">
        <is>
          <t>Реки Пряжки наб, 7а</t>
        </is>
      </c>
      <c r="AJ28" t="inlineStr">
        <is>
          <t>Василеостровская</t>
        </is>
      </c>
      <c r="AK28" t="inlineStr"/>
      <c r="AL28" t="inlineStr"/>
    </row>
    <row r="29">
      <c r="A29" t="n">
        <v>58</v>
      </c>
      <c r="B29" t="n">
        <v>3</v>
      </c>
      <c r="C29" t="n">
        <v>10</v>
      </c>
      <c r="D29" t="n">
        <v>62</v>
      </c>
      <c r="E29" t="inlineStr">
        <is>
          <t>Кировский</t>
        </is>
      </c>
      <c r="F29" t="inlineStr">
        <is>
          <t>Стачек пр-кт, 62</t>
        </is>
      </c>
      <c r="G29" t="n">
        <v>45.1</v>
      </c>
      <c r="H29" t="inlineStr">
        <is>
          <t>10 598 500</t>
        </is>
      </c>
      <c r="I29" t="inlineStr"/>
      <c r="J29" t="inlineStr"/>
      <c r="K29" t="inlineStr"/>
      <c r="L29" t="inlineStr"/>
      <c r="M29" t="inlineStr"/>
      <c r="N29" t="inlineStr">
        <is>
          <t>no</t>
        </is>
      </c>
      <c r="O29" t="inlineStr">
        <is>
          <t>none</t>
        </is>
      </c>
      <c r="P29">
        <f>HYPERLINK("https://knru.ru/catalog/stachek-pr-kt-62/","ссылка")</f>
        <v/>
      </c>
      <c r="Q29" t="inlineStr"/>
      <c r="R29" t="inlineStr">
        <is>
          <t>Нет у нас</t>
        </is>
      </c>
      <c r="S29" t="n">
        <v>0</v>
      </c>
      <c r="T29" t="inlineStr">
        <is>
          <t>Совпадений по улице+дому не найдено</t>
        </is>
      </c>
      <c r="U29" t="n">
        <v>58</v>
      </c>
      <c r="V29" t="n">
        <v>3</v>
      </c>
      <c r="W29" t="n">
        <v>10</v>
      </c>
      <c r="X29" t="n">
        <v>10598500</v>
      </c>
      <c r="Y29" t="inlineStr"/>
      <c r="Z29" t="inlineStr"/>
      <c r="AA29" t="inlineStr">
        <is>
          <t>https://knru.ru/catalog/stachek-pr-kt-62/</t>
        </is>
      </c>
      <c r="AB29" t="inlineStr">
        <is>
          <t>A</t>
        </is>
      </c>
      <c r="AC29" t="inlineStr">
        <is>
          <t>ok</t>
        </is>
      </c>
      <c r="AD29" t="inlineStr">
        <is>
          <t>Помещение свободного назначения, 45.1 м2</t>
        </is>
      </c>
      <c r="AE29" t="inlineStr">
        <is>
          <t>Помещение свободного назначения</t>
        </is>
      </c>
      <c r="AF29" t="inlineStr">
        <is>
          <t>Санкт-Петербург</t>
        </is>
      </c>
      <c r="AG29" t="inlineStr">
        <is>
          <t>Санкт-Петербург</t>
        </is>
      </c>
      <c r="AH29" t="inlineStr">
        <is>
          <t>Санкт-Петербург</t>
        </is>
      </c>
      <c r="AI29" t="inlineStr">
        <is>
          <t>Стачек пр-кт, 62</t>
        </is>
      </c>
      <c r="AJ29" t="inlineStr">
        <is>
          <t>«Кировский завод», рядом с крупным производственным кластером и центральной магистралью Кировского района — проспектом Стачек. - 1 этаж - Площади: 45,1м2, 53,7м2, 69,8м2, 87м2, 86,1м2 - Высота потолков – 4,64м. - Витринные окна - Отдельный вход - Свободная планировка, выведенные помещения для ПУИ и санузла. Рядом с Industrial Avenir находится первый апарт-отель сети Avenir — Putilov Avenir, открытый в 2022 году, со стабильно высокой степенью загрузки независимо от сезона. Номерной фонд Industrial Avenir включает 739 апартаментов, офисные и коммерческие помещения, коворкинг, общественное выставочное пространство, подземный паркинг. Срок сдачи- 3 кв 2026г. Старт аукциона – 10 декабря 2025г. Шаг – 300 000руб. Стартовые цены: 45,1м2 – 10 598 500 ₽ 53,7м2- 11 814 000 ₽ 69,8м2- 18 148 000 ₽ 87м2- 20 010 000 ₽ 86,1м2- 21 525 000 ₽ ID - 572271</t>
        </is>
      </c>
      <c r="AK29" t="inlineStr"/>
      <c r="AL29" t="inlineStr"/>
    </row>
    <row r="30">
      <c r="A30" t="n">
        <v>68</v>
      </c>
      <c r="B30" t="n">
        <v>3</v>
      </c>
      <c r="C30" t="n">
        <v>20</v>
      </c>
      <c r="D30" t="n">
        <v>83</v>
      </c>
      <c r="E30" t="inlineStr">
        <is>
          <t>Калининский</t>
        </is>
      </c>
      <c r="F30" t="inlineStr">
        <is>
          <t>Полюстровский пр-кт, 83 И</t>
        </is>
      </c>
      <c r="G30" t="n">
        <v>6902</v>
      </c>
      <c r="H30" t="inlineStr">
        <is>
          <t>300 000 000</t>
        </is>
      </c>
      <c r="I30" t="inlineStr"/>
      <c r="J30" t="inlineStr"/>
      <c r="K30" t="inlineStr"/>
      <c r="L30" t="inlineStr"/>
      <c r="M30" t="inlineStr"/>
      <c r="N30" t="inlineStr">
        <is>
          <t>no</t>
        </is>
      </c>
      <c r="O30" t="inlineStr">
        <is>
          <t>none</t>
        </is>
      </c>
      <c r="P30">
        <f>HYPERLINK("https://knru.ru/catalog/polyustrovskiy-pr-kt-d-83/","ссылка")</f>
        <v/>
      </c>
      <c r="Q30" t="inlineStr"/>
      <c r="R30" t="inlineStr">
        <is>
          <t>Нет у нас</t>
        </is>
      </c>
      <c r="S30" t="n">
        <v>0</v>
      </c>
      <c r="T30" t="inlineStr">
        <is>
          <t>Совпадений по улице+дому не найдено</t>
        </is>
      </c>
      <c r="U30" t="n">
        <v>68</v>
      </c>
      <c r="V30" t="n">
        <v>3</v>
      </c>
      <c r="W30" t="n">
        <v>20</v>
      </c>
      <c r="X30" t="n">
        <v>300000000</v>
      </c>
      <c r="Y30" t="inlineStr"/>
      <c r="Z30" t="inlineStr"/>
      <c r="AA30" t="inlineStr">
        <is>
          <t>https://knru.ru/catalog/polyustrovskiy-pr-kt-d-83/</t>
        </is>
      </c>
      <c r="AB30" t="inlineStr">
        <is>
          <t>A</t>
        </is>
      </c>
      <c r="AC30" t="inlineStr">
        <is>
          <t>ok</t>
        </is>
      </c>
      <c r="AD30" t="inlineStr">
        <is>
          <t>Земельный участок, 6902 м2</t>
        </is>
      </c>
      <c r="AE30" t="inlineStr">
        <is>
          <t>Земельный участок</t>
        </is>
      </c>
      <c r="AF30" t="inlineStr">
        <is>
          <t>Санкт-Петербург</t>
        </is>
      </c>
      <c r="AG30" t="inlineStr">
        <is>
          <t>Санкт-Петербург</t>
        </is>
      </c>
      <c r="AH30" t="inlineStr">
        <is>
          <t>Санкт-Петербург</t>
        </is>
      </c>
      <c r="AI30" t="inlineStr">
        <is>
          <t>Полюстровский пр-кт, 83 И</t>
        </is>
      </c>
      <c r="AJ30" t="inlineStr">
        <is>
          <t>Лесная продажа, 1-й этаж, 6902м2, евростандарт, ХВС,водоотведение, 280 кВт, высота потолков: 0м, 3 входа. Назначение: без профиля - любое коммерческое использование Примечание: земельный участок в собственности присутствуют строения, сквозной проезд с Полюстровского на Блюхера, часть земельного участка в бессрочной аренде у города Продажа: 300 000 000 руб. Есть еще очень много других интересных вариантов - звоните/пишите! КNRU отвечает на сообщения максимально быстро! ID - 537279</t>
        </is>
      </c>
      <c r="AK30" t="inlineStr"/>
      <c r="AL30" t="inlineStr"/>
    </row>
    <row r="31">
      <c r="A31" t="n">
        <v>69</v>
      </c>
      <c r="B31" t="n">
        <v>3</v>
      </c>
      <c r="C31" t="n">
        <v>21</v>
      </c>
      <c r="D31" t="n">
        <v>102148619</v>
      </c>
      <c r="E31" t="inlineStr"/>
      <c r="F31" t="inlineStr">
        <is>
          <t>Мурманское шоссе 12-й км, 2А</t>
        </is>
      </c>
      <c r="G31" t="n">
        <v>2880</v>
      </c>
      <c r="H31" t="inlineStr">
        <is>
          <t>285 120 000</t>
        </is>
      </c>
      <c r="I31" t="inlineStr"/>
      <c r="J31" t="inlineStr"/>
      <c r="K31" t="inlineStr"/>
      <c r="L31" t="inlineStr"/>
      <c r="M31" t="inlineStr"/>
      <c r="N31" t="inlineStr">
        <is>
          <t>no</t>
        </is>
      </c>
      <c r="O31" t="inlineStr">
        <is>
          <t>none</t>
        </is>
      </c>
      <c r="P31">
        <f>HYPERLINK("https://knru.ru/catalog/murmanskoe-shosse-12-y-km-2a-102148619/","ссылка")</f>
        <v/>
      </c>
      <c r="Q31" t="inlineStr"/>
      <c r="R31" t="inlineStr">
        <is>
          <t>Нет у нас</t>
        </is>
      </c>
      <c r="S31" t="n">
        <v>0</v>
      </c>
      <c r="T31" t="inlineStr">
        <is>
          <t>Совпадений по улице+дому не найдено</t>
        </is>
      </c>
      <c r="U31" t="n">
        <v>69</v>
      </c>
      <c r="V31" t="n">
        <v>3</v>
      </c>
      <c r="W31" t="n">
        <v>21</v>
      </c>
      <c r="X31" t="n">
        <v>285120000</v>
      </c>
      <c r="Y31" t="inlineStr"/>
      <c r="Z31" t="inlineStr"/>
      <c r="AA31" t="inlineStr">
        <is>
          <t>https://knru.ru/catalog/murmanskoe-shosse-12-y-km-2a-102148619/</t>
        </is>
      </c>
      <c r="AB31" t="inlineStr">
        <is>
          <t>A</t>
        </is>
      </c>
      <c r="AC31" t="inlineStr">
        <is>
          <t>ok</t>
        </is>
      </c>
      <c r="AD31" t="inlineStr">
        <is>
          <t>Складское помещение, 2880 м2</t>
        </is>
      </c>
      <c r="AE31" t="inlineStr">
        <is>
          <t>Складское помещение</t>
        </is>
      </c>
      <c r="AF31" t="inlineStr">
        <is>
          <t>Ленинградская область</t>
        </is>
      </c>
      <c r="AG31" t="inlineStr">
        <is>
          <t>Всеволожский р-н</t>
        </is>
      </c>
      <c r="AH31" t="inlineStr">
        <is>
          <t>Кудрово</t>
        </is>
      </c>
      <c r="AI31" t="inlineStr">
        <is>
          <t>Мурманское шоссе 12-й км, 2А</t>
        </is>
      </c>
      <c r="AJ31" t="inlineStr"/>
      <c r="AK31" t="inlineStr"/>
      <c r="AL31" t="inlineStr"/>
    </row>
    <row r="32">
      <c r="A32" t="n">
        <v>70</v>
      </c>
      <c r="B32" t="n">
        <v>3</v>
      </c>
      <c r="C32" t="n">
        <v>22</v>
      </c>
      <c r="D32" t="n">
        <v>770059651</v>
      </c>
      <c r="E32" t="inlineStr"/>
      <c r="F32" t="inlineStr">
        <is>
          <t>Мурманское шоссе 12-й км, 2А</t>
        </is>
      </c>
      <c r="G32" t="n">
        <v>1440</v>
      </c>
      <c r="H32" t="inlineStr">
        <is>
          <t>142 560 000</t>
        </is>
      </c>
      <c r="I32" t="inlineStr"/>
      <c r="J32" t="inlineStr"/>
      <c r="K32" t="inlineStr"/>
      <c r="L32" t="inlineStr"/>
      <c r="M32" t="inlineStr"/>
      <c r="N32" t="inlineStr">
        <is>
          <t>no</t>
        </is>
      </c>
      <c r="O32" t="inlineStr">
        <is>
          <t>none</t>
        </is>
      </c>
      <c r="P32">
        <f>HYPERLINK("https://knru.ru/catalog/murmanskoe-shosse-12-y-km-2a-770059651/","ссылка")</f>
        <v/>
      </c>
      <c r="Q32" t="inlineStr"/>
      <c r="R32" t="inlineStr">
        <is>
          <t>Нет у нас</t>
        </is>
      </c>
      <c r="S32" t="n">
        <v>0</v>
      </c>
      <c r="T32" t="inlineStr">
        <is>
          <t>Совпадений по улице+дому не найдено</t>
        </is>
      </c>
      <c r="U32" t="n">
        <v>70</v>
      </c>
      <c r="V32" t="n">
        <v>3</v>
      </c>
      <c r="W32" t="n">
        <v>22</v>
      </c>
      <c r="X32" t="n">
        <v>142560000</v>
      </c>
      <c r="Y32" t="inlineStr"/>
      <c r="Z32" t="inlineStr"/>
      <c r="AA32" t="inlineStr">
        <is>
          <t>https://knru.ru/catalog/murmanskoe-shosse-12-y-km-2a-770059651/</t>
        </is>
      </c>
      <c r="AB32" t="inlineStr">
        <is>
          <t>A</t>
        </is>
      </c>
      <c r="AC32" t="inlineStr">
        <is>
          <t>ok</t>
        </is>
      </c>
      <c r="AD32" t="inlineStr">
        <is>
          <t>Складское помещение, 1440 м2</t>
        </is>
      </c>
      <c r="AE32" t="inlineStr">
        <is>
          <t>Складское помещение</t>
        </is>
      </c>
      <c r="AF32" t="inlineStr">
        <is>
          <t>Ленинградская область</t>
        </is>
      </c>
      <c r="AG32" t="inlineStr">
        <is>
          <t>Всеволожский р-н</t>
        </is>
      </c>
      <c r="AH32" t="inlineStr">
        <is>
          <t>Кудрово</t>
        </is>
      </c>
      <c r="AI32" t="inlineStr">
        <is>
          <t>Мурманское шоссе 12-й км, 2А</t>
        </is>
      </c>
      <c r="AJ32" t="inlineStr"/>
      <c r="AK32" t="inlineStr"/>
      <c r="AL32" t="inlineStr"/>
    </row>
    <row r="33">
      <c r="A33" t="n">
        <v>71</v>
      </c>
      <c r="B33" t="n">
        <v>3</v>
      </c>
      <c r="C33" t="n">
        <v>23</v>
      </c>
      <c r="D33" t="n">
        <v>30</v>
      </c>
      <c r="E33" t="inlineStr"/>
      <c r="F33" t="inlineStr">
        <is>
          <t>Швецова ул, 30</t>
        </is>
      </c>
      <c r="G33" t="n">
        <v>893</v>
      </c>
      <c r="H33" t="inlineStr">
        <is>
          <t>77 000 000</t>
        </is>
      </c>
      <c r="I33" t="inlineStr"/>
      <c r="J33" t="inlineStr"/>
      <c r="K33" t="inlineStr"/>
      <c r="L33" t="inlineStr"/>
      <c r="M33" t="inlineStr"/>
      <c r="N33" t="inlineStr">
        <is>
          <t>no</t>
        </is>
      </c>
      <c r="O33" t="inlineStr">
        <is>
          <t>none</t>
        </is>
      </c>
      <c r="P33">
        <f>HYPERLINK("https://knru.ru/catalog/shvetsova-ul-30/","ссылка")</f>
        <v/>
      </c>
      <c r="Q33" t="inlineStr"/>
      <c r="R33" t="inlineStr">
        <is>
          <t>Нет у нас</t>
        </is>
      </c>
      <c r="S33" t="n">
        <v>0</v>
      </c>
      <c r="T33" t="inlineStr">
        <is>
          <t>Совпадений по улице+дому не найдено</t>
        </is>
      </c>
      <c r="U33" t="n">
        <v>71</v>
      </c>
      <c r="V33" t="n">
        <v>3</v>
      </c>
      <c r="W33" t="n">
        <v>23</v>
      </c>
      <c r="X33" t="n">
        <v>77000000</v>
      </c>
      <c r="Y33" t="inlineStr"/>
      <c r="Z33" t="inlineStr"/>
      <c r="AA33" t="inlineStr">
        <is>
          <t>https://knru.ru/catalog/shvetsova-ul-30/</t>
        </is>
      </c>
      <c r="AB33" t="inlineStr">
        <is>
          <t>A</t>
        </is>
      </c>
      <c r="AC33" t="inlineStr">
        <is>
          <t>ok</t>
        </is>
      </c>
      <c r="AD33" t="inlineStr">
        <is>
          <t>Складское помещение, 893 м2</t>
        </is>
      </c>
      <c r="AE33" t="inlineStr">
        <is>
          <t>Складское помещение</t>
        </is>
      </c>
      <c r="AF33" t="inlineStr">
        <is>
          <t>Санкт-Петербург</t>
        </is>
      </c>
      <c r="AG33" t="inlineStr">
        <is>
          <t>Санкт-Петербург</t>
        </is>
      </c>
      <c r="AH33" t="inlineStr">
        <is>
          <t>Санкт-Петербург</t>
        </is>
      </c>
      <c r="AI33" t="inlineStr">
        <is>
          <t>Швецова ул, 30</t>
        </is>
      </c>
      <c r="AJ33" t="inlineStr">
        <is>
          <t>Балтийская</t>
        </is>
      </c>
      <c r="AK33" t="inlineStr"/>
      <c r="AL33" t="inlineStr"/>
    </row>
    <row r="34">
      <c r="A34" t="n">
        <v>72</v>
      </c>
      <c r="B34" t="n">
        <v>3</v>
      </c>
      <c r="C34" t="n">
        <v>24</v>
      </c>
      <c r="D34" t="inlineStr"/>
      <c r="E34" t="inlineStr">
        <is>
          <t>Красногвардейский</t>
        </is>
      </c>
      <c r="F34" t="inlineStr">
        <is>
          <t>Республиканская ул, 8А</t>
        </is>
      </c>
      <c r="G34" t="n">
        <v>728.4</v>
      </c>
      <c r="H34" t="inlineStr">
        <is>
          <t>158 000 000</t>
        </is>
      </c>
      <c r="I34" t="inlineStr"/>
      <c r="J34" t="inlineStr"/>
      <c r="K34" t="inlineStr"/>
      <c r="L34" t="inlineStr"/>
      <c r="M34" t="inlineStr"/>
      <c r="N34" t="inlineStr">
        <is>
          <t>no</t>
        </is>
      </c>
      <c r="O34" t="inlineStr">
        <is>
          <t>none</t>
        </is>
      </c>
      <c r="P34">
        <f>HYPERLINK("https://knru.ru/catalog/respublikanskaya-ul-8a/","ссылка")</f>
        <v/>
      </c>
      <c r="Q34" t="inlineStr"/>
      <c r="R34" t="inlineStr">
        <is>
          <t>Нет у нас</t>
        </is>
      </c>
      <c r="S34" t="n">
        <v>0</v>
      </c>
      <c r="T34" t="inlineStr">
        <is>
          <t>Совпадений по улице+дому не найдено</t>
        </is>
      </c>
      <c r="U34" t="n">
        <v>72</v>
      </c>
      <c r="V34" t="n">
        <v>3</v>
      </c>
      <c r="W34" t="n">
        <v>24</v>
      </c>
      <c r="X34" t="n">
        <v>158000000</v>
      </c>
      <c r="Y34" t="inlineStr"/>
      <c r="Z34" t="inlineStr"/>
      <c r="AA34" t="inlineStr">
        <is>
          <t>https://knru.ru/catalog/respublikanskaya-ul-8a/</t>
        </is>
      </c>
      <c r="AB34" t="inlineStr">
        <is>
          <t>A</t>
        </is>
      </c>
      <c r="AC34" t="inlineStr">
        <is>
          <t>ok</t>
        </is>
      </c>
      <c r="AD34" t="inlineStr">
        <is>
          <t>Готовый арендный бизнес, 728.4 м2</t>
        </is>
      </c>
      <c r="AE34" t="inlineStr">
        <is>
          <t>Готовый арендный бизнес</t>
        </is>
      </c>
      <c r="AF34" t="inlineStr">
        <is>
          <t>Санкт-Петербург</t>
        </is>
      </c>
      <c r="AG34" t="inlineStr">
        <is>
          <t>Санкт-Петербург</t>
        </is>
      </c>
      <c r="AH34" t="inlineStr">
        <is>
          <t>Санкт-Петербург</t>
        </is>
      </c>
      <c r="AI34" t="inlineStr">
        <is>
          <t>Республиканская ул, 8А</t>
        </is>
      </c>
      <c r="AJ34" t="inlineStr">
        <is>
          <t>НОВОЧЕРКАССКАЯ! Продаётся отдельно стоящее офисное здание общей площадью 728.4 м². Объект расположен в Санкт-Петербурге в 5 минутах ходьбы от станции метро «Новочеркасская». Стоимость продажи — 156 000 000 рублей. Уникальное кирпичное здание на 4 этажа с кабинетной планировкой и возможностью надстройки. Полная реконструкция с заменой всех коммуникаций обеспечивает современный уровень комфорта. Отдельно стоящее расположение с собственной парковкой предоставляет полную автономность. Помещение обладает отличными характеристиками: высота потолков не указана, вентиляция: кондиционеры в отдельных помещениях. Локация в престижном центре Санкт-Петербурга рядом с точками притяжения: Станция метро «Новочеркасская» Набережная Невы Развитая инфраструктура центра города Идеально подойдет для: офисного центра, образовательного учреждения, медицинской клиники, корпоративного представительства. Основные характеристики: Операция: Продажа Тип объекта: Отдельно стоящее офисное здание Площадь: 728.4 м² Цена: 156 000 000 руб. Этажность: 4 этажа Строительные характеристики: Кирпичные стены, возможность надстройки Коммуникации: Центральное отопление, канализация, электричество 50 кВт, бойлер 300 л Особенности: Парковка (4 закрепленных места), системы безопасности, кондиционеры Состояние: Реконструкция 10 лет назад Локация: Санкт-Петербург, 5 мин. пешком от м. Новочеркасская Звоните для просмотра и вопросов! ID - 572039</t>
        </is>
      </c>
      <c r="AK34" t="inlineStr"/>
      <c r="AL34" t="inlineStr"/>
    </row>
    <row r="35">
      <c r="A35" t="n">
        <v>75</v>
      </c>
      <c r="B35" t="n">
        <v>4</v>
      </c>
      <c r="C35" t="n">
        <v>3</v>
      </c>
      <c r="D35" t="n">
        <v>17</v>
      </c>
      <c r="E35" t="inlineStr">
        <is>
          <t>Всеволожский</t>
        </is>
      </c>
      <c r="F35" t="inlineStr">
        <is>
          <t>Воронцовский б-р, 17</t>
        </is>
      </c>
      <c r="G35" t="n">
        <v>149</v>
      </c>
      <c r="H35" t="inlineStr">
        <is>
          <t>62 000 000</t>
        </is>
      </c>
      <c r="I35" t="inlineStr"/>
      <c r="J35" t="inlineStr"/>
      <c r="K35" t="inlineStr"/>
      <c r="L35" t="inlineStr"/>
      <c r="M35" t="inlineStr"/>
      <c r="N35" t="inlineStr">
        <is>
          <t>no</t>
        </is>
      </c>
      <c r="O35" t="inlineStr">
        <is>
          <t>none</t>
        </is>
      </c>
      <c r="P35">
        <f>HYPERLINK("https://knru.ru/catalog/vorontsovskiy-b-r-17/","ссылка")</f>
        <v/>
      </c>
      <c r="Q35" t="inlineStr"/>
      <c r="R35" t="inlineStr">
        <is>
          <t>Нет у нас</t>
        </is>
      </c>
      <c r="S35" t="n">
        <v>0</v>
      </c>
      <c r="T35" t="inlineStr">
        <is>
          <t>Совпадений по улице+дому не найдено</t>
        </is>
      </c>
      <c r="U35" t="n">
        <v>75</v>
      </c>
      <c r="V35" t="n">
        <v>4</v>
      </c>
      <c r="W35" t="n">
        <v>3</v>
      </c>
      <c r="X35" t="n">
        <v>62000000</v>
      </c>
      <c r="Y35" t="inlineStr"/>
      <c r="Z35" t="inlineStr"/>
      <c r="AA35" t="inlineStr">
        <is>
          <t>https://knru.ru/catalog/vorontsovskiy-b-r-17/</t>
        </is>
      </c>
      <c r="AB35" t="inlineStr">
        <is>
          <t>A</t>
        </is>
      </c>
      <c r="AC35" t="inlineStr">
        <is>
          <t>ok</t>
        </is>
      </c>
      <c r="AD35" t="inlineStr">
        <is>
          <t>Помещение свободного назначения, 149 м2</t>
        </is>
      </c>
      <c r="AE35" t="inlineStr">
        <is>
          <t>Помещение свободного назначения</t>
        </is>
      </c>
      <c r="AF35" t="inlineStr">
        <is>
          <t>Ленинградская область</t>
        </is>
      </c>
      <c r="AG35" t="inlineStr">
        <is>
          <t>Всеволожский р-н</t>
        </is>
      </c>
      <c r="AH35" t="inlineStr">
        <is>
          <t>Мурино</t>
        </is>
      </c>
      <c r="AI35" t="inlineStr">
        <is>
          <t>Воронцовский б-р, 17</t>
        </is>
      </c>
      <c r="AJ35" t="inlineStr">
        <is>
          <t>Девяткино. 1 этаж. Первая линия. Площадь: 149м2. Хорошее состояние. Все коммуникации. 69кВт. Окна по фасаду. 2 входа.​​​​​​Трафик, огромный жилой массив, в окружении сложившаяся инфраструктура района.  Арендатор: аптека Здравсити, пункт выдачи Wildberries. МАП: 320 00 руб. в мес. ID - 571912</t>
        </is>
      </c>
      <c r="AK35" t="inlineStr"/>
      <c r="AL35" t="inlineStr">
        <is>
          <t>ID Кудрово</t>
        </is>
      </c>
    </row>
    <row r="36">
      <c r="A36" t="n">
        <v>77</v>
      </c>
      <c r="B36" t="n">
        <v>4</v>
      </c>
      <c r="C36" t="n">
        <v>5</v>
      </c>
      <c r="D36" t="n">
        <v>1415112271</v>
      </c>
      <c r="E36" t="inlineStr">
        <is>
          <t>Красногвардейский</t>
        </is>
      </c>
      <c r="F36" t="inlineStr">
        <is>
          <t>Гранитная ул, 42 А</t>
        </is>
      </c>
      <c r="G36" t="n">
        <v>1339.7</v>
      </c>
      <c r="H36" t="inlineStr">
        <is>
          <t>385 819 200</t>
        </is>
      </c>
      <c r="I36" t="inlineStr"/>
      <c r="J36" t="inlineStr"/>
      <c r="K36" t="inlineStr"/>
      <c r="L36" t="inlineStr"/>
      <c r="M36" t="inlineStr"/>
      <c r="N36" t="inlineStr">
        <is>
          <t>no</t>
        </is>
      </c>
      <c r="O36" t="inlineStr">
        <is>
          <t>none</t>
        </is>
      </c>
      <c r="P36">
        <f>HYPERLINK("https://knru.ru/catalog/ul-granitnaya-1415112271/","ссылка")</f>
        <v/>
      </c>
      <c r="Q36" t="inlineStr"/>
      <c r="R36" t="inlineStr">
        <is>
          <t>Нет у нас</t>
        </is>
      </c>
      <c r="S36" t="n">
        <v>0</v>
      </c>
      <c r="T36" t="inlineStr">
        <is>
          <t>Совпадений по улице+дому не найдено</t>
        </is>
      </c>
      <c r="U36" t="n">
        <v>77</v>
      </c>
      <c r="V36" t="n">
        <v>4</v>
      </c>
      <c r="W36" t="n">
        <v>5</v>
      </c>
      <c r="X36" t="n">
        <v>385819200</v>
      </c>
      <c r="Y36" t="inlineStr"/>
      <c r="Z36" t="inlineStr"/>
      <c r="AA36" t="inlineStr">
        <is>
          <t>https://knru.ru/catalog/ul-granitnaya-1415112271/</t>
        </is>
      </c>
      <c r="AB36" t="inlineStr">
        <is>
          <t>A</t>
        </is>
      </c>
      <c r="AC36" t="inlineStr">
        <is>
          <t>ok</t>
        </is>
      </c>
      <c r="AD36" t="inlineStr">
        <is>
          <t>Помещение свободного назначения, 1339.65 м2</t>
        </is>
      </c>
      <c r="AE36" t="inlineStr">
        <is>
          <t>Помещение свободного назначения</t>
        </is>
      </c>
      <c r="AF36" t="inlineStr">
        <is>
          <t>Санкт-Петербург</t>
        </is>
      </c>
      <c r="AG36" t="inlineStr">
        <is>
          <t>Санкт-Петербург</t>
        </is>
      </c>
      <c r="AH36" t="inlineStr">
        <is>
          <t>Санкт-Петербург</t>
        </is>
      </c>
      <c r="AI36" t="inlineStr">
        <is>
          <t>Гранитная ул, 42 А</t>
        </is>
      </c>
      <c r="AJ36" t="inlineStr">
        <is>
          <t>«Ладожская» продажа, весь 1-й этаж целиком, 1 339,65 м2, все городские коммуникации, высота потолков: 3,7м 4-х этажный медицинский кластер SMC, который располагается в перспективном районе с уже устоявшейся инфраструктурой. Помимо большого количества общественных мест вокруг локации ведется активная застройка жилыми микрорайонами у метро Ладожская и на Октябрьской набережной. Назначение помещений: торговля товарами и предоставление услуг. Возможность объединения помещений 1-4 этажа. Грузопассажирский лифт. Предусмотрена инфраструктура для лиц с ограниченными возможностями. Системы вентиляции и энергообеспечения соответствуют современным техническим требованиям.  Арендатор: медицинский центр. Самый стабильный из всех типов арендаторов. Долгосрочный договор: от 10 лет. Индексация арендной ставки: 10%/год. МАП в 1 год: 2000р./м2. ОКУПАЕМОСТЬ: 8,3 ЛЕТ.  ID - 571874</t>
        </is>
      </c>
      <c r="AK36" t="inlineStr"/>
      <c r="AL36" t="inlineStr"/>
    </row>
    <row r="37">
      <c r="A37" t="n">
        <v>78</v>
      </c>
      <c r="B37" t="n">
        <v>4</v>
      </c>
      <c r="C37" t="n">
        <v>6</v>
      </c>
      <c r="D37" t="n">
        <v>1764319219</v>
      </c>
      <c r="E37" t="inlineStr">
        <is>
          <t>Петроградский</t>
        </is>
      </c>
      <c r="F37" t="inlineStr">
        <is>
          <t>Добролюбова пр-кт, 18а А</t>
        </is>
      </c>
      <c r="G37" t="n">
        <v>414</v>
      </c>
      <c r="H37" t="inlineStr">
        <is>
          <t>148 212 000</t>
        </is>
      </c>
      <c r="I37" t="inlineStr"/>
      <c r="J37" t="inlineStr"/>
      <c r="K37" t="inlineStr"/>
      <c r="L37" t="inlineStr"/>
      <c r="M37" t="inlineStr"/>
      <c r="N37" t="inlineStr">
        <is>
          <t>no</t>
        </is>
      </c>
      <c r="O37" t="inlineStr">
        <is>
          <t>none</t>
        </is>
      </c>
      <c r="P37">
        <f>HYPERLINK("https://knru.ru/catalog/ul-dobrolyubova-d-18a-1764319219/","ссылка")</f>
        <v/>
      </c>
      <c r="Q37" t="inlineStr"/>
      <c r="R37" t="inlineStr">
        <is>
          <t>Нет у нас</t>
        </is>
      </c>
      <c r="S37" t="n">
        <v>0</v>
      </c>
      <c r="T37" t="inlineStr">
        <is>
          <t>Совпадений по улице+дому не найдено</t>
        </is>
      </c>
      <c r="U37" t="n">
        <v>78</v>
      </c>
      <c r="V37" t="n">
        <v>4</v>
      </c>
      <c r="W37" t="n">
        <v>6</v>
      </c>
      <c r="X37" t="n">
        <v>148212000</v>
      </c>
      <c r="Y37" t="inlineStr"/>
      <c r="Z37" t="inlineStr"/>
      <c r="AA37" t="inlineStr">
        <is>
          <t>https://knru.ru/catalog/ul-dobrolyubova-d-18a-1764319219/</t>
        </is>
      </c>
      <c r="AB37" t="inlineStr">
        <is>
          <t>A</t>
        </is>
      </c>
      <c r="AC37" t="inlineStr">
        <is>
          <t>ok</t>
        </is>
      </c>
      <c r="AD37" t="inlineStr">
        <is>
          <t>Помещение свободного назначения, 414 м2</t>
        </is>
      </c>
      <c r="AE37" t="inlineStr">
        <is>
          <t>Помещение свободного назначения</t>
        </is>
      </c>
      <c r="AF37" t="inlineStr">
        <is>
          <t>Санкт-Петербург</t>
        </is>
      </c>
      <c r="AG37" t="inlineStr">
        <is>
          <t>Санкт-Петербург</t>
        </is>
      </c>
      <c r="AH37" t="inlineStr">
        <is>
          <t>Санкт-Петербург</t>
        </is>
      </c>
      <c r="AI37" t="inlineStr">
        <is>
          <t>Добролюбова пр-кт, 18а А</t>
        </is>
      </c>
      <c r="AJ37" t="inlineStr">
        <is>
          <t>Спортивная Продажа премиального помещения площадью 414 м² на первом этаже элитного клубного дома ZEN GARDEN. Объект расположен в Санкт-Петербурге, Петроградский район, ул. Добролюбова, 18а, в 2 минутах ходьбы от станции метро «Спортивная». Продажа - 148 212 000 руб. Помещение расположено в строящемся комплексе с датой сдачи в 1 квартале 2026 года. Высота потолков 4 метра и отделка под ключ позволяют создать уникальное пространство по индивидуальному проекту. Развитая инфраструктура включает спа-салон, бассейн, фитнес-зал и рестораны, что обеспечивает комфорт премиум-класса. Помещение обладает отличными характеристиками: высота потолков 4 метра, вентиляция: центральная приточно-вытяжная. Локация в престижном Петроградском районе рядом с точками притяжения: Станция метро «Спортивная», Парк «Тучков Буян», Спорткомплекс «Юбилейный», Исторический центр города Основные характеристики: Операция: Продажа Тип объекта: помещение свободного назначения Площадь: 414 м² Цена: 148 212 000 руб. Этаж: 1 Высота потолков: 4 м Состояние: Под отделку Коммуникации: Все городские Электроснабжение: По запросу Инфраструктура: Спа-салон, бассейн, фитнес-зал, рестораны Срок сдачи: 1 квартал 2026 года Локация: Санкт-Петербург, Петроградский район, ул. Добролюбова, 18а, 2 мин. пешком от м. Спортивная Звоните для просмотра и вопросов! ID - 571755</t>
        </is>
      </c>
      <c r="AK37" t="inlineStr"/>
      <c r="AL37" t="inlineStr"/>
    </row>
    <row r="38">
      <c r="A38" t="n">
        <v>79</v>
      </c>
      <c r="B38" t="n">
        <v>4</v>
      </c>
      <c r="C38" t="n">
        <v>7</v>
      </c>
      <c r="D38" t="n">
        <v>523729843</v>
      </c>
      <c r="E38" t="inlineStr">
        <is>
          <t>Петроградский</t>
        </is>
      </c>
      <c r="F38" t="inlineStr">
        <is>
          <t>Добролюбова пр-кт, 18а А</t>
        </is>
      </c>
      <c r="G38" t="n">
        <v>414</v>
      </c>
      <c r="H38" t="inlineStr">
        <is>
          <t>148 212 000</t>
        </is>
      </c>
      <c r="I38" t="inlineStr"/>
      <c r="J38" t="inlineStr"/>
      <c r="K38" t="inlineStr"/>
      <c r="L38" t="inlineStr"/>
      <c r="M38" t="inlineStr"/>
      <c r="N38" t="inlineStr">
        <is>
          <t>no</t>
        </is>
      </c>
      <c r="O38" t="inlineStr">
        <is>
          <t>none</t>
        </is>
      </c>
      <c r="P38">
        <f>HYPERLINK("https://knru.ru/catalog/ul-dobrolyubova-d-18a-523729843/","ссылка")</f>
        <v/>
      </c>
      <c r="Q38" t="inlineStr"/>
      <c r="R38" t="inlineStr">
        <is>
          <t>Нет у нас</t>
        </is>
      </c>
      <c r="S38" t="n">
        <v>0</v>
      </c>
      <c r="T38" t="inlineStr">
        <is>
          <t>Совпадений по улице+дому не найдено</t>
        </is>
      </c>
      <c r="U38" t="n">
        <v>79</v>
      </c>
      <c r="V38" t="n">
        <v>4</v>
      </c>
      <c r="W38" t="n">
        <v>7</v>
      </c>
      <c r="X38" t="n">
        <v>148212000</v>
      </c>
      <c r="Y38" t="inlineStr"/>
      <c r="Z38" t="inlineStr"/>
      <c r="AA38" t="inlineStr">
        <is>
          <t>https://knru.ru/catalog/ul-dobrolyubova-d-18a-523729843/</t>
        </is>
      </c>
      <c r="AB38" t="inlineStr">
        <is>
          <t>A</t>
        </is>
      </c>
      <c r="AC38" t="inlineStr">
        <is>
          <t>ok</t>
        </is>
      </c>
      <c r="AD38" t="inlineStr">
        <is>
          <t>Помещение свободного назначения, 414 м2</t>
        </is>
      </c>
      <c r="AE38" t="inlineStr">
        <is>
          <t>Помещение свободного назначения</t>
        </is>
      </c>
      <c r="AF38" t="inlineStr">
        <is>
          <t>Санкт-Петербург</t>
        </is>
      </c>
      <c r="AG38" t="inlineStr">
        <is>
          <t>Санкт-Петербург</t>
        </is>
      </c>
      <c r="AH38" t="inlineStr">
        <is>
          <t>Санкт-Петербург</t>
        </is>
      </c>
      <c r="AI38" t="inlineStr">
        <is>
          <t>Добролюбова пр-кт, 18а А</t>
        </is>
      </c>
      <c r="AJ38" t="inlineStr">
        <is>
          <t>Спортивная Продажа премиального помещения площадью 414 м² на первом этаже элитного клубного дома ZEN GARDEN. Объект расположен в Санкт-Петербурге, Петроградский район, ул. Добролюбова, 18а, в 2 минутах ходьбы от станции метро «Спортивная». Продажа - 148 212 000 руб. Помещение расположено в строящемся комплексе с датой сдачи в 1 квартале 2026 года. Высота потолков 4 метра и отделка под ключ позволяют создать уникальное пространство по индивидуальному проекту. Развитая инфраструктура включает спа-салон, бассейн, фитнес-зал и рестораны, что обеспечивает комфорт премиум-класса. Помещение обладает отличными характеристиками: высота потолков 4 метра, вентиляция: центральная приточно-вытяжная. Локация в престижном Петроградском районе рядом с точками притяжения: Станция метро «Спортивная», Парк «Тучков Буян», Спорткомплекс «Юбилейный», Исторический центр города Основные характеристики: Операция: Продажа Тип объекта: помещение свободного назначения Площадь: 414 м² Цена: 148 212 000 руб. Этаж: 1 Высота потолков: 4 м Состояние: Под отделку Коммуникации: Все городские Электроснабжение: По запросу Инфраструктура: Спа-салон, бассейн, фитнес-зал, рестораны Срок сдачи: 1 квартал 2026 года Локация: Санкт-Петербург, Петроградский район, ул. Добролюбова, 18а, 2 мин. пешком от м. Спортивная Звоните для просмотра и вопросов! ID - 571754</t>
        </is>
      </c>
      <c r="AK38" t="inlineStr"/>
      <c r="AL38" t="inlineStr"/>
    </row>
    <row r="39">
      <c r="A39" t="n">
        <v>80</v>
      </c>
      <c r="B39" t="n">
        <v>4</v>
      </c>
      <c r="C39" t="n">
        <v>8</v>
      </c>
      <c r="D39" t="n">
        <v>1256883616</v>
      </c>
      <c r="E39" t="inlineStr">
        <is>
          <t>Приморский</t>
        </is>
      </c>
      <c r="F39" t="inlineStr">
        <is>
          <t>Ланское ш, 65литераА</t>
        </is>
      </c>
      <c r="G39" t="n">
        <v>49</v>
      </c>
      <c r="H39" t="inlineStr">
        <is>
          <t>26 000 000</t>
        </is>
      </c>
      <c r="I39" t="inlineStr"/>
      <c r="J39" t="inlineStr"/>
      <c r="K39" t="inlineStr"/>
      <c r="L39" t="inlineStr"/>
      <c r="M39" t="inlineStr"/>
      <c r="N39" t="inlineStr">
        <is>
          <t>no</t>
        </is>
      </c>
      <c r="O39" t="inlineStr">
        <is>
          <t>none</t>
        </is>
      </c>
      <c r="P39">
        <f>HYPERLINK("https://knru.ru/catalog/lanskoe-sh-65literaa-1256883616/","ссылка")</f>
        <v/>
      </c>
      <c r="Q39" t="inlineStr"/>
      <c r="R39" t="inlineStr">
        <is>
          <t>Нет у нас</t>
        </is>
      </c>
      <c r="S39" t="n">
        <v>0</v>
      </c>
      <c r="T39" t="inlineStr">
        <is>
          <t>Совпадений по улице+дому не найдено</t>
        </is>
      </c>
      <c r="U39" t="n">
        <v>80</v>
      </c>
      <c r="V39" t="n">
        <v>4</v>
      </c>
      <c r="W39" t="n">
        <v>8</v>
      </c>
      <c r="X39" t="n">
        <v>26000000</v>
      </c>
      <c r="Y39" t="inlineStr"/>
      <c r="Z39" t="inlineStr"/>
      <c r="AA39" t="inlineStr">
        <is>
          <t>https://knru.ru/catalog/lanskoe-sh-65literaa-1256883616/</t>
        </is>
      </c>
      <c r="AB39" t="inlineStr">
        <is>
          <t>A</t>
        </is>
      </c>
      <c r="AC39" t="inlineStr">
        <is>
          <t>ok</t>
        </is>
      </c>
      <c r="AD39" t="inlineStr">
        <is>
          <t>Помещение свободного назначения, 49 м2</t>
        </is>
      </c>
      <c r="AE39" t="inlineStr">
        <is>
          <t>Помещение свободного назначения</t>
        </is>
      </c>
      <c r="AF39" t="inlineStr">
        <is>
          <t>Санкт-Петербург</t>
        </is>
      </c>
      <c r="AG39" t="inlineStr">
        <is>
          <t>Санкт-Петербург</t>
        </is>
      </c>
      <c r="AH39" t="inlineStr">
        <is>
          <t>Санкт-Петербург</t>
        </is>
      </c>
      <c r="AI39" t="inlineStr">
        <is>
          <t>Ланское ш, 65литераА</t>
        </is>
      </c>
      <c r="AJ39" t="inlineStr">
        <is>
          <t>Черная Речка, Пионерская, Лесная. Первая линия. 1 этаж. Площадь: 49м2. Все коммуникации. Хорошее состояние. 25кВт. 1 вход. Витринное остекление по фасаду. Развитый спальный район, активный пешеходный трафик. Арендатор: - Пивточка» - 40.2м² Арендная ставка – 150 000 руб./мес. + КУ Индексация – 5% ежегодная односторонняя Срок аренды – 11 месяцев.  - Помещение без арендатора – 8,6м² Потенциальная арендная ставка – 60 000 руб./мес. ID - 571766</t>
        </is>
      </c>
      <c r="AK39" t="inlineStr"/>
      <c r="AL39" t="inlineStr"/>
    </row>
    <row r="40">
      <c r="A40" t="n">
        <v>81</v>
      </c>
      <c r="B40" t="n">
        <v>4</v>
      </c>
      <c r="C40" t="n">
        <v>9</v>
      </c>
      <c r="D40" t="n">
        <v>365118082</v>
      </c>
      <c r="E40" t="inlineStr">
        <is>
          <t>Приморский</t>
        </is>
      </c>
      <c r="F40" t="inlineStr">
        <is>
          <t>Ланское ш, 65литераА</t>
        </is>
      </c>
      <c r="G40" t="n">
        <v>137</v>
      </c>
      <c r="H40" t="inlineStr">
        <is>
          <t>43 000 000</t>
        </is>
      </c>
      <c r="I40" t="inlineStr"/>
      <c r="J40" t="inlineStr"/>
      <c r="K40" t="inlineStr"/>
      <c r="L40" t="inlineStr"/>
      <c r="M40" t="inlineStr"/>
      <c r="N40" t="inlineStr">
        <is>
          <t>no</t>
        </is>
      </c>
      <c r="O40" t="inlineStr">
        <is>
          <t>none</t>
        </is>
      </c>
      <c r="P40">
        <f>HYPERLINK("https://knru.ru/catalog/lanskoe-sh-65literaa-365118082/","ссылка")</f>
        <v/>
      </c>
      <c r="Q40" t="inlineStr"/>
      <c r="R40" t="inlineStr">
        <is>
          <t>Нет у нас</t>
        </is>
      </c>
      <c r="S40" t="n">
        <v>0</v>
      </c>
      <c r="T40" t="inlineStr">
        <is>
          <t>Совпадений по улице+дому не найдено</t>
        </is>
      </c>
      <c r="U40" t="n">
        <v>81</v>
      </c>
      <c r="V40" t="n">
        <v>4</v>
      </c>
      <c r="W40" t="n">
        <v>9</v>
      </c>
      <c r="X40" t="n">
        <v>43000000</v>
      </c>
      <c r="Y40" t="inlineStr"/>
      <c r="Z40" t="inlineStr"/>
      <c r="AA40" t="inlineStr">
        <is>
          <t>https://knru.ru/catalog/lanskoe-sh-65literaa-365118082/</t>
        </is>
      </c>
      <c r="AB40" t="inlineStr">
        <is>
          <t>A</t>
        </is>
      </c>
      <c r="AC40" t="inlineStr">
        <is>
          <t>ok</t>
        </is>
      </c>
      <c r="AD40" t="inlineStr">
        <is>
          <t>Помещение свободного назначения, 137 м2</t>
        </is>
      </c>
      <c r="AE40" t="inlineStr">
        <is>
          <t>Помещение свободного назначения</t>
        </is>
      </c>
      <c r="AF40" t="inlineStr">
        <is>
          <t>Санкт-Петербург</t>
        </is>
      </c>
      <c r="AG40" t="inlineStr">
        <is>
          <t>Санкт-Петербург</t>
        </is>
      </c>
      <c r="AH40" t="inlineStr">
        <is>
          <t>Санкт-Петербург</t>
        </is>
      </c>
      <c r="AI40" t="inlineStr">
        <is>
          <t>Ланское ш, 65литераА</t>
        </is>
      </c>
      <c r="AJ40" t="inlineStr">
        <is>
          <t>Черная Речка, Пионерская, Лесная. Первая линия. 1 этаж. Площадь: 137м2. Все коммуникации. Хорошее состояние. 25кВт. 2 входа. Витринное остекление по фасаду. Развитый спальный район, активный пешеходный трафик. Арендатор: «Магнит». Арендная ставка – 325 000 руб./мес. (1-2 мес. – 260 000 руб./мес., 3-5 мес. – 185 000 руб./мес., 6-8 мес. – 200 000 руб./мес., 9-12 мес. – 235 000 руб./мес.). Привязка к товарообороту – 1-12 мес. – 3%, со 2-го года – 3,85%. Срок аренды – 7 лет. ID - 571765</t>
        </is>
      </c>
      <c r="AK40" t="inlineStr"/>
      <c r="AL40" t="inlineStr"/>
    </row>
    <row r="41">
      <c r="A41" t="n">
        <v>82</v>
      </c>
      <c r="B41" t="n">
        <v>4</v>
      </c>
      <c r="C41" t="n">
        <v>10</v>
      </c>
      <c r="D41" t="inlineStr"/>
      <c r="E41" t="inlineStr">
        <is>
          <t>Приморский</t>
        </is>
      </c>
      <c r="F41" t="inlineStr">
        <is>
          <t>Ланское ш, 65литераА</t>
        </is>
      </c>
      <c r="G41" t="n">
        <v>190</v>
      </c>
      <c r="H41" t="inlineStr">
        <is>
          <t>49 000 000</t>
        </is>
      </c>
      <c r="I41" t="inlineStr"/>
      <c r="J41" t="inlineStr"/>
      <c r="K41" t="inlineStr"/>
      <c r="L41" t="inlineStr"/>
      <c r="M41" t="inlineStr"/>
      <c r="N41" t="inlineStr">
        <is>
          <t>no</t>
        </is>
      </c>
      <c r="O41" t="inlineStr">
        <is>
          <t>none</t>
        </is>
      </c>
      <c r="P41">
        <f>HYPERLINK("https://knru.ru/catalog/lanskoe-sh-65literaa/","ссылка")</f>
        <v/>
      </c>
      <c r="Q41" t="inlineStr"/>
      <c r="R41" t="inlineStr">
        <is>
          <t>Нет у нас</t>
        </is>
      </c>
      <c r="S41" t="n">
        <v>0</v>
      </c>
      <c r="T41" t="inlineStr">
        <is>
          <t>Совпадений по улице+дому не найдено</t>
        </is>
      </c>
      <c r="U41" t="n">
        <v>82</v>
      </c>
      <c r="V41" t="n">
        <v>4</v>
      </c>
      <c r="W41" t="n">
        <v>10</v>
      </c>
      <c r="X41" t="n">
        <v>49000000</v>
      </c>
      <c r="Y41" t="inlineStr"/>
      <c r="Z41" t="inlineStr"/>
      <c r="AA41" t="inlineStr">
        <is>
          <t>https://knru.ru/catalog/lanskoe-sh-65literaa/</t>
        </is>
      </c>
      <c r="AB41" t="inlineStr">
        <is>
          <t>A</t>
        </is>
      </c>
      <c r="AC41" t="inlineStr">
        <is>
          <t>ok</t>
        </is>
      </c>
      <c r="AD41" t="inlineStr">
        <is>
          <t>Помещение свободного назначения, 190 м2</t>
        </is>
      </c>
      <c r="AE41" t="inlineStr">
        <is>
          <t>Помещение свободного назначения</t>
        </is>
      </c>
      <c r="AF41" t="inlineStr">
        <is>
          <t>Санкт-Петербург</t>
        </is>
      </c>
      <c r="AG41" t="inlineStr">
        <is>
          <t>Санкт-Петербург</t>
        </is>
      </c>
      <c r="AH41" t="inlineStr">
        <is>
          <t>Санкт-Петербург</t>
        </is>
      </c>
      <c r="AI41" t="inlineStr">
        <is>
          <t>Ланское ш, 65литераА</t>
        </is>
      </c>
      <c r="AJ41" t="inlineStr">
        <is>
          <t>Черная Речка, Пионерская, Лесная. Первая линия. 1 этаж. Площадь: 190м2. Все коммуникации. Хорошее состояние. 25кВт. 3 входа. Витринное остекление по фасаду. Развитый спальный район, активный пешеходный трафик. Арендаторы: - «Магнит» - 137,4м². Арендная ставка – 325 000 руб./мес. (1-2 мес. – 260 000 руб./мес., 3-5 мес. – 185 000 руб./мес., 6-8 мес. – 200 000 руб./мес., 9-12 мес. – 235 000 руб./мес.) Привязка к товарообороту – 1-12 мес. – 3%, со 2-го года – 3,85%. Срок аренды – 7 лет. - «Пивточка» - 40,2м² Арендная ставка – 150 000 руб./мес. + КУ. Индексация – 5% ежегодная односторонняя Срок аренды – 11 месяцев.  - Помещение без арендатора – 8,6м² Потенциальная арендная ставка – 60 000 руб./мес. Общий МАП: 535 000 руб./мес. Окупаемость: 9,8 лет. Есть возможность приобретения каждого помещения отдельно. ID - 571764</t>
        </is>
      </c>
      <c r="AK41" t="inlineStr"/>
      <c r="AL41" t="inlineStr"/>
    </row>
    <row r="42">
      <c r="A42" t="n">
        <v>83</v>
      </c>
      <c r="B42" t="n">
        <v>4</v>
      </c>
      <c r="C42" t="n">
        <v>11</v>
      </c>
      <c r="D42" t="n">
        <v>1000425339</v>
      </c>
      <c r="E42" t="inlineStr"/>
      <c r="F42" t="inlineStr">
        <is>
          <t>Новоселье п.</t>
        </is>
      </c>
      <c r="G42" t="n">
        <v>99.8</v>
      </c>
      <c r="H42" t="inlineStr">
        <is>
          <t>24 960 000</t>
        </is>
      </c>
      <c r="I42" t="inlineStr"/>
      <c r="J42" t="inlineStr"/>
      <c r="K42" t="inlineStr"/>
      <c r="L42" t="inlineStr"/>
      <c r="M42" t="inlineStr"/>
      <c r="N42" t="inlineStr">
        <is>
          <t>no</t>
        </is>
      </c>
      <c r="O42" t="inlineStr">
        <is>
          <t>none</t>
        </is>
      </c>
      <c r="P42">
        <f>HYPERLINK("https://knru.ru/catalog/novosele-p-1000425339/","ссылка")</f>
        <v/>
      </c>
      <c r="Q42" t="inlineStr"/>
      <c r="R42" t="inlineStr">
        <is>
          <t>Нет у нас</t>
        </is>
      </c>
      <c r="S42" t="n">
        <v>0</v>
      </c>
      <c r="T42" t="inlineStr">
        <is>
          <t>Совпадений по улице+дому не найдено</t>
        </is>
      </c>
      <c r="U42" t="n">
        <v>83</v>
      </c>
      <c r="V42" t="n">
        <v>4</v>
      </c>
      <c r="W42" t="n">
        <v>11</v>
      </c>
      <c r="X42" t="n">
        <v>24960000</v>
      </c>
      <c r="Y42" t="inlineStr"/>
      <c r="Z42" t="inlineStr"/>
      <c r="AA42" t="inlineStr">
        <is>
          <t>https://knru.ru/catalog/novosele-p-1000425339/</t>
        </is>
      </c>
      <c r="AB42" t="inlineStr">
        <is>
          <t>A</t>
        </is>
      </c>
      <c r="AC42" t="inlineStr">
        <is>
          <t>ok</t>
        </is>
      </c>
      <c r="AD42" t="inlineStr">
        <is>
          <t>Помещение свободного назначения, 99.84 м2</t>
        </is>
      </c>
      <c r="AE42" t="inlineStr">
        <is>
          <t>Помещение свободного назначения</t>
        </is>
      </c>
      <c r="AF42" t="inlineStr">
        <is>
          <t>Ленинградская область</t>
        </is>
      </c>
      <c r="AG42" t="inlineStr">
        <is>
          <t>Новоселье</t>
        </is>
      </c>
      <c r="AH42" t="inlineStr">
        <is>
          <t>Новоселье</t>
        </is>
      </c>
      <c r="AI42" t="inlineStr">
        <is>
          <t>Новоселье п.</t>
        </is>
      </c>
      <c r="AJ42" t="inlineStr">
        <is>
          <t>Проспект Ветеранов</t>
        </is>
      </c>
      <c r="AK42" t="inlineStr"/>
      <c r="AL42" t="inlineStr"/>
    </row>
    <row r="43">
      <c r="A43" t="n">
        <v>84</v>
      </c>
      <c r="B43" t="n">
        <v>4</v>
      </c>
      <c r="C43" t="n">
        <v>12</v>
      </c>
      <c r="D43" t="n">
        <v>58418339</v>
      </c>
      <c r="E43" t="inlineStr"/>
      <c r="F43" t="inlineStr">
        <is>
          <t>Новоселье п.</t>
        </is>
      </c>
      <c r="G43" t="n">
        <v>94.8</v>
      </c>
      <c r="H43" t="inlineStr">
        <is>
          <t>23 692 500</t>
        </is>
      </c>
      <c r="I43" t="inlineStr"/>
      <c r="J43" t="inlineStr"/>
      <c r="K43" t="inlineStr"/>
      <c r="L43" t="inlineStr"/>
      <c r="M43" t="inlineStr"/>
      <c r="N43" t="inlineStr">
        <is>
          <t>no</t>
        </is>
      </c>
      <c r="O43" t="inlineStr">
        <is>
          <t>none</t>
        </is>
      </c>
      <c r="P43">
        <f>HYPERLINK("https://knru.ru/catalog/novosele-p-58418339/","ссылка")</f>
        <v/>
      </c>
      <c r="Q43" t="inlineStr"/>
      <c r="R43" t="inlineStr">
        <is>
          <t>Нет у нас</t>
        </is>
      </c>
      <c r="S43" t="n">
        <v>0</v>
      </c>
      <c r="T43" t="inlineStr">
        <is>
          <t>Совпадений по улице+дому не найдено</t>
        </is>
      </c>
      <c r="U43" t="n">
        <v>84</v>
      </c>
      <c r="V43" t="n">
        <v>4</v>
      </c>
      <c r="W43" t="n">
        <v>12</v>
      </c>
      <c r="X43" t="n">
        <v>23692500</v>
      </c>
      <c r="Y43" t="inlineStr"/>
      <c r="Z43" t="inlineStr"/>
      <c r="AA43" t="inlineStr">
        <is>
          <t>https://knru.ru/catalog/novosele-p-58418339/</t>
        </is>
      </c>
      <c r="AB43" t="inlineStr">
        <is>
          <t>A</t>
        </is>
      </c>
      <c r="AC43" t="inlineStr">
        <is>
          <t>ok</t>
        </is>
      </c>
      <c r="AD43" t="inlineStr">
        <is>
          <t>Помещение свободного назначения, 94.77 м2</t>
        </is>
      </c>
      <c r="AE43" t="inlineStr">
        <is>
          <t>Помещение свободного назначения</t>
        </is>
      </c>
      <c r="AF43" t="inlineStr">
        <is>
          <t>Ленинградская область</t>
        </is>
      </c>
      <c r="AG43" t="inlineStr">
        <is>
          <t>Новоселье</t>
        </is>
      </c>
      <c r="AH43" t="inlineStr">
        <is>
          <t>Новоселье</t>
        </is>
      </c>
      <c r="AI43" t="inlineStr">
        <is>
          <t>Новоселье п.</t>
        </is>
      </c>
      <c r="AJ43" t="inlineStr">
        <is>
          <t>Проспект Ветеранов</t>
        </is>
      </c>
      <c r="AK43" t="inlineStr"/>
      <c r="AL43" t="inlineStr"/>
    </row>
    <row r="44">
      <c r="A44" t="n">
        <v>85</v>
      </c>
      <c r="B44" t="n">
        <v>4</v>
      </c>
      <c r="C44" t="n">
        <v>13</v>
      </c>
      <c r="D44" t="n">
        <v>999756178</v>
      </c>
      <c r="E44" t="inlineStr"/>
      <c r="F44" t="inlineStr">
        <is>
          <t>Янино-1 уч-к</t>
        </is>
      </c>
      <c r="G44" t="n">
        <v>88.3</v>
      </c>
      <c r="H44" t="inlineStr">
        <is>
          <t>15 830 397</t>
        </is>
      </c>
      <c r="I44" t="inlineStr"/>
      <c r="J44" t="inlineStr"/>
      <c r="K44" t="inlineStr"/>
      <c r="L44" t="inlineStr"/>
      <c r="M44" t="inlineStr"/>
      <c r="N44" t="inlineStr">
        <is>
          <t>no</t>
        </is>
      </c>
      <c r="O44" t="inlineStr">
        <is>
          <t>none</t>
        </is>
      </c>
      <c r="P44">
        <f>HYPERLINK("https://knru.ru/catalog/yanino-1-uch-k-999756178/","ссылка")</f>
        <v/>
      </c>
      <c r="Q44" t="inlineStr"/>
      <c r="R44" t="inlineStr">
        <is>
          <t>Нет у нас</t>
        </is>
      </c>
      <c r="S44" t="n">
        <v>0</v>
      </c>
      <c r="T44" t="inlineStr">
        <is>
          <t>Совпадений по улице+дому не найдено</t>
        </is>
      </c>
      <c r="U44" t="n">
        <v>85</v>
      </c>
      <c r="V44" t="n">
        <v>4</v>
      </c>
      <c r="W44" t="n">
        <v>13</v>
      </c>
      <c r="X44" t="n">
        <v>15830397</v>
      </c>
      <c r="Y44" t="inlineStr"/>
      <c r="Z44" t="inlineStr"/>
      <c r="AA44" t="inlineStr">
        <is>
          <t>https://knru.ru/catalog/yanino-1-uch-k-999756178/</t>
        </is>
      </c>
      <c r="AB44" t="inlineStr">
        <is>
          <t>A</t>
        </is>
      </c>
      <c r="AC44" t="inlineStr">
        <is>
          <t>ok</t>
        </is>
      </c>
      <c r="AD44" t="inlineStr">
        <is>
          <t>Помещение свободного назначения, 88.29 м2</t>
        </is>
      </c>
      <c r="AE44" t="inlineStr">
        <is>
          <t>Помещение свободного назначения</t>
        </is>
      </c>
      <c r="AF44" t="inlineStr">
        <is>
          <t>Ленинградская область</t>
        </is>
      </c>
      <c r="AG44" t="inlineStr">
        <is>
          <t>Заневское</t>
        </is>
      </c>
      <c r="AH44" t="inlineStr">
        <is>
          <t>Заневское</t>
        </is>
      </c>
      <c r="AI44" t="inlineStr">
        <is>
          <t>Янино-1 уч-к</t>
        </is>
      </c>
      <c r="AJ44" t="inlineStr">
        <is>
          <t>Ладожская</t>
        </is>
      </c>
      <c r="AK44" t="inlineStr"/>
      <c r="AL44" t="inlineStr"/>
    </row>
    <row r="45">
      <c r="A45" t="n">
        <v>86</v>
      </c>
      <c r="B45" t="n">
        <v>4</v>
      </c>
      <c r="C45" t="n">
        <v>14</v>
      </c>
      <c r="D45" t="inlineStr"/>
      <c r="E45" t="inlineStr"/>
      <c r="F45" t="inlineStr">
        <is>
          <t>Янино-1 уч-к</t>
        </is>
      </c>
      <c r="G45" t="n">
        <v>64.09999999999999</v>
      </c>
      <c r="H45" t="inlineStr">
        <is>
          <t>12 629 166</t>
        </is>
      </c>
      <c r="I45" t="inlineStr"/>
      <c r="J45" t="inlineStr"/>
      <c r="K45" t="inlineStr"/>
      <c r="L45" t="inlineStr"/>
      <c r="M45" t="inlineStr"/>
      <c r="N45" t="inlineStr">
        <is>
          <t>no</t>
        </is>
      </c>
      <c r="O45" t="inlineStr">
        <is>
          <t>none</t>
        </is>
      </c>
      <c r="P45">
        <f>HYPERLINK("https://knru.ru/catalog/yanino-1-uch-k/","ссылка")</f>
        <v/>
      </c>
      <c r="Q45" t="inlineStr"/>
      <c r="R45" t="inlineStr">
        <is>
          <t>Нет у нас</t>
        </is>
      </c>
      <c r="S45" t="n">
        <v>0</v>
      </c>
      <c r="T45" t="inlineStr">
        <is>
          <t>Совпадений по улице+дому не найдено</t>
        </is>
      </c>
      <c r="U45" t="n">
        <v>86</v>
      </c>
      <c r="V45" t="n">
        <v>4</v>
      </c>
      <c r="W45" t="n">
        <v>14</v>
      </c>
      <c r="X45" t="n">
        <v>12629166</v>
      </c>
      <c r="Y45" t="inlineStr"/>
      <c r="Z45" t="inlineStr"/>
      <c r="AA45" t="inlineStr">
        <is>
          <t>https://knru.ru/catalog/yanino-1-uch-k/</t>
        </is>
      </c>
      <c r="AB45" t="inlineStr">
        <is>
          <t>A</t>
        </is>
      </c>
      <c r="AC45" t="inlineStr">
        <is>
          <t>ok</t>
        </is>
      </c>
      <c r="AD45" t="inlineStr">
        <is>
          <t>Помещение свободного назначения, 64.14 м2</t>
        </is>
      </c>
      <c r="AE45" t="inlineStr">
        <is>
          <t>Помещение свободного назначения</t>
        </is>
      </c>
      <c r="AF45" t="inlineStr">
        <is>
          <t>Ленинградская область</t>
        </is>
      </c>
      <c r="AG45" t="inlineStr">
        <is>
          <t>Заневское</t>
        </is>
      </c>
      <c r="AH45" t="inlineStr">
        <is>
          <t>Заневское</t>
        </is>
      </c>
      <c r="AI45" t="inlineStr">
        <is>
          <t>Янино-1 уч-к</t>
        </is>
      </c>
      <c r="AJ45" t="inlineStr">
        <is>
          <t>Ладожская</t>
        </is>
      </c>
      <c r="AK45" t="inlineStr"/>
      <c r="AL45" t="inlineStr"/>
    </row>
    <row r="46">
      <c r="A46" t="n">
        <v>87</v>
      </c>
      <c r="B46" t="n">
        <v>4</v>
      </c>
      <c r="C46" t="n">
        <v>15</v>
      </c>
      <c r="D46" t="n">
        <v>2069245488</v>
      </c>
      <c r="E46" t="inlineStr"/>
      <c r="F46" t="inlineStr">
        <is>
          <t>Новоселье п.</t>
        </is>
      </c>
      <c r="G46" t="n">
        <v>72.90000000000001</v>
      </c>
      <c r="H46" t="inlineStr">
        <is>
          <t>14 582 000</t>
        </is>
      </c>
      <c r="I46" t="inlineStr"/>
      <c r="J46" t="inlineStr"/>
      <c r="K46" t="inlineStr"/>
      <c r="L46" t="inlineStr"/>
      <c r="M46" t="inlineStr"/>
      <c r="N46" t="inlineStr">
        <is>
          <t>no</t>
        </is>
      </c>
      <c r="O46" t="inlineStr">
        <is>
          <t>none</t>
        </is>
      </c>
      <c r="P46">
        <f>HYPERLINK("https://knru.ru/catalog/novosele-p-2069245488/","ссылка")</f>
        <v/>
      </c>
      <c r="Q46" t="inlineStr"/>
      <c r="R46" t="inlineStr">
        <is>
          <t>Нет у нас</t>
        </is>
      </c>
      <c r="S46" t="n">
        <v>0</v>
      </c>
      <c r="T46" t="inlineStr">
        <is>
          <t>Совпадений по улице+дому не найдено</t>
        </is>
      </c>
      <c r="U46" t="n">
        <v>87</v>
      </c>
      <c r="V46" t="n">
        <v>4</v>
      </c>
      <c r="W46" t="n">
        <v>15</v>
      </c>
      <c r="X46" t="n">
        <v>14582000</v>
      </c>
      <c r="Y46" t="inlineStr"/>
      <c r="Z46" t="inlineStr"/>
      <c r="AA46" t="inlineStr">
        <is>
          <t>https://knru.ru/catalog/novosele-p-2069245488/</t>
        </is>
      </c>
      <c r="AB46" t="inlineStr">
        <is>
          <t>A</t>
        </is>
      </c>
      <c r="AC46" t="inlineStr">
        <is>
          <t>ok</t>
        </is>
      </c>
      <c r="AD46" t="inlineStr">
        <is>
          <t>Помещение свободного назначения, 72.91 м2</t>
        </is>
      </c>
      <c r="AE46" t="inlineStr">
        <is>
          <t>Помещение свободного назначения</t>
        </is>
      </c>
      <c r="AF46" t="inlineStr">
        <is>
          <t>Ленинградская область</t>
        </is>
      </c>
      <c r="AG46" t="inlineStr">
        <is>
          <t>Новоселье</t>
        </is>
      </c>
      <c r="AH46" t="inlineStr">
        <is>
          <t>Новоселье</t>
        </is>
      </c>
      <c r="AI46" t="inlineStr">
        <is>
          <t>Новоселье п.</t>
        </is>
      </c>
      <c r="AJ46" t="inlineStr">
        <is>
          <t>Проспект Ветеранов</t>
        </is>
      </c>
      <c r="AK46" t="inlineStr"/>
      <c r="AL46" t="inlineStr"/>
    </row>
    <row r="47">
      <c r="A47" t="n">
        <v>88</v>
      </c>
      <c r="B47" t="n">
        <v>4</v>
      </c>
      <c r="C47" t="n">
        <v>16</v>
      </c>
      <c r="D47" t="inlineStr"/>
      <c r="E47" t="inlineStr"/>
      <c r="F47" t="inlineStr">
        <is>
          <t>Новоселье п.</t>
        </is>
      </c>
      <c r="G47" t="n">
        <v>67.09999999999999</v>
      </c>
      <c r="H47" t="inlineStr">
        <is>
          <t>13 412 000</t>
        </is>
      </c>
      <c r="I47" t="inlineStr"/>
      <c r="J47" t="inlineStr"/>
      <c r="K47" t="inlineStr"/>
      <c r="L47" t="inlineStr"/>
      <c r="M47" t="inlineStr"/>
      <c r="N47" t="inlineStr">
        <is>
          <t>no</t>
        </is>
      </c>
      <c r="O47" t="inlineStr">
        <is>
          <t>none</t>
        </is>
      </c>
      <c r="P47">
        <f>HYPERLINK("https://knru.ru/catalog/novosele-p/","ссылка")</f>
        <v/>
      </c>
      <c r="Q47" t="inlineStr"/>
      <c r="R47" t="inlineStr">
        <is>
          <t>Нет у нас</t>
        </is>
      </c>
      <c r="S47" t="n">
        <v>0</v>
      </c>
      <c r="T47" t="inlineStr">
        <is>
          <t>Совпадений по улице+дому не найдено</t>
        </is>
      </c>
      <c r="U47" t="n">
        <v>88</v>
      </c>
      <c r="V47" t="n">
        <v>4</v>
      </c>
      <c r="W47" t="n">
        <v>16</v>
      </c>
      <c r="X47" t="n">
        <v>13412000</v>
      </c>
      <c r="Y47" t="inlineStr"/>
      <c r="Z47" t="inlineStr"/>
      <c r="AA47" t="inlineStr">
        <is>
          <t>https://knru.ru/catalog/novosele-p/</t>
        </is>
      </c>
      <c r="AB47" t="inlineStr">
        <is>
          <t>A</t>
        </is>
      </c>
      <c r="AC47" t="inlineStr">
        <is>
          <t>ok</t>
        </is>
      </c>
      <c r="AD47" t="inlineStr">
        <is>
          <t>Помещение свободного назначения, 67.06 м2</t>
        </is>
      </c>
      <c r="AE47" t="inlineStr">
        <is>
          <t>Помещение свободного назначения</t>
        </is>
      </c>
      <c r="AF47" t="inlineStr">
        <is>
          <t>Ленинградская область</t>
        </is>
      </c>
      <c r="AG47" t="inlineStr">
        <is>
          <t>Новоселье</t>
        </is>
      </c>
      <c r="AH47" t="inlineStr">
        <is>
          <t>Новоселье</t>
        </is>
      </c>
      <c r="AI47" t="inlineStr">
        <is>
          <t>Новоселье п.</t>
        </is>
      </c>
      <c r="AJ47" t="inlineStr">
        <is>
          <t>Проспект Ветеранов</t>
        </is>
      </c>
      <c r="AK47" t="inlineStr"/>
      <c r="AL47" t="inlineStr">
        <is>
          <t>Ромашки</t>
        </is>
      </c>
    </row>
    <row r="48">
      <c r="A48" t="n">
        <v>89</v>
      </c>
      <c r="B48" t="n">
        <v>4</v>
      </c>
      <c r="C48" t="n">
        <v>17</v>
      </c>
      <c r="D48" t="n">
        <v>2</v>
      </c>
      <c r="E48" t="inlineStr">
        <is>
          <t>Лаголово</t>
        </is>
      </c>
      <c r="F48" t="inlineStr">
        <is>
          <t>Лаголово дер., 2</t>
        </is>
      </c>
      <c r="G48" t="n">
        <v>18.9</v>
      </c>
      <c r="H48" t="inlineStr">
        <is>
          <t>8 492 148</t>
        </is>
      </c>
      <c r="I48" t="inlineStr"/>
      <c r="J48" t="inlineStr"/>
      <c r="K48" t="inlineStr"/>
      <c r="L48" t="inlineStr"/>
      <c r="M48" t="inlineStr"/>
      <c r="N48" t="inlineStr">
        <is>
          <t>yes</t>
        </is>
      </c>
      <c r="O48" t="inlineStr">
        <is>
          <t>pixel_heuristic</t>
        </is>
      </c>
      <c r="P48">
        <f>HYPERLINK("https://knru.ru/catalog/lagolovo-der-2/","ссылка")</f>
        <v/>
      </c>
      <c r="Q48" t="inlineStr"/>
      <c r="R48" t="inlineStr">
        <is>
          <t>Нет у нас</t>
        </is>
      </c>
      <c r="S48" t="n">
        <v>0</v>
      </c>
      <c r="T48" t="inlineStr">
        <is>
          <t>Совпадений по улице+дому не найдено</t>
        </is>
      </c>
      <c r="U48" t="n">
        <v>89</v>
      </c>
      <c r="V48" t="n">
        <v>4</v>
      </c>
      <c r="W48" t="n">
        <v>17</v>
      </c>
      <c r="X48" t="n">
        <v>8492148</v>
      </c>
      <c r="Y48" t="inlineStr"/>
      <c r="Z48" t="inlineStr"/>
      <c r="AA48" t="inlineStr">
        <is>
          <t>https://knru.ru/catalog/lagolovo-der-2/</t>
        </is>
      </c>
      <c r="AB48" t="inlineStr">
        <is>
          <t>A+</t>
        </is>
      </c>
      <c r="AC48" t="inlineStr">
        <is>
          <t>ok</t>
        </is>
      </c>
      <c r="AD48" t="inlineStr">
        <is>
          <t>Помещение свободного назначения, 18.9 м2</t>
        </is>
      </c>
      <c r="AE48" t="inlineStr">
        <is>
          <t>Помещение свободного назначения</t>
        </is>
      </c>
      <c r="AF48" t="inlineStr">
        <is>
          <t>Ленинградская область</t>
        </is>
      </c>
      <c r="AG48" t="inlineStr">
        <is>
          <t>Лаголово</t>
        </is>
      </c>
      <c r="AH48" t="inlineStr">
        <is>
          <t>Лаголово</t>
        </is>
      </c>
      <c r="AI48" t="inlineStr">
        <is>
          <t>Лаголово дер., 2</t>
        </is>
      </c>
      <c r="AJ48" t="inlineStr">
        <is>
          <t>Проспект Ветеранов</t>
        </is>
      </c>
      <c r="AK48" t="inlineStr"/>
      <c r="AL48" t="inlineStr"/>
    </row>
    <row r="49">
      <c r="A49" t="n">
        <v>90</v>
      </c>
      <c r="B49" t="n">
        <v>4</v>
      </c>
      <c r="C49" t="n">
        <v>18</v>
      </c>
      <c r="D49" t="n">
        <v>1942649527</v>
      </c>
      <c r="E49" t="inlineStr"/>
      <c r="F49" t="inlineStr">
        <is>
          <t>Лаголово дер.</t>
        </is>
      </c>
      <c r="G49" t="n">
        <v>85.09999999999999</v>
      </c>
      <c r="H49" t="inlineStr">
        <is>
          <t>14 516 358</t>
        </is>
      </c>
      <c r="I49" t="inlineStr"/>
      <c r="J49" t="inlineStr"/>
      <c r="K49" t="inlineStr"/>
      <c r="L49" t="inlineStr"/>
      <c r="M49" t="inlineStr"/>
      <c r="N49" t="inlineStr">
        <is>
          <t>yes</t>
        </is>
      </c>
      <c r="O49" t="inlineStr">
        <is>
          <t>pixel_heuristic</t>
        </is>
      </c>
      <c r="P49">
        <f>HYPERLINK("https://knru.ru/catalog/lagolovo-der-1942649527/","ссылка")</f>
        <v/>
      </c>
      <c r="Q49" t="inlineStr"/>
      <c r="R49" t="inlineStr">
        <is>
          <t>Нет у нас</t>
        </is>
      </c>
      <c r="S49" t="n">
        <v>0</v>
      </c>
      <c r="T49" t="inlineStr">
        <is>
          <t>Совпадений по улице+дому не найдено</t>
        </is>
      </c>
      <c r="U49" t="n">
        <v>90</v>
      </c>
      <c r="V49" t="n">
        <v>4</v>
      </c>
      <c r="W49" t="n">
        <v>18</v>
      </c>
      <c r="X49" t="n">
        <v>14516358</v>
      </c>
      <c r="Y49" t="inlineStr"/>
      <c r="Z49" t="inlineStr"/>
      <c r="AA49" t="inlineStr">
        <is>
          <t>https://knru.ru/catalog/lagolovo-der-1942649527/</t>
        </is>
      </c>
      <c r="AB49" t="inlineStr">
        <is>
          <t>A+</t>
        </is>
      </c>
      <c r="AC49" t="inlineStr">
        <is>
          <t>ok</t>
        </is>
      </c>
      <c r="AD49" t="inlineStr">
        <is>
          <t>Помещение свободного назначения, 85.1 м2</t>
        </is>
      </c>
      <c r="AE49" t="inlineStr">
        <is>
          <t>Помещение свободного назначения</t>
        </is>
      </c>
      <c r="AF49" t="inlineStr">
        <is>
          <t>Ленинградская область</t>
        </is>
      </c>
      <c r="AG49" t="inlineStr">
        <is>
          <t>Лаголово</t>
        </is>
      </c>
      <c r="AH49" t="inlineStr">
        <is>
          <t>Лаголово</t>
        </is>
      </c>
      <c r="AI49" t="inlineStr">
        <is>
          <t>Лаголово дер.</t>
        </is>
      </c>
      <c r="AJ49" t="inlineStr">
        <is>
          <t>Проспект Ветеранов</t>
        </is>
      </c>
      <c r="AK49" t="inlineStr"/>
      <c r="AL49" t="inlineStr"/>
    </row>
    <row r="50">
      <c r="A50" t="n">
        <v>91</v>
      </c>
      <c r="B50" t="n">
        <v>4</v>
      </c>
      <c r="C50" t="n">
        <v>19</v>
      </c>
      <c r="D50" t="n">
        <v>294204414</v>
      </c>
      <c r="E50" t="inlineStr"/>
      <c r="F50" t="inlineStr">
        <is>
          <t>Лаголово дер.</t>
        </is>
      </c>
      <c r="G50" t="n">
        <v>43.2</v>
      </c>
      <c r="H50" t="inlineStr">
        <is>
          <t>9 035 280</t>
        </is>
      </c>
      <c r="I50" t="inlineStr"/>
      <c r="J50" t="inlineStr"/>
      <c r="K50" t="inlineStr"/>
      <c r="L50" t="inlineStr"/>
      <c r="M50" t="inlineStr"/>
      <c r="N50" t="inlineStr">
        <is>
          <t>yes</t>
        </is>
      </c>
      <c r="O50" t="inlineStr">
        <is>
          <t>pixel_heuristic</t>
        </is>
      </c>
      <c r="P50">
        <f>HYPERLINK("https://knru.ru/catalog/lagolovo-der-294204414/","ссылка")</f>
        <v/>
      </c>
      <c r="Q50" t="inlineStr"/>
      <c r="R50" t="inlineStr">
        <is>
          <t>Нет у нас</t>
        </is>
      </c>
      <c r="S50" t="n">
        <v>0</v>
      </c>
      <c r="T50" t="inlineStr">
        <is>
          <t>Совпадений по улице+дому не найдено</t>
        </is>
      </c>
      <c r="U50" t="n">
        <v>91</v>
      </c>
      <c r="V50" t="n">
        <v>4</v>
      </c>
      <c r="W50" t="n">
        <v>19</v>
      </c>
      <c r="X50" t="n">
        <v>9035280</v>
      </c>
      <c r="Y50" t="inlineStr"/>
      <c r="Z50" t="inlineStr"/>
      <c r="AA50" t="inlineStr">
        <is>
          <t>https://knru.ru/catalog/lagolovo-der-294204414/</t>
        </is>
      </c>
      <c r="AB50" t="inlineStr">
        <is>
          <t>A+</t>
        </is>
      </c>
      <c r="AC50" t="inlineStr">
        <is>
          <t>ok</t>
        </is>
      </c>
      <c r="AD50" t="inlineStr">
        <is>
          <t>Помещение свободного назначения, 43.2 м2</t>
        </is>
      </c>
      <c r="AE50" t="inlineStr">
        <is>
          <t>Помещение свободного назначения</t>
        </is>
      </c>
      <c r="AF50" t="inlineStr">
        <is>
          <t>Ленинградская область</t>
        </is>
      </c>
      <c r="AG50" t="inlineStr">
        <is>
          <t>Лаголово</t>
        </is>
      </c>
      <c r="AH50" t="inlineStr">
        <is>
          <t>Лаголово</t>
        </is>
      </c>
      <c r="AI50" t="inlineStr">
        <is>
          <t>Лаголово дер.</t>
        </is>
      </c>
      <c r="AJ50" t="inlineStr">
        <is>
          <t>Проспект Ветеранов</t>
        </is>
      </c>
      <c r="AK50" t="inlineStr"/>
      <c r="AL50" t="inlineStr"/>
    </row>
    <row r="51">
      <c r="A51" t="n">
        <v>92</v>
      </c>
      <c r="B51" t="n">
        <v>4</v>
      </c>
      <c r="C51" t="n">
        <v>20</v>
      </c>
      <c r="D51" t="n">
        <v>446154511</v>
      </c>
      <c r="E51" t="inlineStr"/>
      <c r="F51" t="inlineStr">
        <is>
          <t>Лаголово дер.</t>
        </is>
      </c>
      <c r="G51" t="n">
        <v>57.8</v>
      </c>
      <c r="H51" t="inlineStr">
        <is>
          <t>12 088 870</t>
        </is>
      </c>
      <c r="I51" t="inlineStr"/>
      <c r="J51" t="inlineStr"/>
      <c r="K51" t="inlineStr"/>
      <c r="L51" t="inlineStr"/>
      <c r="M51" t="inlineStr"/>
      <c r="N51" t="inlineStr">
        <is>
          <t>yes</t>
        </is>
      </c>
      <c r="O51" t="inlineStr">
        <is>
          <t>pixel_heuristic</t>
        </is>
      </c>
      <c r="P51">
        <f>HYPERLINK("https://knru.ru/catalog/lagolovo-der-446154511/","ссылка")</f>
        <v/>
      </c>
      <c r="Q51" t="inlineStr"/>
      <c r="R51" t="inlineStr">
        <is>
          <t>Нет у нас</t>
        </is>
      </c>
      <c r="S51" t="n">
        <v>0</v>
      </c>
      <c r="T51" t="inlineStr">
        <is>
          <t>Совпадений по улице+дому не найдено</t>
        </is>
      </c>
      <c r="U51" t="n">
        <v>92</v>
      </c>
      <c r="V51" t="n">
        <v>4</v>
      </c>
      <c r="W51" t="n">
        <v>20</v>
      </c>
      <c r="X51" t="n">
        <v>12088870</v>
      </c>
      <c r="Y51" t="inlineStr"/>
      <c r="Z51" t="inlineStr"/>
      <c r="AA51" t="inlineStr">
        <is>
          <t>https://knru.ru/catalog/lagolovo-der-446154511/</t>
        </is>
      </c>
      <c r="AB51" t="inlineStr">
        <is>
          <t>A+</t>
        </is>
      </c>
      <c r="AC51" t="inlineStr">
        <is>
          <t>ok</t>
        </is>
      </c>
      <c r="AD51" t="inlineStr">
        <is>
          <t>Помещение свободного назначения, 57.8 м2</t>
        </is>
      </c>
      <c r="AE51" t="inlineStr">
        <is>
          <t>Помещение свободного назначения</t>
        </is>
      </c>
      <c r="AF51" t="inlineStr">
        <is>
          <t>Ленинградская область</t>
        </is>
      </c>
      <c r="AG51" t="inlineStr">
        <is>
          <t>Лаголово</t>
        </is>
      </c>
      <c r="AH51" t="inlineStr">
        <is>
          <t>Лаголово</t>
        </is>
      </c>
      <c r="AI51" t="inlineStr">
        <is>
          <t>Лаголово дер.</t>
        </is>
      </c>
      <c r="AJ51" t="inlineStr">
        <is>
          <t>Проспект Ветеранов</t>
        </is>
      </c>
      <c r="AK51" t="inlineStr"/>
      <c r="AL51" t="inlineStr"/>
    </row>
    <row r="52">
      <c r="A52" t="n">
        <v>93</v>
      </c>
      <c r="B52" t="n">
        <v>4</v>
      </c>
      <c r="C52" t="n">
        <v>21</v>
      </c>
      <c r="D52" t="n">
        <v>1593116526</v>
      </c>
      <c r="E52" t="inlineStr"/>
      <c r="F52" t="inlineStr">
        <is>
          <t>Мурино г.</t>
        </is>
      </c>
      <c r="G52" t="n">
        <v>54.7</v>
      </c>
      <c r="H52" t="inlineStr">
        <is>
          <t>14 799 228</t>
        </is>
      </c>
      <c r="I52" t="inlineStr"/>
      <c r="J52" t="inlineStr"/>
      <c r="K52" t="inlineStr"/>
      <c r="L52" t="inlineStr"/>
      <c r="M52" t="inlineStr"/>
      <c r="N52" t="inlineStr">
        <is>
          <t>yes</t>
        </is>
      </c>
      <c r="O52" t="inlineStr">
        <is>
          <t>pixel_heuristic</t>
        </is>
      </c>
      <c r="P52">
        <f>HYPERLINK("https://knru.ru/catalog/murino-g-1593116526/","ссылка")</f>
        <v/>
      </c>
      <c r="Q52" t="inlineStr"/>
      <c r="R52" t="inlineStr">
        <is>
          <t>Нет у нас</t>
        </is>
      </c>
      <c r="S52" t="n">
        <v>0</v>
      </c>
      <c r="T52" t="inlineStr">
        <is>
          <t>Совпадений по улице+дому не найдено</t>
        </is>
      </c>
      <c r="U52" t="n">
        <v>93</v>
      </c>
      <c r="V52" t="n">
        <v>4</v>
      </c>
      <c r="W52" t="n">
        <v>21</v>
      </c>
      <c r="X52" t="n">
        <v>14799228</v>
      </c>
      <c r="Y52" t="inlineStr"/>
      <c r="Z52" t="inlineStr"/>
      <c r="AA52" t="inlineStr">
        <is>
          <t>https://knru.ru/catalog/murino-g-1593116526/</t>
        </is>
      </c>
      <c r="AB52" t="inlineStr">
        <is>
          <t>A+</t>
        </is>
      </c>
      <c r="AC52" t="inlineStr">
        <is>
          <t>ok</t>
        </is>
      </c>
      <c r="AD52" t="inlineStr">
        <is>
          <t>Помещение свободного назначения, 54.66 м2</t>
        </is>
      </c>
      <c r="AE52" t="inlineStr">
        <is>
          <t>Помещение свободного назначения</t>
        </is>
      </c>
      <c r="AF52" t="inlineStr">
        <is>
          <t>Ленинградская область</t>
        </is>
      </c>
      <c r="AG52" t="inlineStr">
        <is>
          <t>Мурино</t>
        </is>
      </c>
      <c r="AH52" t="inlineStr">
        <is>
          <t>Мурино</t>
        </is>
      </c>
      <c r="AI52" t="inlineStr">
        <is>
          <t>Мурино г.</t>
        </is>
      </c>
      <c r="AJ52" t="inlineStr">
        <is>
          <t>Девяткино</t>
        </is>
      </c>
      <c r="AK52" t="inlineStr"/>
      <c r="AL52" t="inlineStr"/>
    </row>
    <row r="53">
      <c r="A53" t="n">
        <v>94</v>
      </c>
      <c r="B53" t="n">
        <v>4</v>
      </c>
      <c r="C53" t="n">
        <v>22</v>
      </c>
      <c r="D53" t="n">
        <v>1177869988</v>
      </c>
      <c r="E53" t="inlineStr"/>
      <c r="F53" t="inlineStr">
        <is>
          <t>Мурино г.</t>
        </is>
      </c>
      <c r="G53" t="n">
        <v>73.8</v>
      </c>
      <c r="H53" t="inlineStr">
        <is>
          <t>18 334 666</t>
        </is>
      </c>
      <c r="I53" t="inlineStr"/>
      <c r="J53" t="inlineStr"/>
      <c r="K53" t="inlineStr"/>
      <c r="L53" t="inlineStr"/>
      <c r="M53" t="inlineStr"/>
      <c r="N53" t="inlineStr">
        <is>
          <t>yes</t>
        </is>
      </c>
      <c r="O53" t="inlineStr">
        <is>
          <t>pixel_heuristic</t>
        </is>
      </c>
      <c r="P53">
        <f>HYPERLINK("https://knru.ru/catalog/murino-g-1177869988/","ссылка")</f>
        <v/>
      </c>
      <c r="Q53" t="inlineStr"/>
      <c r="R53" t="inlineStr">
        <is>
          <t>Нет у нас</t>
        </is>
      </c>
      <c r="S53" t="n">
        <v>0</v>
      </c>
      <c r="T53" t="inlineStr">
        <is>
          <t>Совпадений по улице+дому не найдено</t>
        </is>
      </c>
      <c r="U53" t="n">
        <v>94</v>
      </c>
      <c r="V53" t="n">
        <v>4</v>
      </c>
      <c r="W53" t="n">
        <v>22</v>
      </c>
      <c r="X53" t="n">
        <v>18334666</v>
      </c>
      <c r="Y53" t="inlineStr"/>
      <c r="Z53" t="inlineStr"/>
      <c r="AA53" t="inlineStr">
        <is>
          <t>https://knru.ru/catalog/murino-g-1177869988/</t>
        </is>
      </c>
      <c r="AB53" t="inlineStr">
        <is>
          <t>A+</t>
        </is>
      </c>
      <c r="AC53" t="inlineStr">
        <is>
          <t>ok</t>
        </is>
      </c>
      <c r="AD53" t="inlineStr">
        <is>
          <t>Помещение свободного назначения, 73.77 м2</t>
        </is>
      </c>
      <c r="AE53" t="inlineStr">
        <is>
          <t>Помещение свободного назначения</t>
        </is>
      </c>
      <c r="AF53" t="inlineStr">
        <is>
          <t>Ленинградская область</t>
        </is>
      </c>
      <c r="AG53" t="inlineStr">
        <is>
          <t>Мурино</t>
        </is>
      </c>
      <c r="AH53" t="inlineStr">
        <is>
          <t>Мурино</t>
        </is>
      </c>
      <c r="AI53" t="inlineStr">
        <is>
          <t>Мурино г.</t>
        </is>
      </c>
      <c r="AJ53" t="inlineStr">
        <is>
          <t>Девяткино</t>
        </is>
      </c>
      <c r="AK53" t="inlineStr"/>
      <c r="AL53" t="inlineStr"/>
    </row>
    <row r="54">
      <c r="A54" t="n">
        <v>95</v>
      </c>
      <c r="B54" t="n">
        <v>4</v>
      </c>
      <c r="C54" t="n">
        <v>23</v>
      </c>
      <c r="D54" t="n">
        <v>937451214</v>
      </c>
      <c r="E54" t="inlineStr"/>
      <c r="F54" t="inlineStr">
        <is>
          <t>Скотное дер.</t>
        </is>
      </c>
      <c r="G54" t="n">
        <v>88.8</v>
      </c>
      <c r="H54" t="inlineStr">
        <is>
          <t>13 326 000</t>
        </is>
      </c>
      <c r="I54" t="inlineStr"/>
      <c r="J54" t="inlineStr"/>
      <c r="K54" t="inlineStr"/>
      <c r="L54" t="inlineStr"/>
      <c r="M54" t="inlineStr"/>
      <c r="N54" t="inlineStr">
        <is>
          <t>yes</t>
        </is>
      </c>
      <c r="O54" t="inlineStr">
        <is>
          <t>pixel_heuristic</t>
        </is>
      </c>
      <c r="P54">
        <f>HYPERLINK("https://knru.ru/catalog/skotnoe-der-937451214/","ссылка")</f>
        <v/>
      </c>
      <c r="Q54" t="inlineStr"/>
      <c r="R54" t="inlineStr">
        <is>
          <t>Нет у нас</t>
        </is>
      </c>
      <c r="S54" t="n">
        <v>0</v>
      </c>
      <c r="T54" t="inlineStr">
        <is>
          <t>Совпадений по улице+дому не найдено</t>
        </is>
      </c>
      <c r="U54" t="n">
        <v>95</v>
      </c>
      <c r="V54" t="n">
        <v>4</v>
      </c>
      <c r="W54" t="n">
        <v>23</v>
      </c>
      <c r="X54" t="n">
        <v>13326000</v>
      </c>
      <c r="Y54" t="inlineStr"/>
      <c r="Z54" t="inlineStr"/>
      <c r="AA54" t="inlineStr">
        <is>
          <t>https://knru.ru/catalog/skotnoe-der-937451214/</t>
        </is>
      </c>
      <c r="AB54" t="inlineStr">
        <is>
          <t>A+</t>
        </is>
      </c>
      <c r="AC54" t="inlineStr">
        <is>
          <t>ok</t>
        </is>
      </c>
      <c r="AD54" t="inlineStr">
        <is>
          <t>Помещение свободного назначения, 88.84 м2</t>
        </is>
      </c>
      <c r="AE54" t="inlineStr">
        <is>
          <t>Помещение свободного назначения</t>
        </is>
      </c>
      <c r="AF54" t="inlineStr">
        <is>
          <t>Ленинградская область</t>
        </is>
      </c>
      <c r="AG54" t="inlineStr">
        <is>
          <t>Скотное</t>
        </is>
      </c>
      <c r="AH54" t="inlineStr">
        <is>
          <t>Скотное</t>
        </is>
      </c>
      <c r="AI54" t="inlineStr">
        <is>
          <t>Скотное дер.</t>
        </is>
      </c>
      <c r="AJ54" t="inlineStr">
        <is>
          <t>Парнас</t>
        </is>
      </c>
      <c r="AK54" t="inlineStr"/>
      <c r="AL54" t="inlineStr"/>
    </row>
    <row r="55">
      <c r="A55" t="n">
        <v>96</v>
      </c>
      <c r="B55" t="n">
        <v>4</v>
      </c>
      <c r="C55" t="n">
        <v>24</v>
      </c>
      <c r="D55" t="n">
        <v>228419543</v>
      </c>
      <c r="E55" t="inlineStr"/>
      <c r="F55" t="inlineStr">
        <is>
          <t>Скотное дер.</t>
        </is>
      </c>
      <c r="G55" t="n">
        <v>50.9</v>
      </c>
      <c r="H55" t="inlineStr">
        <is>
          <t>7 627 500</t>
        </is>
      </c>
      <c r="I55" t="inlineStr"/>
      <c r="J55" t="inlineStr"/>
      <c r="K55" t="inlineStr"/>
      <c r="L55" t="inlineStr"/>
      <c r="M55" t="inlineStr"/>
      <c r="N55" t="inlineStr">
        <is>
          <t>yes</t>
        </is>
      </c>
      <c r="O55" t="inlineStr">
        <is>
          <t>pixel_heuristic</t>
        </is>
      </c>
      <c r="P55">
        <f>HYPERLINK("https://knru.ru/catalog/skotnoe-der-228419543/","ссылка")</f>
        <v/>
      </c>
      <c r="Q55" t="inlineStr"/>
      <c r="R55" t="inlineStr">
        <is>
          <t>Нет у нас</t>
        </is>
      </c>
      <c r="S55" t="n">
        <v>0</v>
      </c>
      <c r="T55" t="inlineStr">
        <is>
          <t>Совпадений по улице+дому не найдено</t>
        </is>
      </c>
      <c r="U55" t="n">
        <v>96</v>
      </c>
      <c r="V55" t="n">
        <v>4</v>
      </c>
      <c r="W55" t="n">
        <v>24</v>
      </c>
      <c r="X55" t="n">
        <v>7627500</v>
      </c>
      <c r="Y55" t="inlineStr"/>
      <c r="Z55" t="inlineStr"/>
      <c r="AA55" t="inlineStr">
        <is>
          <t>https://knru.ru/catalog/skotnoe-der-228419543/</t>
        </is>
      </c>
      <c r="AB55" t="inlineStr">
        <is>
          <t>A+</t>
        </is>
      </c>
      <c r="AC55" t="inlineStr">
        <is>
          <t>ok</t>
        </is>
      </c>
      <c r="AD55" t="inlineStr">
        <is>
          <t>Помещение свободного назначения, 50.85 м2</t>
        </is>
      </c>
      <c r="AE55" t="inlineStr">
        <is>
          <t>Помещение свободного назначения</t>
        </is>
      </c>
      <c r="AF55" t="inlineStr">
        <is>
          <t>Ленинградская область</t>
        </is>
      </c>
      <c r="AG55" t="inlineStr">
        <is>
          <t>Скотное</t>
        </is>
      </c>
      <c r="AH55" t="inlineStr">
        <is>
          <t>Скотное</t>
        </is>
      </c>
      <c r="AI55" t="inlineStr">
        <is>
          <t>Скотное дер.</t>
        </is>
      </c>
      <c r="AJ55" t="inlineStr">
        <is>
          <t>Парнас</t>
        </is>
      </c>
      <c r="AK55" t="inlineStr"/>
      <c r="AL55" t="inlineStr"/>
    </row>
    <row r="56">
      <c r="A56" t="n">
        <v>97</v>
      </c>
      <c r="B56" t="n">
        <v>5</v>
      </c>
      <c r="C56" t="n">
        <v>1</v>
      </c>
      <c r="D56" t="n">
        <v>1645303019</v>
      </c>
      <c r="E56" t="inlineStr"/>
      <c r="F56" t="inlineStr">
        <is>
          <t>Скотное дер.</t>
        </is>
      </c>
      <c r="G56" t="n">
        <v>64.2</v>
      </c>
      <c r="H56" t="inlineStr">
        <is>
          <t>9 625 500</t>
        </is>
      </c>
      <c r="I56" t="inlineStr"/>
      <c r="J56" t="inlineStr"/>
      <c r="K56" t="inlineStr"/>
      <c r="L56" t="inlineStr"/>
      <c r="M56" t="inlineStr"/>
      <c r="N56" t="inlineStr">
        <is>
          <t>yes</t>
        </is>
      </c>
      <c r="O56" t="inlineStr">
        <is>
          <t>pixel_heuristic</t>
        </is>
      </c>
      <c r="P56">
        <f>HYPERLINK("https://knru.ru/catalog/skotnoe-der-1645303019/","ссылка")</f>
        <v/>
      </c>
      <c r="Q56" t="inlineStr"/>
      <c r="R56" t="inlineStr">
        <is>
          <t>Нет у нас</t>
        </is>
      </c>
      <c r="S56" t="n">
        <v>0</v>
      </c>
      <c r="T56" t="inlineStr">
        <is>
          <t>Совпадений по улице+дому не найдено</t>
        </is>
      </c>
      <c r="U56" t="n">
        <v>97</v>
      </c>
      <c r="V56" t="n">
        <v>5</v>
      </c>
      <c r="W56" t="n">
        <v>1</v>
      </c>
      <c r="X56" t="n">
        <v>9625500</v>
      </c>
      <c r="Y56" t="inlineStr"/>
      <c r="Z56" t="inlineStr"/>
      <c r="AA56" t="inlineStr">
        <is>
          <t>https://knru.ru/catalog/skotnoe-der-1645303019/</t>
        </is>
      </c>
      <c r="AB56" t="inlineStr">
        <is>
          <t>A+</t>
        </is>
      </c>
      <c r="AC56" t="inlineStr">
        <is>
          <t>ok</t>
        </is>
      </c>
      <c r="AD56" t="inlineStr">
        <is>
          <t>Помещение свободного назначения, 64.17 м2</t>
        </is>
      </c>
      <c r="AE56" t="inlineStr">
        <is>
          <t>Помещение свободного назначения</t>
        </is>
      </c>
      <c r="AF56" t="inlineStr">
        <is>
          <t>Ленинградская область</t>
        </is>
      </c>
      <c r="AG56" t="inlineStr">
        <is>
          <t>Скотное</t>
        </is>
      </c>
      <c r="AH56" t="inlineStr">
        <is>
          <t>Скотное</t>
        </is>
      </c>
      <c r="AI56" t="inlineStr">
        <is>
          <t>Скотное дер.</t>
        </is>
      </c>
      <c r="AJ56" t="inlineStr">
        <is>
          <t>Парнас</t>
        </is>
      </c>
      <c r="AK56" t="inlineStr"/>
      <c r="AL56" t="inlineStr"/>
    </row>
    <row r="57">
      <c r="A57" t="n">
        <v>98</v>
      </c>
      <c r="B57" t="n">
        <v>5</v>
      </c>
      <c r="C57" t="n">
        <v>2</v>
      </c>
      <c r="D57" t="n">
        <v>689151577</v>
      </c>
      <c r="E57" t="inlineStr"/>
      <c r="F57" t="inlineStr">
        <is>
          <t>Скотное дер.</t>
        </is>
      </c>
      <c r="G57" t="n">
        <v>43.7</v>
      </c>
      <c r="H57" t="inlineStr">
        <is>
          <t>7 040 530</t>
        </is>
      </c>
      <c r="I57" t="inlineStr"/>
      <c r="J57" t="inlineStr"/>
      <c r="K57" t="inlineStr"/>
      <c r="L57" t="inlineStr"/>
      <c r="M57" t="inlineStr"/>
      <c r="N57" t="inlineStr">
        <is>
          <t>yes</t>
        </is>
      </c>
      <c r="O57" t="inlineStr">
        <is>
          <t>pixel_heuristic</t>
        </is>
      </c>
      <c r="P57">
        <f>HYPERLINK("https://knru.ru/catalog/skotnoe-der-689151577/","ссылка")</f>
        <v/>
      </c>
      <c r="Q57" t="inlineStr"/>
      <c r="R57" t="inlineStr">
        <is>
          <t>Нет у нас</t>
        </is>
      </c>
      <c r="S57" t="n">
        <v>0</v>
      </c>
      <c r="T57" t="inlineStr">
        <is>
          <t>Совпадений по улице+дому не найдено</t>
        </is>
      </c>
      <c r="U57" t="n">
        <v>98</v>
      </c>
      <c r="V57" t="n">
        <v>5</v>
      </c>
      <c r="W57" t="n">
        <v>2</v>
      </c>
      <c r="X57" t="n">
        <v>7040530</v>
      </c>
      <c r="Y57" t="inlineStr"/>
      <c r="Z57" t="inlineStr"/>
      <c r="AA57" t="inlineStr">
        <is>
          <t>https://knru.ru/catalog/skotnoe-der-689151577/</t>
        </is>
      </c>
      <c r="AB57" t="inlineStr">
        <is>
          <t>A+</t>
        </is>
      </c>
      <c r="AC57" t="inlineStr">
        <is>
          <t>ok</t>
        </is>
      </c>
      <c r="AD57" t="inlineStr">
        <is>
          <t>Помещение свободного назначения, 43.73 м2</t>
        </is>
      </c>
      <c r="AE57" t="inlineStr">
        <is>
          <t>Помещение свободного назначения</t>
        </is>
      </c>
      <c r="AF57" t="inlineStr">
        <is>
          <t>Ленинградская область</t>
        </is>
      </c>
      <c r="AG57" t="inlineStr">
        <is>
          <t>Скотное</t>
        </is>
      </c>
      <c r="AH57" t="inlineStr">
        <is>
          <t>Скотное</t>
        </is>
      </c>
      <c r="AI57" t="inlineStr">
        <is>
          <t>Скотное дер.</t>
        </is>
      </c>
      <c r="AJ57" t="inlineStr">
        <is>
          <t>Парнас</t>
        </is>
      </c>
      <c r="AK57" t="inlineStr"/>
      <c r="AL57" t="inlineStr"/>
    </row>
    <row r="58">
      <c r="A58" t="n">
        <v>99</v>
      </c>
      <c r="B58" t="n">
        <v>5</v>
      </c>
      <c r="C58" t="n">
        <v>3</v>
      </c>
      <c r="D58" t="n">
        <v>858587370</v>
      </c>
      <c r="E58" t="inlineStr"/>
      <c r="F58" t="inlineStr">
        <is>
          <t>Скотное дер.</t>
        </is>
      </c>
      <c r="G58" t="n">
        <v>82.3</v>
      </c>
      <c r="H58" t="inlineStr">
        <is>
          <t>12 348 000</t>
        </is>
      </c>
      <c r="I58" t="inlineStr"/>
      <c r="J58" t="inlineStr"/>
      <c r="K58" t="inlineStr"/>
      <c r="L58" t="inlineStr"/>
      <c r="M58" t="inlineStr"/>
      <c r="N58" t="inlineStr">
        <is>
          <t>yes</t>
        </is>
      </c>
      <c r="O58" t="inlineStr">
        <is>
          <t>pixel_heuristic</t>
        </is>
      </c>
      <c r="P58">
        <f>HYPERLINK("https://knru.ru/catalog/skotnoe-der-858587370/","ссылка")</f>
        <v/>
      </c>
      <c r="Q58" t="inlineStr"/>
      <c r="R58" t="inlineStr">
        <is>
          <t>Нет у нас</t>
        </is>
      </c>
      <c r="S58" t="n">
        <v>0</v>
      </c>
      <c r="T58" t="inlineStr">
        <is>
          <t>Совпадений по улице+дому не найдено</t>
        </is>
      </c>
      <c r="U58" t="n">
        <v>99</v>
      </c>
      <c r="V58" t="n">
        <v>5</v>
      </c>
      <c r="W58" t="n">
        <v>3</v>
      </c>
      <c r="X58" t="n">
        <v>12348000</v>
      </c>
      <c r="Y58" t="inlineStr"/>
      <c r="Z58" t="inlineStr"/>
      <c r="AA58" t="inlineStr">
        <is>
          <t>https://knru.ru/catalog/skotnoe-der-858587370/</t>
        </is>
      </c>
      <c r="AB58" t="inlineStr">
        <is>
          <t>A+</t>
        </is>
      </c>
      <c r="AC58" t="inlineStr">
        <is>
          <t>ok</t>
        </is>
      </c>
      <c r="AD58" t="inlineStr">
        <is>
          <t>Помещение свободного назначения, 82.32 м2</t>
        </is>
      </c>
      <c r="AE58" t="inlineStr">
        <is>
          <t>Помещение свободного назначения</t>
        </is>
      </c>
      <c r="AF58" t="inlineStr">
        <is>
          <t>Ленинградская область</t>
        </is>
      </c>
      <c r="AG58" t="inlineStr">
        <is>
          <t>Скотное</t>
        </is>
      </c>
      <c r="AH58" t="inlineStr">
        <is>
          <t>Скотное</t>
        </is>
      </c>
      <c r="AI58" t="inlineStr">
        <is>
          <t>Скотное дер.</t>
        </is>
      </c>
      <c r="AJ58" t="inlineStr">
        <is>
          <t>Парнас</t>
        </is>
      </c>
      <c r="AK58" t="inlineStr"/>
      <c r="AL58" t="inlineStr"/>
    </row>
    <row r="59">
      <c r="A59" t="n">
        <v>100</v>
      </c>
      <c r="B59" t="n">
        <v>5</v>
      </c>
      <c r="C59" t="n">
        <v>4</v>
      </c>
      <c r="D59" t="inlineStr"/>
      <c r="E59" t="inlineStr"/>
      <c r="F59" t="inlineStr">
        <is>
          <t>Скотное дер.</t>
        </is>
      </c>
      <c r="G59" t="n">
        <v>86.40000000000001</v>
      </c>
      <c r="H59" t="inlineStr">
        <is>
          <t>12 964 500</t>
        </is>
      </c>
      <c r="I59" t="inlineStr"/>
      <c r="J59" t="inlineStr"/>
      <c r="K59" t="inlineStr"/>
      <c r="L59" t="inlineStr"/>
      <c r="M59" t="inlineStr"/>
      <c r="N59" t="inlineStr">
        <is>
          <t>yes</t>
        </is>
      </c>
      <c r="O59" t="inlineStr">
        <is>
          <t>pixel_heuristic</t>
        </is>
      </c>
      <c r="P59">
        <f>HYPERLINK("https://knru.ru/catalog/skotnoe-der/","ссылка")</f>
        <v/>
      </c>
      <c r="Q59" t="inlineStr"/>
      <c r="R59" t="inlineStr">
        <is>
          <t>Нет у нас</t>
        </is>
      </c>
      <c r="S59" t="n">
        <v>0</v>
      </c>
      <c r="T59" t="inlineStr">
        <is>
          <t>Совпадений по улице+дому не найдено</t>
        </is>
      </c>
      <c r="U59" t="n">
        <v>100</v>
      </c>
      <c r="V59" t="n">
        <v>5</v>
      </c>
      <c r="W59" t="n">
        <v>4</v>
      </c>
      <c r="X59" t="n">
        <v>12964500</v>
      </c>
      <c r="Y59" t="inlineStr"/>
      <c r="Z59" t="inlineStr"/>
      <c r="AA59" t="inlineStr">
        <is>
          <t>https://knru.ru/catalog/skotnoe-der/</t>
        </is>
      </c>
      <c r="AB59" t="inlineStr">
        <is>
          <t>A+</t>
        </is>
      </c>
      <c r="AC59" t="inlineStr">
        <is>
          <t>ok</t>
        </is>
      </c>
      <c r="AD59" t="inlineStr">
        <is>
          <t>Помещение свободного назначения, 86.43 м2</t>
        </is>
      </c>
      <c r="AE59" t="inlineStr">
        <is>
          <t>Помещение свободного назначения</t>
        </is>
      </c>
      <c r="AF59" t="inlineStr">
        <is>
          <t>Ленинградская область</t>
        </is>
      </c>
      <c r="AG59" t="inlineStr">
        <is>
          <t>Скотное</t>
        </is>
      </c>
      <c r="AH59" t="inlineStr">
        <is>
          <t>Скотное</t>
        </is>
      </c>
      <c r="AI59" t="inlineStr">
        <is>
          <t>Скотное дер.</t>
        </is>
      </c>
      <c r="AJ59" t="inlineStr">
        <is>
          <t>Парнас</t>
        </is>
      </c>
      <c r="AK59" t="inlineStr"/>
      <c r="AL59" t="inlineStr"/>
    </row>
    <row r="60">
      <c r="A60" t="n">
        <v>101</v>
      </c>
      <c r="B60" t="n">
        <v>5</v>
      </c>
      <c r="C60" t="n">
        <v>5</v>
      </c>
      <c r="D60" t="n">
        <v>1835988823</v>
      </c>
      <c r="E60" t="inlineStr"/>
      <c r="F60" t="inlineStr">
        <is>
          <t>Виллозское г.п.</t>
        </is>
      </c>
      <c r="G60" t="n">
        <v>147.1</v>
      </c>
      <c r="H60" t="inlineStr">
        <is>
          <t>35 180 337</t>
        </is>
      </c>
      <c r="I60" t="inlineStr"/>
      <c r="J60" t="inlineStr"/>
      <c r="K60" t="inlineStr"/>
      <c r="L60" t="inlineStr"/>
      <c r="M60" t="inlineStr"/>
      <c r="N60" t="inlineStr">
        <is>
          <t>no</t>
        </is>
      </c>
      <c r="O60" t="inlineStr">
        <is>
          <t>none</t>
        </is>
      </c>
      <c r="P60">
        <f>HYPERLINK("https://knru.ru/catalog/villozskoe-g-p-1835988823/","ссылка")</f>
        <v/>
      </c>
      <c r="Q60" t="inlineStr"/>
      <c r="R60" t="inlineStr">
        <is>
          <t>Нет у нас</t>
        </is>
      </c>
      <c r="S60" t="n">
        <v>0</v>
      </c>
      <c r="T60" t="inlineStr">
        <is>
          <t>Совпадений по улице+дому не найдено</t>
        </is>
      </c>
      <c r="U60" t="n">
        <v>101</v>
      </c>
      <c r="V60" t="n">
        <v>5</v>
      </c>
      <c r="W60" t="n">
        <v>5</v>
      </c>
      <c r="X60" t="n">
        <v>35180337</v>
      </c>
      <c r="Y60" t="inlineStr"/>
      <c r="Z60" t="inlineStr"/>
      <c r="AA60" t="inlineStr">
        <is>
          <t>https://knru.ru/catalog/villozskoe-g-p-1835988823/</t>
        </is>
      </c>
      <c r="AB60" t="inlineStr">
        <is>
          <t>A</t>
        </is>
      </c>
      <c r="AC60" t="inlineStr">
        <is>
          <t>ok</t>
        </is>
      </c>
      <c r="AD60" t="inlineStr">
        <is>
          <t>Помещение свободного назначения, 147.07 м2</t>
        </is>
      </c>
      <c r="AE60" t="inlineStr">
        <is>
          <t>Помещение свободного назначения</t>
        </is>
      </c>
      <c r="AF60" t="inlineStr">
        <is>
          <t>Ленинградская область</t>
        </is>
      </c>
      <c r="AG60" t="inlineStr">
        <is>
          <t>Виллозское</t>
        </is>
      </c>
      <c r="AH60" t="inlineStr">
        <is>
          <t>Виллозское</t>
        </is>
      </c>
      <c r="AI60" t="inlineStr">
        <is>
          <t>Виллозское г.п.</t>
        </is>
      </c>
      <c r="AJ60" t="inlineStr">
        <is>
          <t>Проспект Ветеранов</t>
        </is>
      </c>
      <c r="AK60" t="inlineStr"/>
      <c r="AL60" t="inlineStr"/>
    </row>
    <row r="61">
      <c r="A61" t="n">
        <v>102</v>
      </c>
      <c r="B61" t="n">
        <v>5</v>
      </c>
      <c r="C61" t="n">
        <v>6</v>
      </c>
      <c r="D61" t="n">
        <v>1880209685</v>
      </c>
      <c r="E61" t="inlineStr"/>
      <c r="F61" t="inlineStr">
        <is>
          <t>Виллозское г.п.</t>
        </is>
      </c>
      <c r="G61" t="n">
        <v>105.7</v>
      </c>
      <c r="H61" t="inlineStr">
        <is>
          <t>24 842 779</t>
        </is>
      </c>
      <c r="I61" t="inlineStr"/>
      <c r="J61" t="inlineStr"/>
      <c r="K61" t="inlineStr"/>
      <c r="L61" t="inlineStr"/>
      <c r="M61" t="inlineStr"/>
      <c r="N61" t="inlineStr">
        <is>
          <t>no</t>
        </is>
      </c>
      <c r="O61" t="inlineStr">
        <is>
          <t>none</t>
        </is>
      </c>
      <c r="P61">
        <f>HYPERLINK("https://knru.ru/catalog/villozskoe-g-p-1880209685/","ссылка")</f>
        <v/>
      </c>
      <c r="Q61" t="inlineStr"/>
      <c r="R61" t="inlineStr">
        <is>
          <t>Нет у нас</t>
        </is>
      </c>
      <c r="S61" t="n">
        <v>0</v>
      </c>
      <c r="T61" t="inlineStr">
        <is>
          <t>Совпадений по улице+дому не найдено</t>
        </is>
      </c>
      <c r="U61" t="n">
        <v>102</v>
      </c>
      <c r="V61" t="n">
        <v>5</v>
      </c>
      <c r="W61" t="n">
        <v>6</v>
      </c>
      <c r="X61" t="n">
        <v>24842779</v>
      </c>
      <c r="Y61" t="inlineStr"/>
      <c r="Z61" t="inlineStr"/>
      <c r="AA61" t="inlineStr">
        <is>
          <t>https://knru.ru/catalog/villozskoe-g-p-1880209685/</t>
        </is>
      </c>
      <c r="AB61" t="inlineStr">
        <is>
          <t>A</t>
        </is>
      </c>
      <c r="AC61" t="inlineStr">
        <is>
          <t>ok</t>
        </is>
      </c>
      <c r="AD61" t="inlineStr">
        <is>
          <t>Помещение свободного назначения, 105.74 м2</t>
        </is>
      </c>
      <c r="AE61" t="inlineStr">
        <is>
          <t>Помещение свободного назначения</t>
        </is>
      </c>
      <c r="AF61" t="inlineStr">
        <is>
          <t>Ленинградская область</t>
        </is>
      </c>
      <c r="AG61" t="inlineStr">
        <is>
          <t>Виллозское</t>
        </is>
      </c>
      <c r="AH61" t="inlineStr">
        <is>
          <t>Виллозское</t>
        </is>
      </c>
      <c r="AI61" t="inlineStr">
        <is>
          <t>Виллозское г.п.</t>
        </is>
      </c>
      <c r="AJ61" t="inlineStr">
        <is>
          <t>Проспект Ветеранов</t>
        </is>
      </c>
      <c r="AK61" t="inlineStr"/>
      <c r="AL61" t="inlineStr"/>
    </row>
    <row r="62">
      <c r="A62" t="n">
        <v>103</v>
      </c>
      <c r="B62" t="n">
        <v>5</v>
      </c>
      <c r="C62" t="n">
        <v>7</v>
      </c>
      <c r="D62" t="n">
        <v>1695344423</v>
      </c>
      <c r="E62" t="inlineStr"/>
      <c r="F62" t="inlineStr">
        <is>
          <t>Виллозское г.п.</t>
        </is>
      </c>
      <c r="G62" t="n">
        <v>102.9</v>
      </c>
      <c r="H62" t="inlineStr">
        <is>
          <t>24 529 043</t>
        </is>
      </c>
      <c r="I62" t="inlineStr"/>
      <c r="J62" t="inlineStr"/>
      <c r="K62" t="inlineStr"/>
      <c r="L62" t="inlineStr"/>
      <c r="M62" t="inlineStr"/>
      <c r="N62" t="inlineStr">
        <is>
          <t>no</t>
        </is>
      </c>
      <c r="O62" t="inlineStr">
        <is>
          <t>none</t>
        </is>
      </c>
      <c r="P62">
        <f>HYPERLINK("https://knru.ru/catalog/villozskoe-g-p-1695344423/","ссылка")</f>
        <v/>
      </c>
      <c r="Q62" t="inlineStr"/>
      <c r="R62" t="inlineStr">
        <is>
          <t>Нет у нас</t>
        </is>
      </c>
      <c r="S62" t="n">
        <v>0</v>
      </c>
      <c r="T62" t="inlineStr">
        <is>
          <t>Совпадений по улице+дому не найдено</t>
        </is>
      </c>
      <c r="U62" t="n">
        <v>103</v>
      </c>
      <c r="V62" t="n">
        <v>5</v>
      </c>
      <c r="W62" t="n">
        <v>7</v>
      </c>
      <c r="X62" t="n">
        <v>24529043</v>
      </c>
      <c r="Y62" t="inlineStr"/>
      <c r="Z62" t="inlineStr"/>
      <c r="AA62" t="inlineStr">
        <is>
          <t>https://knru.ru/catalog/villozskoe-g-p-1695344423/</t>
        </is>
      </c>
      <c r="AB62" t="inlineStr">
        <is>
          <t>A</t>
        </is>
      </c>
      <c r="AC62" t="inlineStr">
        <is>
          <t>ok</t>
        </is>
      </c>
      <c r="AD62" t="inlineStr">
        <is>
          <t>Помещение свободного назначения, 102.92 м2</t>
        </is>
      </c>
      <c r="AE62" t="inlineStr">
        <is>
          <t>Помещение свободного назначения</t>
        </is>
      </c>
      <c r="AF62" t="inlineStr">
        <is>
          <t>Ленинградская область</t>
        </is>
      </c>
      <c r="AG62" t="inlineStr">
        <is>
          <t>Виллозское</t>
        </is>
      </c>
      <c r="AH62" t="inlineStr">
        <is>
          <t>Виллозское</t>
        </is>
      </c>
      <c r="AI62" t="inlineStr">
        <is>
          <t>Виллозское г.п.</t>
        </is>
      </c>
      <c r="AJ62" t="inlineStr">
        <is>
          <t>Проспект Ветеранов</t>
        </is>
      </c>
      <c r="AK62" t="inlineStr"/>
      <c r="AL62" t="inlineStr"/>
    </row>
    <row r="63">
      <c r="A63" t="n">
        <v>104</v>
      </c>
      <c r="B63" t="n">
        <v>5</v>
      </c>
      <c r="C63" t="n">
        <v>8</v>
      </c>
      <c r="D63" t="n">
        <v>1640340625</v>
      </c>
      <c r="E63" t="inlineStr"/>
      <c r="F63" t="inlineStr">
        <is>
          <t>Виллозское г.п.</t>
        </is>
      </c>
      <c r="G63" t="n">
        <v>124.8</v>
      </c>
      <c r="H63" t="inlineStr">
        <is>
          <t>27 273 424</t>
        </is>
      </c>
      <c r="I63" t="inlineStr"/>
      <c r="J63" t="inlineStr"/>
      <c r="K63" t="inlineStr"/>
      <c r="L63" t="inlineStr"/>
      <c r="M63" t="inlineStr"/>
      <c r="N63" t="inlineStr">
        <is>
          <t>no</t>
        </is>
      </c>
      <c r="O63" t="inlineStr">
        <is>
          <t>none</t>
        </is>
      </c>
      <c r="P63">
        <f>HYPERLINK("https://knru.ru/catalog/villozskoe-g-p-1640340625/","ссылка")</f>
        <v/>
      </c>
      <c r="Q63" t="inlineStr"/>
      <c r="R63" t="inlineStr">
        <is>
          <t>Нет у нас</t>
        </is>
      </c>
      <c r="S63" t="n">
        <v>0</v>
      </c>
      <c r="T63" t="inlineStr">
        <is>
          <t>Совпадений по улице+дому не найдено</t>
        </is>
      </c>
      <c r="U63" t="n">
        <v>104</v>
      </c>
      <c r="V63" t="n">
        <v>5</v>
      </c>
      <c r="W63" t="n">
        <v>8</v>
      </c>
      <c r="X63" t="n">
        <v>27273424</v>
      </c>
      <c r="Y63" t="inlineStr"/>
      <c r="Z63" t="inlineStr"/>
      <c r="AA63" t="inlineStr">
        <is>
          <t>https://knru.ru/catalog/villozskoe-g-p-1640340625/</t>
        </is>
      </c>
      <c r="AB63" t="inlineStr">
        <is>
          <t>A</t>
        </is>
      </c>
      <c r="AC63" t="inlineStr">
        <is>
          <t>ok</t>
        </is>
      </c>
      <c r="AD63" t="inlineStr">
        <is>
          <t>Помещение свободного назначения, 124.76 м2</t>
        </is>
      </c>
      <c r="AE63" t="inlineStr">
        <is>
          <t>Помещение свободного назначения</t>
        </is>
      </c>
      <c r="AF63" t="inlineStr">
        <is>
          <t>Ленинградская область</t>
        </is>
      </c>
      <c r="AG63" t="inlineStr">
        <is>
          <t>Виллозское</t>
        </is>
      </c>
      <c r="AH63" t="inlineStr">
        <is>
          <t>Виллозское</t>
        </is>
      </c>
      <c r="AI63" t="inlineStr">
        <is>
          <t>Виллозское г.п.</t>
        </is>
      </c>
      <c r="AJ63" t="inlineStr">
        <is>
          <t>Проспект Ветеранов</t>
        </is>
      </c>
      <c r="AK63" t="inlineStr"/>
      <c r="AL63" t="inlineStr"/>
    </row>
    <row r="64">
      <c r="A64" t="n">
        <v>105</v>
      </c>
      <c r="B64" t="n">
        <v>5</v>
      </c>
      <c r="C64" t="n">
        <v>9</v>
      </c>
      <c r="D64" t="n">
        <v>45926473</v>
      </c>
      <c r="E64" t="inlineStr"/>
      <c r="F64" t="inlineStr">
        <is>
          <t>Виллозское г.п.</t>
        </is>
      </c>
      <c r="G64" t="n">
        <v>166.7</v>
      </c>
      <c r="H64" t="inlineStr">
        <is>
          <t>39 579 336</t>
        </is>
      </c>
      <c r="I64" t="inlineStr"/>
      <c r="J64" t="inlineStr"/>
      <c r="K64" t="inlineStr"/>
      <c r="L64" t="inlineStr"/>
      <c r="M64" t="inlineStr"/>
      <c r="N64" t="inlineStr">
        <is>
          <t>no</t>
        </is>
      </c>
      <c r="O64" t="inlineStr">
        <is>
          <t>none</t>
        </is>
      </c>
      <c r="P64">
        <f>HYPERLINK("https://knru.ru/catalog/villozskoe-g-p-45926473/","ссылка")</f>
        <v/>
      </c>
      <c r="Q64" t="inlineStr"/>
      <c r="R64" t="inlineStr">
        <is>
          <t>Нет у нас</t>
        </is>
      </c>
      <c r="S64" t="n">
        <v>0</v>
      </c>
      <c r="T64" t="inlineStr">
        <is>
          <t>Совпадений по улице+дому не найдено</t>
        </is>
      </c>
      <c r="U64" t="n">
        <v>105</v>
      </c>
      <c r="V64" t="n">
        <v>5</v>
      </c>
      <c r="W64" t="n">
        <v>9</v>
      </c>
      <c r="X64" t="n">
        <v>39579336</v>
      </c>
      <c r="Y64" t="inlineStr"/>
      <c r="Z64" t="inlineStr"/>
      <c r="AA64" t="inlineStr">
        <is>
          <t>https://knru.ru/catalog/villozskoe-g-p-45926473/</t>
        </is>
      </c>
      <c r="AB64" t="inlineStr">
        <is>
          <t>A</t>
        </is>
      </c>
      <c r="AC64" t="inlineStr">
        <is>
          <t>ok</t>
        </is>
      </c>
      <c r="AD64" t="inlineStr">
        <is>
          <t>Помещение свободного назначения, 166.66 м2</t>
        </is>
      </c>
      <c r="AE64" t="inlineStr">
        <is>
          <t>Помещение свободного назначения</t>
        </is>
      </c>
      <c r="AF64" t="inlineStr">
        <is>
          <t>Ленинградская область</t>
        </is>
      </c>
      <c r="AG64" t="inlineStr">
        <is>
          <t>Виллозское</t>
        </is>
      </c>
      <c r="AH64" t="inlineStr">
        <is>
          <t>Виллозское</t>
        </is>
      </c>
      <c r="AI64" t="inlineStr">
        <is>
          <t>Виллозское г.п.</t>
        </is>
      </c>
      <c r="AJ64" t="inlineStr">
        <is>
          <t>Проспект Ветеранов</t>
        </is>
      </c>
      <c r="AK64" t="inlineStr"/>
      <c r="AL64" t="inlineStr"/>
    </row>
    <row r="65">
      <c r="A65" t="n">
        <v>106</v>
      </c>
      <c r="B65" t="n">
        <v>5</v>
      </c>
      <c r="C65" t="n">
        <v>10</v>
      </c>
      <c r="D65" t="n">
        <v>1528062831</v>
      </c>
      <c r="E65" t="inlineStr"/>
      <c r="F65" t="inlineStr">
        <is>
          <t>Виллозское г.п.</t>
        </is>
      </c>
      <c r="G65" t="n">
        <v>139.6</v>
      </c>
      <c r="H65" t="inlineStr">
        <is>
          <t>30 477 987</t>
        </is>
      </c>
      <c r="I65" t="inlineStr"/>
      <c r="J65" t="inlineStr"/>
      <c r="K65" t="inlineStr"/>
      <c r="L65" t="inlineStr"/>
      <c r="M65" t="inlineStr"/>
      <c r="N65" t="inlineStr">
        <is>
          <t>no</t>
        </is>
      </c>
      <c r="O65" t="inlineStr">
        <is>
          <t>none</t>
        </is>
      </c>
      <c r="P65">
        <f>HYPERLINK("https://knru.ru/catalog/villozskoe-g-p-1528062831/","ссылка")</f>
        <v/>
      </c>
      <c r="Q65" t="inlineStr"/>
      <c r="R65" t="inlineStr">
        <is>
          <t>Нет у нас</t>
        </is>
      </c>
      <c r="S65" t="n">
        <v>0</v>
      </c>
      <c r="T65" t="inlineStr">
        <is>
          <t>Совпадений по улице+дому не найдено</t>
        </is>
      </c>
      <c r="U65" t="n">
        <v>106</v>
      </c>
      <c r="V65" t="n">
        <v>5</v>
      </c>
      <c r="W65" t="n">
        <v>10</v>
      </c>
      <c r="X65" t="n">
        <v>30477987</v>
      </c>
      <c r="Y65" t="inlineStr"/>
      <c r="Z65" t="inlineStr"/>
      <c r="AA65" t="inlineStr">
        <is>
          <t>https://knru.ru/catalog/villozskoe-g-p-1528062831/</t>
        </is>
      </c>
      <c r="AB65" t="inlineStr">
        <is>
          <t>A</t>
        </is>
      </c>
      <c r="AC65" t="inlineStr">
        <is>
          <t>ok</t>
        </is>
      </c>
      <c r="AD65" t="inlineStr">
        <is>
          <t>Помещение свободного назначения, 139.55 м2</t>
        </is>
      </c>
      <c r="AE65" t="inlineStr">
        <is>
          <t>Помещение свободного назначения</t>
        </is>
      </c>
      <c r="AF65" t="inlineStr">
        <is>
          <t>Ленинградская область</t>
        </is>
      </c>
      <c r="AG65" t="inlineStr">
        <is>
          <t>Виллозское</t>
        </is>
      </c>
      <c r="AH65" t="inlineStr">
        <is>
          <t>Виллозское</t>
        </is>
      </c>
      <c r="AI65" t="inlineStr">
        <is>
          <t>Виллозское г.п.</t>
        </is>
      </c>
      <c r="AJ65" t="inlineStr">
        <is>
          <t>Проспект Ветеранов</t>
        </is>
      </c>
      <c r="AK65" t="inlineStr"/>
      <c r="AL65" t="inlineStr"/>
    </row>
    <row r="66">
      <c r="A66" t="n">
        <v>107</v>
      </c>
      <c r="B66" t="n">
        <v>5</v>
      </c>
      <c r="C66" t="n">
        <v>11</v>
      </c>
      <c r="D66" t="inlineStr"/>
      <c r="E66" t="inlineStr"/>
      <c r="F66" t="inlineStr">
        <is>
          <t>Виллозское г.п.</t>
        </is>
      </c>
      <c r="G66" t="n">
        <v>94.8</v>
      </c>
      <c r="H66" t="inlineStr">
        <is>
          <t>23 770 338</t>
        </is>
      </c>
      <c r="I66" t="inlineStr"/>
      <c r="J66" t="inlineStr"/>
      <c r="K66" t="inlineStr"/>
      <c r="L66" t="inlineStr"/>
      <c r="M66" t="inlineStr"/>
      <c r="N66" t="inlineStr">
        <is>
          <t>no</t>
        </is>
      </c>
      <c r="O66" t="inlineStr">
        <is>
          <t>none</t>
        </is>
      </c>
      <c r="P66">
        <f>HYPERLINK("https://knru.ru/catalog/villozskoe-g-p/","ссылка")</f>
        <v/>
      </c>
      <c r="Q66" t="inlineStr"/>
      <c r="R66" t="inlineStr">
        <is>
          <t>Нет у нас</t>
        </is>
      </c>
      <c r="S66" t="n">
        <v>0</v>
      </c>
      <c r="T66" t="inlineStr">
        <is>
          <t>Совпадений по улице+дому не найдено</t>
        </is>
      </c>
      <c r="U66" t="n">
        <v>107</v>
      </c>
      <c r="V66" t="n">
        <v>5</v>
      </c>
      <c r="W66" t="n">
        <v>11</v>
      </c>
      <c r="X66" t="n">
        <v>23770338</v>
      </c>
      <c r="Y66" t="inlineStr"/>
      <c r="Z66" t="inlineStr"/>
      <c r="AA66" t="inlineStr">
        <is>
          <t>https://knru.ru/catalog/villozskoe-g-p/</t>
        </is>
      </c>
      <c r="AB66" t="inlineStr">
        <is>
          <t>A</t>
        </is>
      </c>
      <c r="AC66" t="inlineStr">
        <is>
          <t>ok</t>
        </is>
      </c>
      <c r="AD66" t="inlineStr">
        <is>
          <t>Помещение свободного назначения, 94.81 м2</t>
        </is>
      </c>
      <c r="AE66" t="inlineStr">
        <is>
          <t>Помещение свободного назначения</t>
        </is>
      </c>
      <c r="AF66" t="inlineStr">
        <is>
          <t>Ленинградская область</t>
        </is>
      </c>
      <c r="AG66" t="inlineStr">
        <is>
          <t>Виллозское</t>
        </is>
      </c>
      <c r="AH66" t="inlineStr">
        <is>
          <t>Виллозское</t>
        </is>
      </c>
      <c r="AI66" t="inlineStr">
        <is>
          <t>Виллозское г.п.</t>
        </is>
      </c>
      <c r="AJ66" t="inlineStr">
        <is>
          <t>Проспект Ветеранов</t>
        </is>
      </c>
      <c r="AK66" t="inlineStr"/>
      <c r="AL66" t="inlineStr"/>
    </row>
    <row r="67">
      <c r="A67" t="n">
        <v>108</v>
      </c>
      <c r="B67" t="n">
        <v>5</v>
      </c>
      <c r="C67" t="n">
        <v>12</v>
      </c>
      <c r="D67" t="n">
        <v>675241557</v>
      </c>
      <c r="E67" t="inlineStr"/>
      <c r="F67" t="inlineStr">
        <is>
          <t>Лаголово дер.</t>
        </is>
      </c>
      <c r="G67" t="n">
        <v>116.9</v>
      </c>
      <c r="H67" t="inlineStr">
        <is>
          <t>20 120 828</t>
        </is>
      </c>
      <c r="I67" t="inlineStr"/>
      <c r="J67" t="inlineStr"/>
      <c r="K67" t="inlineStr"/>
      <c r="L67" t="inlineStr"/>
      <c r="M67" t="inlineStr"/>
      <c r="N67" t="inlineStr">
        <is>
          <t>yes</t>
        </is>
      </c>
      <c r="O67" t="inlineStr">
        <is>
          <t>pixel_heuristic</t>
        </is>
      </c>
      <c r="P67">
        <f>HYPERLINK("https://knru.ru/catalog/lagolovo-der-675241557/","ссылка")</f>
        <v/>
      </c>
      <c r="Q67" t="inlineStr"/>
      <c r="R67" t="inlineStr">
        <is>
          <t>Нет у нас</t>
        </is>
      </c>
      <c r="S67" t="n">
        <v>0</v>
      </c>
      <c r="T67" t="inlineStr">
        <is>
          <t>Совпадений по улице+дому не найдено</t>
        </is>
      </c>
      <c r="U67" t="n">
        <v>108</v>
      </c>
      <c r="V67" t="n">
        <v>5</v>
      </c>
      <c r="W67" t="n">
        <v>12</v>
      </c>
      <c r="X67" t="n">
        <v>20120828</v>
      </c>
      <c r="Y67" t="inlineStr"/>
      <c r="Z67" t="inlineStr"/>
      <c r="AA67" t="inlineStr">
        <is>
          <t>https://knru.ru/catalog/lagolovo-der-675241557/</t>
        </is>
      </c>
      <c r="AB67" t="inlineStr">
        <is>
          <t>A+</t>
        </is>
      </c>
      <c r="AC67" t="inlineStr">
        <is>
          <t>ok</t>
        </is>
      </c>
      <c r="AD67" t="inlineStr">
        <is>
          <t>Помещение свободного назначения, 116.9 м2</t>
        </is>
      </c>
      <c r="AE67" t="inlineStr">
        <is>
          <t>Помещение свободного назначения</t>
        </is>
      </c>
      <c r="AF67" t="inlineStr">
        <is>
          <t>Ленинградская область</t>
        </is>
      </c>
      <c r="AG67" t="inlineStr">
        <is>
          <t>Лаголово</t>
        </is>
      </c>
      <c r="AH67" t="inlineStr">
        <is>
          <t>Лаголово</t>
        </is>
      </c>
      <c r="AI67" t="inlineStr">
        <is>
          <t>Лаголово дер.</t>
        </is>
      </c>
      <c r="AJ67" t="inlineStr">
        <is>
          <t>Проспект Ветеранов</t>
        </is>
      </c>
      <c r="AK67" t="inlineStr"/>
      <c r="AL67" t="inlineStr"/>
    </row>
    <row r="68">
      <c r="A68" t="n">
        <v>109</v>
      </c>
      <c r="B68" t="n">
        <v>5</v>
      </c>
      <c r="C68" t="n">
        <v>13</v>
      </c>
      <c r="D68" t="n">
        <v>1817799514</v>
      </c>
      <c r="E68" t="inlineStr"/>
      <c r="F68" t="inlineStr">
        <is>
          <t>Лаголово дер.</t>
        </is>
      </c>
      <c r="G68" t="n">
        <v>112.1</v>
      </c>
      <c r="H68" t="inlineStr">
        <is>
          <t>18 198 314</t>
        </is>
      </c>
      <c r="I68" t="inlineStr"/>
      <c r="J68" t="inlineStr"/>
      <c r="K68" t="inlineStr"/>
      <c r="L68" t="inlineStr"/>
      <c r="M68" t="inlineStr"/>
      <c r="N68" t="inlineStr">
        <is>
          <t>yes</t>
        </is>
      </c>
      <c r="O68" t="inlineStr">
        <is>
          <t>pixel_heuristic</t>
        </is>
      </c>
      <c r="P68">
        <f>HYPERLINK("https://knru.ru/catalog/lagolovo-der-1817799514/","ссылка")</f>
        <v/>
      </c>
      <c r="Q68" t="inlineStr"/>
      <c r="R68" t="inlineStr">
        <is>
          <t>Нет у нас</t>
        </is>
      </c>
      <c r="S68" t="n">
        <v>0</v>
      </c>
      <c r="T68" t="inlineStr">
        <is>
          <t>Совпадений по улице+дому не найдено</t>
        </is>
      </c>
      <c r="U68" t="n">
        <v>109</v>
      </c>
      <c r="V68" t="n">
        <v>5</v>
      </c>
      <c r="W68" t="n">
        <v>13</v>
      </c>
      <c r="X68" t="n">
        <v>18198314</v>
      </c>
      <c r="Y68" t="inlineStr"/>
      <c r="Z68" t="inlineStr"/>
      <c r="AA68" t="inlineStr">
        <is>
          <t>https://knru.ru/catalog/lagolovo-der-1817799514/</t>
        </is>
      </c>
      <c r="AB68" t="inlineStr">
        <is>
          <t>A+</t>
        </is>
      </c>
      <c r="AC68" t="inlineStr">
        <is>
          <t>ok</t>
        </is>
      </c>
      <c r="AD68" t="inlineStr">
        <is>
          <t>Помещение свободного назначения, 112.1 м2</t>
        </is>
      </c>
      <c r="AE68" t="inlineStr">
        <is>
          <t>Помещение свободного назначения</t>
        </is>
      </c>
      <c r="AF68" t="inlineStr">
        <is>
          <t>Ленинградская область</t>
        </is>
      </c>
      <c r="AG68" t="inlineStr">
        <is>
          <t>Лаголово</t>
        </is>
      </c>
      <c r="AH68" t="inlineStr">
        <is>
          <t>Лаголово</t>
        </is>
      </c>
      <c r="AI68" t="inlineStr">
        <is>
          <t>Лаголово дер.</t>
        </is>
      </c>
      <c r="AJ68" t="inlineStr">
        <is>
          <t>Проспект Ветеранов</t>
        </is>
      </c>
      <c r="AK68" t="inlineStr"/>
      <c r="AL68" t="inlineStr"/>
    </row>
    <row r="69">
      <c r="A69" t="n">
        <v>110</v>
      </c>
      <c r="B69" t="n">
        <v>5</v>
      </c>
      <c r="C69" t="n">
        <v>14</v>
      </c>
      <c r="D69" t="n">
        <v>53510736</v>
      </c>
      <c r="E69" t="inlineStr"/>
      <c r="F69" t="inlineStr">
        <is>
          <t>Лаголово дер.</t>
        </is>
      </c>
      <c r="G69" t="n">
        <v>33.4</v>
      </c>
      <c r="H69" t="inlineStr">
        <is>
          <t>10 427 480</t>
        </is>
      </c>
      <c r="I69" t="inlineStr"/>
      <c r="J69" t="inlineStr"/>
      <c r="K69" t="inlineStr"/>
      <c r="L69" t="inlineStr"/>
      <c r="M69" t="inlineStr"/>
      <c r="N69" t="inlineStr">
        <is>
          <t>yes</t>
        </is>
      </c>
      <c r="O69" t="inlineStr">
        <is>
          <t>pixel_heuristic</t>
        </is>
      </c>
      <c r="P69">
        <f>HYPERLINK("https://knru.ru/catalog/lagolovo-der-53510736/","ссылка")</f>
        <v/>
      </c>
      <c r="Q69" t="inlineStr"/>
      <c r="R69" t="inlineStr">
        <is>
          <t>Нет у нас</t>
        </is>
      </c>
      <c r="S69" t="n">
        <v>0</v>
      </c>
      <c r="T69" t="inlineStr">
        <is>
          <t>Совпадений по улице+дому не найдено</t>
        </is>
      </c>
      <c r="U69" t="n">
        <v>110</v>
      </c>
      <c r="V69" t="n">
        <v>5</v>
      </c>
      <c r="W69" t="n">
        <v>14</v>
      </c>
      <c r="X69" t="n">
        <v>10427480</v>
      </c>
      <c r="Y69" t="inlineStr"/>
      <c r="Z69" t="inlineStr"/>
      <c r="AA69" t="inlineStr">
        <is>
          <t>https://knru.ru/catalog/lagolovo-der-53510736/</t>
        </is>
      </c>
      <c r="AB69" t="inlineStr">
        <is>
          <t>A+</t>
        </is>
      </c>
      <c r="AC69" t="inlineStr">
        <is>
          <t>ok</t>
        </is>
      </c>
      <c r="AD69" t="inlineStr">
        <is>
          <t>Помещение свободного назначения, 33.4 м2</t>
        </is>
      </c>
      <c r="AE69" t="inlineStr">
        <is>
          <t>Помещение свободного назначения</t>
        </is>
      </c>
      <c r="AF69" t="inlineStr">
        <is>
          <t>Ленинградская область</t>
        </is>
      </c>
      <c r="AG69" t="inlineStr">
        <is>
          <t>Лаголово</t>
        </is>
      </c>
      <c r="AH69" t="inlineStr">
        <is>
          <t>Лаголово</t>
        </is>
      </c>
      <c r="AI69" t="inlineStr">
        <is>
          <t>Лаголово дер.</t>
        </is>
      </c>
      <c r="AJ69" t="inlineStr">
        <is>
          <t>Проспект Ветеранов</t>
        </is>
      </c>
      <c r="AK69" t="inlineStr"/>
      <c r="AL69" t="inlineStr"/>
    </row>
    <row r="70">
      <c r="A70" t="n">
        <v>111</v>
      </c>
      <c r="B70" t="n">
        <v>5</v>
      </c>
      <c r="C70" t="n">
        <v>15</v>
      </c>
      <c r="D70" t="n">
        <v>979636662</v>
      </c>
      <c r="E70" t="inlineStr"/>
      <c r="F70" t="inlineStr">
        <is>
          <t>Центральная ул., д. 30 к 2</t>
        </is>
      </c>
      <c r="G70" t="n">
        <v>69.8</v>
      </c>
      <c r="H70" t="inlineStr">
        <is>
          <t>14 786 888</t>
        </is>
      </c>
      <c r="I70" t="inlineStr"/>
      <c r="J70" t="inlineStr"/>
      <c r="K70" t="inlineStr"/>
      <c r="L70" t="inlineStr"/>
      <c r="M70" t="inlineStr"/>
      <c r="N70" t="inlineStr">
        <is>
          <t>yes</t>
        </is>
      </c>
      <c r="O70" t="inlineStr">
        <is>
          <t>pixel_heuristic</t>
        </is>
      </c>
      <c r="P70">
        <f>HYPERLINK("https://knru.ru/catalog/tsentralnaya-ul-d-30-k-2-979636662/","ссылка")</f>
        <v/>
      </c>
      <c r="Q70" t="inlineStr"/>
      <c r="R70" t="inlineStr">
        <is>
          <t>Нет у нас</t>
        </is>
      </c>
      <c r="S70" t="n">
        <v>0</v>
      </c>
      <c r="T70" t="inlineStr">
        <is>
          <t>Совпадений по улице+дому не найдено</t>
        </is>
      </c>
      <c r="U70" t="n">
        <v>111</v>
      </c>
      <c r="V70" t="n">
        <v>5</v>
      </c>
      <c r="W70" t="n">
        <v>15</v>
      </c>
      <c r="X70" t="n">
        <v>14786888</v>
      </c>
      <c r="Y70" t="inlineStr"/>
      <c r="Z70" t="inlineStr"/>
      <c r="AA70" t="inlineStr">
        <is>
          <t>https://knru.ru/catalog/tsentralnaya-ul-d-30-k-2-979636662/</t>
        </is>
      </c>
      <c r="AB70" t="inlineStr">
        <is>
          <t>A+</t>
        </is>
      </c>
      <c r="AC70" t="inlineStr">
        <is>
          <t>ok</t>
        </is>
      </c>
      <c r="AD70" t="inlineStr">
        <is>
          <t>Помещение свободного назначения, 69.8 м2</t>
        </is>
      </c>
      <c r="AE70" t="inlineStr">
        <is>
          <t>Помещение свободного назначения</t>
        </is>
      </c>
      <c r="AF70" t="inlineStr">
        <is>
          <t>Ленинградская область</t>
        </is>
      </c>
      <c r="AG70" t="inlineStr">
        <is>
          <t>Новоселье</t>
        </is>
      </c>
      <c r="AH70" t="inlineStr">
        <is>
          <t>Новоселье</t>
        </is>
      </c>
      <c r="AI70" t="inlineStr">
        <is>
          <t>Центральная ул., д. 30 к 2</t>
        </is>
      </c>
      <c r="AJ70" t="inlineStr">
        <is>
          <t>Проспект Ветеранов</t>
        </is>
      </c>
      <c r="AK70" t="inlineStr"/>
      <c r="AL70" t="inlineStr"/>
    </row>
    <row r="71">
      <c r="A71" t="n">
        <v>112</v>
      </c>
      <c r="B71" t="n">
        <v>5</v>
      </c>
      <c r="C71" t="n">
        <v>16</v>
      </c>
      <c r="D71" t="n">
        <v>1833462499</v>
      </c>
      <c r="E71" t="inlineStr"/>
      <c r="F71" t="inlineStr">
        <is>
          <t>Центральная ул., д. 30 к 2</t>
        </is>
      </c>
      <c r="G71" t="n">
        <v>109.2</v>
      </c>
      <c r="H71" t="inlineStr">
        <is>
          <t>19 236 888</t>
        </is>
      </c>
      <c r="I71" t="inlineStr"/>
      <c r="J71" t="inlineStr"/>
      <c r="K71" t="inlineStr"/>
      <c r="L71" t="inlineStr"/>
      <c r="M71" t="inlineStr"/>
      <c r="N71" t="inlineStr">
        <is>
          <t>yes</t>
        </is>
      </c>
      <c r="O71" t="inlineStr">
        <is>
          <t>pixel_heuristic</t>
        </is>
      </c>
      <c r="P71">
        <f>HYPERLINK("https://knru.ru/catalog/tsentralnaya-ul-d-30-k-2-1833462499/","ссылка")</f>
        <v/>
      </c>
      <c r="Q71" t="inlineStr"/>
      <c r="R71" t="inlineStr">
        <is>
          <t>Нет у нас</t>
        </is>
      </c>
      <c r="S71" t="n">
        <v>0</v>
      </c>
      <c r="T71" t="inlineStr">
        <is>
          <t>Совпадений по улице+дому не найдено</t>
        </is>
      </c>
      <c r="U71" t="n">
        <v>112</v>
      </c>
      <c r="V71" t="n">
        <v>5</v>
      </c>
      <c r="W71" t="n">
        <v>16</v>
      </c>
      <c r="X71" t="n">
        <v>19236888</v>
      </c>
      <c r="Y71" t="inlineStr"/>
      <c r="Z71" t="inlineStr"/>
      <c r="AA71" t="inlineStr">
        <is>
          <t>https://knru.ru/catalog/tsentralnaya-ul-d-30-k-2-1833462499/</t>
        </is>
      </c>
      <c r="AB71" t="inlineStr">
        <is>
          <t>A+</t>
        </is>
      </c>
      <c r="AC71" t="inlineStr">
        <is>
          <t>ok</t>
        </is>
      </c>
      <c r="AD71" t="inlineStr">
        <is>
          <t>Помещение свободного назначения, 109.2 м2</t>
        </is>
      </c>
      <c r="AE71" t="inlineStr">
        <is>
          <t>Помещение свободного назначения</t>
        </is>
      </c>
      <c r="AF71" t="inlineStr">
        <is>
          <t>Ленинградская область</t>
        </is>
      </c>
      <c r="AG71" t="inlineStr">
        <is>
          <t>Новоселье</t>
        </is>
      </c>
      <c r="AH71" t="inlineStr">
        <is>
          <t>Новоселье</t>
        </is>
      </c>
      <c r="AI71" t="inlineStr">
        <is>
          <t>Центральная ул., д. 30 к 2</t>
        </is>
      </c>
      <c r="AJ71" t="inlineStr">
        <is>
          <t>Проспект Ветеранов</t>
        </is>
      </c>
      <c r="AK71" t="inlineStr"/>
      <c r="AL71" t="inlineStr"/>
    </row>
    <row r="72">
      <c r="A72" t="n">
        <v>113</v>
      </c>
      <c r="B72" t="n">
        <v>5</v>
      </c>
      <c r="C72" t="n">
        <v>17</v>
      </c>
      <c r="D72" t="n">
        <v>616889017</v>
      </c>
      <c r="E72" t="inlineStr"/>
      <c r="F72" t="inlineStr">
        <is>
          <t>Центральная ул., д. 30 к 2</t>
        </is>
      </c>
      <c r="G72" t="n">
        <v>94.5</v>
      </c>
      <c r="H72" t="inlineStr">
        <is>
          <t>16 620 888</t>
        </is>
      </c>
      <c r="I72" t="inlineStr"/>
      <c r="J72" t="inlineStr"/>
      <c r="K72" t="inlineStr"/>
      <c r="L72" t="inlineStr"/>
      <c r="M72" t="inlineStr"/>
      <c r="N72" t="inlineStr">
        <is>
          <t>yes</t>
        </is>
      </c>
      <c r="O72" t="inlineStr">
        <is>
          <t>pixel_heuristic</t>
        </is>
      </c>
      <c r="P72">
        <f>HYPERLINK("https://knru.ru/catalog/tsentralnaya-ul-d-30-k-2-616889017/","ссылка")</f>
        <v/>
      </c>
      <c r="Q72" t="inlineStr"/>
      <c r="R72" t="inlineStr">
        <is>
          <t>Нет у нас</t>
        </is>
      </c>
      <c r="S72" t="n">
        <v>0</v>
      </c>
      <c r="T72" t="inlineStr">
        <is>
          <t>Совпадений по улице+дому не найдено</t>
        </is>
      </c>
      <c r="U72" t="n">
        <v>113</v>
      </c>
      <c r="V72" t="n">
        <v>5</v>
      </c>
      <c r="W72" t="n">
        <v>17</v>
      </c>
      <c r="X72" t="n">
        <v>16620888</v>
      </c>
      <c r="Y72" t="inlineStr"/>
      <c r="Z72" t="inlineStr"/>
      <c r="AA72" t="inlineStr">
        <is>
          <t>https://knru.ru/catalog/tsentralnaya-ul-d-30-k-2-616889017/</t>
        </is>
      </c>
      <c r="AB72" t="inlineStr">
        <is>
          <t>A+</t>
        </is>
      </c>
      <c r="AC72" t="inlineStr">
        <is>
          <t>ok</t>
        </is>
      </c>
      <c r="AD72" t="inlineStr">
        <is>
          <t>Помещение свободного назначения, 94.5 м2</t>
        </is>
      </c>
      <c r="AE72" t="inlineStr">
        <is>
          <t>Помещение свободного назначения</t>
        </is>
      </c>
      <c r="AF72" t="inlineStr">
        <is>
          <t>Ленинградская область</t>
        </is>
      </c>
      <c r="AG72" t="inlineStr">
        <is>
          <t>Новоселье</t>
        </is>
      </c>
      <c r="AH72" t="inlineStr">
        <is>
          <t>Новоселье</t>
        </is>
      </c>
      <c r="AI72" t="inlineStr">
        <is>
          <t>Центральная ул., д. 30 к 2</t>
        </is>
      </c>
      <c r="AJ72" t="inlineStr">
        <is>
          <t>Проспект Ветеранов</t>
        </is>
      </c>
      <c r="AK72" t="inlineStr"/>
      <c r="AL72" t="inlineStr"/>
    </row>
    <row r="73">
      <c r="A73" t="n">
        <v>114</v>
      </c>
      <c r="B73" t="n">
        <v>5</v>
      </c>
      <c r="C73" t="n">
        <v>18</v>
      </c>
      <c r="D73" t="n">
        <v>2</v>
      </c>
      <c r="E73" t="inlineStr"/>
      <c r="F73" t="inlineStr">
        <is>
          <t>Центральная ул., д. 30 к 2</t>
        </is>
      </c>
      <c r="G73" t="n">
        <v>69.7</v>
      </c>
      <c r="H73" t="inlineStr">
        <is>
          <t>13 552 887</t>
        </is>
      </c>
      <c r="I73" t="inlineStr"/>
      <c r="J73" t="inlineStr"/>
      <c r="K73" t="inlineStr"/>
      <c r="L73" t="inlineStr"/>
      <c r="M73" t="inlineStr"/>
      <c r="N73" t="inlineStr">
        <is>
          <t>yes</t>
        </is>
      </c>
      <c r="O73" t="inlineStr">
        <is>
          <t>pixel_heuristic</t>
        </is>
      </c>
      <c r="P73">
        <f>HYPERLINK("https://knru.ru/catalog/tsentralnaya-ul-d-30-k-2/","ссылка")</f>
        <v/>
      </c>
      <c r="Q73" t="inlineStr"/>
      <c r="R73" t="inlineStr">
        <is>
          <t>Нет у нас</t>
        </is>
      </c>
      <c r="S73" t="n">
        <v>0</v>
      </c>
      <c r="T73" t="inlineStr">
        <is>
          <t>Совпадений по улице+дому не найдено</t>
        </is>
      </c>
      <c r="U73" t="n">
        <v>114</v>
      </c>
      <c r="V73" t="n">
        <v>5</v>
      </c>
      <c r="W73" t="n">
        <v>18</v>
      </c>
      <c r="X73" t="n">
        <v>13552887</v>
      </c>
      <c r="Y73" t="inlineStr"/>
      <c r="Z73" t="inlineStr"/>
      <c r="AA73" t="inlineStr">
        <is>
          <t>https://knru.ru/catalog/tsentralnaya-ul-d-30-k-2/</t>
        </is>
      </c>
      <c r="AB73" t="inlineStr">
        <is>
          <t>A+</t>
        </is>
      </c>
      <c r="AC73" t="inlineStr">
        <is>
          <t>ok</t>
        </is>
      </c>
      <c r="AD73" t="inlineStr">
        <is>
          <t>Помещение свободного назначения, 69.7 м2</t>
        </is>
      </c>
      <c r="AE73" t="inlineStr">
        <is>
          <t>Помещение свободного назначения</t>
        </is>
      </c>
      <c r="AF73" t="inlineStr">
        <is>
          <t>Ленинградская область</t>
        </is>
      </c>
      <c r="AG73" t="inlineStr">
        <is>
          <t>Новоселье</t>
        </is>
      </c>
      <c r="AH73" t="inlineStr">
        <is>
          <t>Новоселье</t>
        </is>
      </c>
      <c r="AI73" t="inlineStr">
        <is>
          <t>Центральная ул., д. 30 к 2</t>
        </is>
      </c>
      <c r="AJ73" t="inlineStr">
        <is>
          <t>Проспект Ветеранов</t>
        </is>
      </c>
      <c r="AK73" t="inlineStr"/>
      <c r="AL73" t="inlineStr"/>
    </row>
    <row r="74">
      <c r="A74" t="n">
        <v>115</v>
      </c>
      <c r="B74" t="n">
        <v>5</v>
      </c>
      <c r="C74" t="n">
        <v>19</v>
      </c>
      <c r="D74" t="n">
        <v>2007276624</v>
      </c>
      <c r="E74" t="inlineStr"/>
      <c r="F74" t="inlineStr">
        <is>
          <t>Новосаратовка дер.</t>
        </is>
      </c>
      <c r="G74" t="n">
        <v>128.8</v>
      </c>
      <c r="H74" t="inlineStr">
        <is>
          <t>27 611 227</t>
        </is>
      </c>
      <c r="I74" t="inlineStr"/>
      <c r="J74" t="inlineStr"/>
      <c r="K74" t="inlineStr"/>
      <c r="L74" t="inlineStr"/>
      <c r="M74" t="inlineStr"/>
      <c r="N74" t="inlineStr">
        <is>
          <t>no</t>
        </is>
      </c>
      <c r="O74" t="inlineStr">
        <is>
          <t>none</t>
        </is>
      </c>
      <c r="P74">
        <f>HYPERLINK("https://knru.ru/catalog/novosaratovka-der-2007276624/","ссылка")</f>
        <v/>
      </c>
      <c r="Q74" t="inlineStr"/>
      <c r="R74" t="inlineStr">
        <is>
          <t>Нет у нас</t>
        </is>
      </c>
      <c r="S74" t="n">
        <v>0</v>
      </c>
      <c r="T74" t="inlineStr">
        <is>
          <t>Совпадений по улице+дому не найдено</t>
        </is>
      </c>
      <c r="U74" t="n">
        <v>115</v>
      </c>
      <c r="V74" t="n">
        <v>5</v>
      </c>
      <c r="W74" t="n">
        <v>19</v>
      </c>
      <c r="X74" t="n">
        <v>27611227</v>
      </c>
      <c r="Y74" t="inlineStr"/>
      <c r="Z74" t="inlineStr"/>
      <c r="AA74" t="inlineStr">
        <is>
          <t>https://knru.ru/catalog/novosaratovka-der-2007276624/</t>
        </is>
      </c>
      <c r="AB74" t="inlineStr">
        <is>
          <t>A</t>
        </is>
      </c>
      <c r="AC74" t="inlineStr">
        <is>
          <t>ok</t>
        </is>
      </c>
      <c r="AD74" t="inlineStr">
        <is>
          <t>Помещение свободного назначения, 128.81 м2</t>
        </is>
      </c>
      <c r="AE74" t="inlineStr">
        <is>
          <t>Помещение свободного назначения</t>
        </is>
      </c>
      <c r="AF74" t="inlineStr">
        <is>
          <t>Ленинградская область</t>
        </is>
      </c>
      <c r="AG74" t="inlineStr">
        <is>
          <t>Новосаратовка</t>
        </is>
      </c>
      <c r="AH74" t="inlineStr">
        <is>
          <t>Новосаратовка</t>
        </is>
      </c>
      <c r="AI74" t="inlineStr">
        <is>
          <t>Новосаратовка дер.</t>
        </is>
      </c>
      <c r="AJ74" t="inlineStr">
        <is>
          <t>Пролетарская</t>
        </is>
      </c>
      <c r="AK74" t="inlineStr"/>
      <c r="AL74" t="inlineStr"/>
    </row>
    <row r="75">
      <c r="A75" t="n">
        <v>116</v>
      </c>
      <c r="B75" t="n">
        <v>5</v>
      </c>
      <c r="C75" t="n">
        <v>20</v>
      </c>
      <c r="D75" t="n">
        <v>853113999</v>
      </c>
      <c r="E75" t="inlineStr"/>
      <c r="F75" t="inlineStr">
        <is>
          <t>Новосаратовка дер.</t>
        </is>
      </c>
      <c r="G75" t="n">
        <v>220.1</v>
      </c>
      <c r="H75" t="inlineStr">
        <is>
          <t>46 407 726</t>
        </is>
      </c>
      <c r="I75" t="inlineStr"/>
      <c r="J75" t="inlineStr"/>
      <c r="K75" t="inlineStr"/>
      <c r="L75" t="inlineStr"/>
      <c r="M75" t="inlineStr"/>
      <c r="N75" t="inlineStr">
        <is>
          <t>yes</t>
        </is>
      </c>
      <c r="O75" t="inlineStr">
        <is>
          <t>pixel_heuristic</t>
        </is>
      </c>
      <c r="P75">
        <f>HYPERLINK("https://knru.ru/catalog/novosaratovka-der-853113999/","ссылка")</f>
        <v/>
      </c>
      <c r="Q75" t="inlineStr"/>
      <c r="R75" t="inlineStr">
        <is>
          <t>Нет у нас</t>
        </is>
      </c>
      <c r="S75" t="n">
        <v>0</v>
      </c>
      <c r="T75" t="inlineStr">
        <is>
          <t>Совпадений по улице+дому не найдено</t>
        </is>
      </c>
      <c r="U75" t="n">
        <v>116</v>
      </c>
      <c r="V75" t="n">
        <v>5</v>
      </c>
      <c r="W75" t="n">
        <v>20</v>
      </c>
      <c r="X75" t="n">
        <v>46407726</v>
      </c>
      <c r="Y75" t="inlineStr"/>
      <c r="Z75" t="inlineStr"/>
      <c r="AA75" t="inlineStr">
        <is>
          <t>https://knru.ru/catalog/novosaratovka-der-853113999/</t>
        </is>
      </c>
      <c r="AB75" t="inlineStr">
        <is>
          <t>A+</t>
        </is>
      </c>
      <c r="AC75" t="inlineStr">
        <is>
          <t>ok</t>
        </is>
      </c>
      <c r="AD75" t="inlineStr">
        <is>
          <t>Помещение свободного назначения, 220.12 м2</t>
        </is>
      </c>
      <c r="AE75" t="inlineStr">
        <is>
          <t>Помещение свободного назначения</t>
        </is>
      </c>
      <c r="AF75" t="inlineStr">
        <is>
          <t>Ленинградская область</t>
        </is>
      </c>
      <c r="AG75" t="inlineStr">
        <is>
          <t>Новосаратовка</t>
        </is>
      </c>
      <c r="AH75" t="inlineStr">
        <is>
          <t>Новосаратовка</t>
        </is>
      </c>
      <c r="AI75" t="inlineStr">
        <is>
          <t>Новосаратовка дер.</t>
        </is>
      </c>
      <c r="AJ75" t="inlineStr">
        <is>
          <t>Пролетарская</t>
        </is>
      </c>
      <c r="AK75" t="inlineStr"/>
      <c r="AL75" t="inlineStr"/>
    </row>
    <row r="76">
      <c r="A76" t="n">
        <v>117</v>
      </c>
      <c r="B76" t="n">
        <v>5</v>
      </c>
      <c r="C76" t="n">
        <v>21</v>
      </c>
      <c r="D76" t="n">
        <v>1848170969</v>
      </c>
      <c r="E76" t="inlineStr"/>
      <c r="F76" t="inlineStr">
        <is>
          <t>Новосаратовка дер.</t>
        </is>
      </c>
      <c r="G76" t="n">
        <v>360</v>
      </c>
      <c r="H76" t="inlineStr">
        <is>
          <t>147 450 456</t>
        </is>
      </c>
      <c r="I76" t="inlineStr"/>
      <c r="J76" t="inlineStr"/>
      <c r="K76" t="inlineStr"/>
      <c r="L76" t="inlineStr"/>
      <c r="M76" t="inlineStr"/>
      <c r="N76" t="inlineStr">
        <is>
          <t>no</t>
        </is>
      </c>
      <c r="O76" t="inlineStr">
        <is>
          <t>none</t>
        </is>
      </c>
      <c r="P76">
        <f>HYPERLINK("https://knru.ru/catalog/novosaratovka-der-1848170969/","ссылка")</f>
        <v/>
      </c>
      <c r="Q76" t="inlineStr"/>
      <c r="R76" t="inlineStr">
        <is>
          <t>Нет у нас</t>
        </is>
      </c>
      <c r="S76" t="n">
        <v>0</v>
      </c>
      <c r="T76" t="inlineStr">
        <is>
          <t>Совпадений по улице+дому не найдено</t>
        </is>
      </c>
      <c r="U76" t="n">
        <v>117</v>
      </c>
      <c r="V76" t="n">
        <v>5</v>
      </c>
      <c r="W76" t="n">
        <v>21</v>
      </c>
      <c r="X76" t="n">
        <v>147450456</v>
      </c>
      <c r="Y76" t="inlineStr"/>
      <c r="Z76" t="inlineStr"/>
      <c r="AA76" t="inlineStr">
        <is>
          <t>https://knru.ru/catalog/novosaratovka-der-1848170969/</t>
        </is>
      </c>
      <c r="AB76" t="inlineStr">
        <is>
          <t>A</t>
        </is>
      </c>
      <c r="AC76" t="inlineStr">
        <is>
          <t>ok</t>
        </is>
      </c>
      <c r="AD76" t="inlineStr">
        <is>
          <t>Помещение свободного назначения, 360 м2</t>
        </is>
      </c>
      <c r="AE76" t="inlineStr">
        <is>
          <t>Помещение свободного назначения</t>
        </is>
      </c>
      <c r="AF76" t="inlineStr">
        <is>
          <t>Ленинградская область</t>
        </is>
      </c>
      <c r="AG76" t="inlineStr">
        <is>
          <t>Новосаратовка</t>
        </is>
      </c>
      <c r="AH76" t="inlineStr">
        <is>
          <t>Новосаратовка</t>
        </is>
      </c>
      <c r="AI76" t="inlineStr">
        <is>
          <t>Новосаратовка дер.</t>
        </is>
      </c>
      <c r="AJ76" t="inlineStr">
        <is>
          <t>Пролетарская</t>
        </is>
      </c>
      <c r="AK76" t="inlineStr"/>
      <c r="AL76" t="inlineStr"/>
    </row>
    <row r="77">
      <c r="A77" t="n">
        <v>118</v>
      </c>
      <c r="B77" t="n">
        <v>5</v>
      </c>
      <c r="C77" t="n">
        <v>22</v>
      </c>
      <c r="D77" t="inlineStr"/>
      <c r="E77" t="inlineStr"/>
      <c r="F77" t="inlineStr">
        <is>
          <t>Новосаратовка дер.</t>
        </is>
      </c>
      <c r="G77" t="n">
        <v>75.2</v>
      </c>
      <c r="H77" t="inlineStr">
        <is>
          <t>17 975 542</t>
        </is>
      </c>
      <c r="I77" t="inlineStr"/>
      <c r="J77" t="inlineStr"/>
      <c r="K77" t="inlineStr"/>
      <c r="L77" t="inlineStr"/>
      <c r="M77" t="inlineStr"/>
      <c r="N77" t="inlineStr">
        <is>
          <t>yes</t>
        </is>
      </c>
      <c r="O77" t="inlineStr">
        <is>
          <t>pixel_heuristic</t>
        </is>
      </c>
      <c r="P77">
        <f>HYPERLINK("https://knru.ru/catalog/novosaratovka-der/","ссылка")</f>
        <v/>
      </c>
      <c r="Q77" t="inlineStr"/>
      <c r="R77" t="inlineStr">
        <is>
          <t>Нет у нас</t>
        </is>
      </c>
      <c r="S77" t="n">
        <v>0</v>
      </c>
      <c r="T77" t="inlineStr">
        <is>
          <t>Совпадений по улице+дому не найдено</t>
        </is>
      </c>
      <c r="U77" t="n">
        <v>118</v>
      </c>
      <c r="V77" t="n">
        <v>5</v>
      </c>
      <c r="W77" t="n">
        <v>22</v>
      </c>
      <c r="X77" t="n">
        <v>17975542</v>
      </c>
      <c r="Y77" t="inlineStr"/>
      <c r="Z77" t="inlineStr"/>
      <c r="AA77" t="inlineStr">
        <is>
          <t>https://knru.ru/catalog/novosaratovka-der/</t>
        </is>
      </c>
      <c r="AB77" t="inlineStr">
        <is>
          <t>A+</t>
        </is>
      </c>
      <c r="AC77" t="inlineStr">
        <is>
          <t>ok</t>
        </is>
      </c>
      <c r="AD77" t="inlineStr">
        <is>
          <t>Помещение свободного назначения, 75.25 м2</t>
        </is>
      </c>
      <c r="AE77" t="inlineStr">
        <is>
          <t>Помещение свободного назначения</t>
        </is>
      </c>
      <c r="AF77" t="inlineStr">
        <is>
          <t>Ленинградская область</t>
        </is>
      </c>
      <c r="AG77" t="inlineStr">
        <is>
          <t>Новосаратовка</t>
        </is>
      </c>
      <c r="AH77" t="inlineStr">
        <is>
          <t>Новосаратовка</t>
        </is>
      </c>
      <c r="AI77" t="inlineStr">
        <is>
          <t>Новосаратовка дер.</t>
        </is>
      </c>
      <c r="AJ77" t="inlineStr">
        <is>
          <t>Пролетарская</t>
        </is>
      </c>
      <c r="AK77" t="inlineStr"/>
      <c r="AL77" t="inlineStr"/>
    </row>
    <row r="78">
      <c r="A78" t="n">
        <v>119</v>
      </c>
      <c r="B78" t="n">
        <v>5</v>
      </c>
      <c r="C78" t="n">
        <v>23</v>
      </c>
      <c r="D78" t="n">
        <v>241965174</v>
      </c>
      <c r="E78" t="inlineStr"/>
      <c r="F78" t="inlineStr">
        <is>
          <t>Лаголово дер.</t>
        </is>
      </c>
      <c r="G78" t="n">
        <v>31.6</v>
      </c>
      <c r="H78" t="inlineStr">
        <is>
          <t>8 999 996</t>
        </is>
      </c>
      <c r="I78" t="inlineStr"/>
      <c r="J78" t="inlineStr"/>
      <c r="K78" t="inlineStr"/>
      <c r="L78" t="inlineStr"/>
      <c r="M78" t="inlineStr"/>
      <c r="N78" t="inlineStr">
        <is>
          <t>no</t>
        </is>
      </c>
      <c r="O78" t="inlineStr">
        <is>
          <t>none</t>
        </is>
      </c>
      <c r="P78">
        <f>HYPERLINK("https://knru.ru/catalog/lagolovo-der-241965174/","ссылка")</f>
        <v/>
      </c>
      <c r="Q78" t="inlineStr"/>
      <c r="R78" t="inlineStr">
        <is>
          <t>Нет у нас</t>
        </is>
      </c>
      <c r="S78" t="n">
        <v>0</v>
      </c>
      <c r="T78" t="inlineStr">
        <is>
          <t>Совпадений по улице+дому не найдено</t>
        </is>
      </c>
      <c r="U78" t="n">
        <v>119</v>
      </c>
      <c r="V78" t="n">
        <v>5</v>
      </c>
      <c r="W78" t="n">
        <v>23</v>
      </c>
      <c r="X78" t="n">
        <v>8999996</v>
      </c>
      <c r="Y78" t="inlineStr"/>
      <c r="Z78" t="inlineStr"/>
      <c r="AA78" t="inlineStr">
        <is>
          <t>https://knru.ru/catalog/lagolovo-der-241965174/</t>
        </is>
      </c>
      <c r="AB78" t="inlineStr">
        <is>
          <t>A</t>
        </is>
      </c>
      <c r="AC78" t="inlineStr">
        <is>
          <t>ok</t>
        </is>
      </c>
      <c r="AD78" t="inlineStr">
        <is>
          <t>Помещение свободного назначения, 31.6 м2</t>
        </is>
      </c>
      <c r="AE78" t="inlineStr">
        <is>
          <t>Помещение свободного назначения</t>
        </is>
      </c>
      <c r="AF78" t="inlineStr">
        <is>
          <t>Ленинградская область</t>
        </is>
      </c>
      <c r="AG78" t="inlineStr">
        <is>
          <t>Лаголово</t>
        </is>
      </c>
      <c r="AH78" t="inlineStr">
        <is>
          <t>Лаголово</t>
        </is>
      </c>
      <c r="AI78" t="inlineStr">
        <is>
          <t>Лаголово дер.</t>
        </is>
      </c>
      <c r="AJ78" t="inlineStr">
        <is>
          <t>Проспект Ветеранов</t>
        </is>
      </c>
      <c r="AK78" t="inlineStr"/>
      <c r="AL78" t="inlineStr"/>
    </row>
    <row r="79">
      <c r="A79" t="n">
        <v>120</v>
      </c>
      <c r="B79" t="n">
        <v>5</v>
      </c>
      <c r="C79" t="n">
        <v>24</v>
      </c>
      <c r="D79" t="n">
        <v>553081250</v>
      </c>
      <c r="E79" t="inlineStr"/>
      <c r="F79" t="inlineStr">
        <is>
          <t>Лаголово дер.</t>
        </is>
      </c>
      <c r="G79" t="n">
        <v>239.3</v>
      </c>
      <c r="H79" t="inlineStr">
        <is>
          <t>76 678 213</t>
        </is>
      </c>
      <c r="I79" t="inlineStr"/>
      <c r="J79" t="inlineStr"/>
      <c r="K79" t="inlineStr"/>
      <c r="L79" t="inlineStr"/>
      <c r="M79" t="inlineStr"/>
      <c r="N79" t="inlineStr">
        <is>
          <t>no</t>
        </is>
      </c>
      <c r="O79" t="inlineStr">
        <is>
          <t>none</t>
        </is>
      </c>
      <c r="P79">
        <f>HYPERLINK("https://knru.ru/catalog/lagolovo-der-553081250/","ссылка")</f>
        <v/>
      </c>
      <c r="Q79" t="inlineStr"/>
      <c r="R79" t="inlineStr">
        <is>
          <t>Нет у нас</t>
        </is>
      </c>
      <c r="S79" t="n">
        <v>0</v>
      </c>
      <c r="T79" t="inlineStr">
        <is>
          <t>Совпадений по улице+дому не найдено</t>
        </is>
      </c>
      <c r="U79" t="n">
        <v>120</v>
      </c>
      <c r="V79" t="n">
        <v>5</v>
      </c>
      <c r="W79" t="n">
        <v>24</v>
      </c>
      <c r="X79" t="n">
        <v>76678213</v>
      </c>
      <c r="Y79" t="inlineStr"/>
      <c r="Z79" t="inlineStr"/>
      <c r="AA79" t="inlineStr">
        <is>
          <t>https://knru.ru/catalog/lagolovo-der-553081250/</t>
        </is>
      </c>
      <c r="AB79" t="inlineStr">
        <is>
          <t>A</t>
        </is>
      </c>
      <c r="AC79" t="inlineStr">
        <is>
          <t>ok</t>
        </is>
      </c>
      <c r="AD79" t="inlineStr">
        <is>
          <t>Помещение свободного назначения, 239.32 м2</t>
        </is>
      </c>
      <c r="AE79" t="inlineStr">
        <is>
          <t>Помещение свободного назначения</t>
        </is>
      </c>
      <c r="AF79" t="inlineStr">
        <is>
          <t>Ленинградская область</t>
        </is>
      </c>
      <c r="AG79" t="inlineStr">
        <is>
          <t>Лаголово</t>
        </is>
      </c>
      <c r="AH79" t="inlineStr">
        <is>
          <t>Лаголово</t>
        </is>
      </c>
      <c r="AI79" t="inlineStr">
        <is>
          <t>Лаголово дер.</t>
        </is>
      </c>
      <c r="AJ79" t="inlineStr">
        <is>
          <t>Проспект Ветеранов</t>
        </is>
      </c>
      <c r="AK79" t="inlineStr"/>
      <c r="AL79" t="inlineStr"/>
    </row>
    <row r="80">
      <c r="A80" t="n">
        <v>121</v>
      </c>
      <c r="B80" t="n">
        <v>6</v>
      </c>
      <c r="C80" t="n">
        <v>1</v>
      </c>
      <c r="D80" t="n">
        <v>1927759881</v>
      </c>
      <c r="E80" t="inlineStr"/>
      <c r="F80" t="inlineStr">
        <is>
          <t>Лаголово дер.</t>
        </is>
      </c>
      <c r="G80" t="n">
        <v>79.2</v>
      </c>
      <c r="H80" t="inlineStr">
        <is>
          <t>19 733 473</t>
        </is>
      </c>
      <c r="I80" t="inlineStr"/>
      <c r="J80" t="inlineStr"/>
      <c r="K80" t="inlineStr"/>
      <c r="L80" t="inlineStr"/>
      <c r="M80" t="inlineStr"/>
      <c r="N80" t="inlineStr">
        <is>
          <t>no</t>
        </is>
      </c>
      <c r="O80" t="inlineStr">
        <is>
          <t>none</t>
        </is>
      </c>
      <c r="P80">
        <f>HYPERLINK("https://knru.ru/catalog/lagolovo-der-1927759881/","ссылка")</f>
        <v/>
      </c>
      <c r="Q80" t="inlineStr"/>
      <c r="R80" t="inlineStr">
        <is>
          <t>Нет у нас</t>
        </is>
      </c>
      <c r="S80" t="n">
        <v>0</v>
      </c>
      <c r="T80" t="inlineStr">
        <is>
          <t>Совпадений по улице+дому не найдено</t>
        </is>
      </c>
      <c r="U80" t="n">
        <v>121</v>
      </c>
      <c r="V80" t="n">
        <v>6</v>
      </c>
      <c r="W80" t="n">
        <v>1</v>
      </c>
      <c r="X80" t="n">
        <v>19733473</v>
      </c>
      <c r="Y80" t="inlineStr"/>
      <c r="Z80" t="inlineStr"/>
      <c r="AA80" t="inlineStr">
        <is>
          <t>https://knru.ru/catalog/lagolovo-der-1927759881/</t>
        </is>
      </c>
      <c r="AB80" t="inlineStr">
        <is>
          <t>A</t>
        </is>
      </c>
      <c r="AC80" t="inlineStr">
        <is>
          <t>ok</t>
        </is>
      </c>
      <c r="AD80" t="inlineStr">
        <is>
          <t>Помещение свободного назначения, 79.18 м2</t>
        </is>
      </c>
      <c r="AE80" t="inlineStr">
        <is>
          <t>Помещение свободного назначения</t>
        </is>
      </c>
      <c r="AF80" t="inlineStr">
        <is>
          <t>Ленинградская область</t>
        </is>
      </c>
      <c r="AG80" t="inlineStr">
        <is>
          <t>Лаголово</t>
        </is>
      </c>
      <c r="AH80" t="inlineStr">
        <is>
          <t>Лаголово</t>
        </is>
      </c>
      <c r="AI80" t="inlineStr">
        <is>
          <t>Лаголово дер.</t>
        </is>
      </c>
      <c r="AJ80" t="inlineStr">
        <is>
          <t>Проспект Ветеранов</t>
        </is>
      </c>
      <c r="AK80" t="inlineStr"/>
      <c r="AL80" t="inlineStr"/>
    </row>
    <row r="81">
      <c r="A81" t="n">
        <v>122</v>
      </c>
      <c r="B81" t="n">
        <v>6</v>
      </c>
      <c r="C81" t="n">
        <v>2</v>
      </c>
      <c r="D81" t="n">
        <v>439422606</v>
      </c>
      <c r="E81" t="inlineStr"/>
      <c r="F81" t="inlineStr">
        <is>
          <t>Лаголово дер.</t>
        </is>
      </c>
      <c r="G81" t="n">
        <v>170.4</v>
      </c>
      <c r="H81" t="inlineStr">
        <is>
          <t>38 632 258</t>
        </is>
      </c>
      <c r="I81" t="inlineStr"/>
      <c r="J81" t="inlineStr"/>
      <c r="K81" t="inlineStr"/>
      <c r="L81" t="inlineStr"/>
      <c r="M81" t="inlineStr"/>
      <c r="N81" t="inlineStr">
        <is>
          <t>yes</t>
        </is>
      </c>
      <c r="O81" t="inlineStr">
        <is>
          <t>pixel_heuristic</t>
        </is>
      </c>
      <c r="P81">
        <f>HYPERLINK("https://knru.ru/catalog/lagolovo-der-439422606/","ссылка")</f>
        <v/>
      </c>
      <c r="Q81" t="inlineStr"/>
      <c r="R81" t="inlineStr">
        <is>
          <t>Нет у нас</t>
        </is>
      </c>
      <c r="S81" t="n">
        <v>0</v>
      </c>
      <c r="T81" t="inlineStr">
        <is>
          <t>Совпадений по улице+дому не найдено</t>
        </is>
      </c>
      <c r="U81" t="n">
        <v>122</v>
      </c>
      <c r="V81" t="n">
        <v>6</v>
      </c>
      <c r="W81" t="n">
        <v>2</v>
      </c>
      <c r="X81" t="n">
        <v>38632258</v>
      </c>
      <c r="Y81" t="inlineStr"/>
      <c r="Z81" t="inlineStr"/>
      <c r="AA81" t="inlineStr">
        <is>
          <t>https://knru.ru/catalog/lagolovo-der-439422606/</t>
        </is>
      </c>
      <c r="AB81" t="inlineStr">
        <is>
          <t>A+</t>
        </is>
      </c>
      <c r="AC81" t="inlineStr">
        <is>
          <t>ok</t>
        </is>
      </c>
      <c r="AD81" t="inlineStr">
        <is>
          <t>Помещение свободного назначения, 170.4 м2</t>
        </is>
      </c>
      <c r="AE81" t="inlineStr">
        <is>
          <t>Помещение свободного назначения</t>
        </is>
      </c>
      <c r="AF81" t="inlineStr">
        <is>
          <t>Ленинградская область</t>
        </is>
      </c>
      <c r="AG81" t="inlineStr">
        <is>
          <t>Лаголово</t>
        </is>
      </c>
      <c r="AH81" t="inlineStr">
        <is>
          <t>Лаголово</t>
        </is>
      </c>
      <c r="AI81" t="inlineStr">
        <is>
          <t>Лаголово дер.</t>
        </is>
      </c>
      <c r="AJ81" t="inlineStr">
        <is>
          <t>Проспект Ветеранов</t>
        </is>
      </c>
      <c r="AK81" t="inlineStr"/>
      <c r="AL81" t="inlineStr"/>
    </row>
    <row r="82">
      <c r="A82" t="n">
        <v>123</v>
      </c>
      <c r="B82" t="n">
        <v>6</v>
      </c>
      <c r="C82" t="n">
        <v>3</v>
      </c>
      <c r="D82" t="n">
        <v>1260339022</v>
      </c>
      <c r="E82" t="inlineStr"/>
      <c r="F82" t="inlineStr">
        <is>
          <t>Лаголово дер.</t>
        </is>
      </c>
      <c r="G82" t="n">
        <v>129.6</v>
      </c>
      <c r="H82" t="inlineStr">
        <is>
          <t>31 225 857</t>
        </is>
      </c>
      <c r="I82" t="inlineStr"/>
      <c r="J82" t="inlineStr"/>
      <c r="K82" t="inlineStr"/>
      <c r="L82" t="inlineStr"/>
      <c r="M82" t="inlineStr"/>
      <c r="N82" t="inlineStr">
        <is>
          <t>no</t>
        </is>
      </c>
      <c r="O82" t="inlineStr">
        <is>
          <t>none</t>
        </is>
      </c>
      <c r="P82">
        <f>HYPERLINK("https://knru.ru/catalog/lagolovo-der-1260339022/","ссылка")</f>
        <v/>
      </c>
      <c r="Q82" t="inlineStr"/>
      <c r="R82" t="inlineStr">
        <is>
          <t>Нет у нас</t>
        </is>
      </c>
      <c r="S82" t="n">
        <v>0</v>
      </c>
      <c r="T82" t="inlineStr">
        <is>
          <t>Совпадений по улице+дому не найдено</t>
        </is>
      </c>
      <c r="U82" t="n">
        <v>123</v>
      </c>
      <c r="V82" t="n">
        <v>6</v>
      </c>
      <c r="W82" t="n">
        <v>3</v>
      </c>
      <c r="X82" t="n">
        <v>31225857</v>
      </c>
      <c r="Y82" t="inlineStr"/>
      <c r="Z82" t="inlineStr"/>
      <c r="AA82" t="inlineStr">
        <is>
          <t>https://knru.ru/catalog/lagolovo-der-1260339022/</t>
        </is>
      </c>
      <c r="AB82" t="inlineStr">
        <is>
          <t>A</t>
        </is>
      </c>
      <c r="AC82" t="inlineStr">
        <is>
          <t>ok</t>
        </is>
      </c>
      <c r="AD82" t="inlineStr">
        <is>
          <t>Помещение свободного назначения, 129.64 м2</t>
        </is>
      </c>
      <c r="AE82" t="inlineStr">
        <is>
          <t>Помещение свободного назначения</t>
        </is>
      </c>
      <c r="AF82" t="inlineStr">
        <is>
          <t>Ленинградская область</t>
        </is>
      </c>
      <c r="AG82" t="inlineStr">
        <is>
          <t>Лаголово</t>
        </is>
      </c>
      <c r="AH82" t="inlineStr">
        <is>
          <t>Лаголово</t>
        </is>
      </c>
      <c r="AI82" t="inlineStr">
        <is>
          <t>Лаголово дер.</t>
        </is>
      </c>
      <c r="AJ82" t="inlineStr">
        <is>
          <t>Проспект Ветеранов</t>
        </is>
      </c>
      <c r="AK82" t="inlineStr"/>
      <c r="AL82" t="inlineStr"/>
    </row>
    <row r="83">
      <c r="A83" t="n">
        <v>124</v>
      </c>
      <c r="B83" t="n">
        <v>6</v>
      </c>
      <c r="C83" t="n">
        <v>4</v>
      </c>
      <c r="D83" t="n">
        <v>1250257382</v>
      </c>
      <c r="E83" t="inlineStr"/>
      <c r="F83" t="inlineStr">
        <is>
          <t>Лаголово дер.</t>
        </is>
      </c>
      <c r="G83" t="n">
        <v>80.40000000000001</v>
      </c>
      <c r="H83" t="inlineStr">
        <is>
          <t>20 143 360</t>
        </is>
      </c>
      <c r="I83" t="inlineStr"/>
      <c r="J83" t="inlineStr"/>
      <c r="K83" t="inlineStr"/>
      <c r="L83" t="inlineStr"/>
      <c r="M83" t="inlineStr"/>
      <c r="N83" t="inlineStr">
        <is>
          <t>yes</t>
        </is>
      </c>
      <c r="O83" t="inlineStr">
        <is>
          <t>pixel_heuristic</t>
        </is>
      </c>
      <c r="P83">
        <f>HYPERLINK("https://knru.ru/catalog/lagolovo-der-1250257382/","ссылка")</f>
        <v/>
      </c>
      <c r="Q83" t="inlineStr"/>
      <c r="R83" t="inlineStr">
        <is>
          <t>Нет у нас</t>
        </is>
      </c>
      <c r="S83" t="n">
        <v>0</v>
      </c>
      <c r="T83" t="inlineStr">
        <is>
          <t>Совпадений по улице+дому не найдено</t>
        </is>
      </c>
      <c r="U83" t="n">
        <v>124</v>
      </c>
      <c r="V83" t="n">
        <v>6</v>
      </c>
      <c r="W83" t="n">
        <v>4</v>
      </c>
      <c r="X83" t="n">
        <v>20143360</v>
      </c>
      <c r="Y83" t="inlineStr"/>
      <c r="Z83" t="inlineStr"/>
      <c r="AA83" t="inlineStr">
        <is>
          <t>https://knru.ru/catalog/lagolovo-der-1250257382/</t>
        </is>
      </c>
      <c r="AB83" t="inlineStr">
        <is>
          <t>A+</t>
        </is>
      </c>
      <c r="AC83" t="inlineStr">
        <is>
          <t>ok</t>
        </is>
      </c>
      <c r="AD83" t="inlineStr">
        <is>
          <t>Помещение свободного назначения, 80.41 м2</t>
        </is>
      </c>
      <c r="AE83" t="inlineStr">
        <is>
          <t>Помещение свободного назначения</t>
        </is>
      </c>
      <c r="AF83" t="inlineStr">
        <is>
          <t>Ленинградская область</t>
        </is>
      </c>
      <c r="AG83" t="inlineStr">
        <is>
          <t>Лаголово</t>
        </is>
      </c>
      <c r="AH83" t="inlineStr">
        <is>
          <t>Лаголово</t>
        </is>
      </c>
      <c r="AI83" t="inlineStr">
        <is>
          <t>Лаголово дер.</t>
        </is>
      </c>
      <c r="AJ83" t="inlineStr">
        <is>
          <t>Проспект Ветеранов</t>
        </is>
      </c>
      <c r="AK83" t="inlineStr"/>
      <c r="AL83" t="inlineStr"/>
    </row>
    <row r="84">
      <c r="A84" t="n">
        <v>125</v>
      </c>
      <c r="B84" t="n">
        <v>6</v>
      </c>
      <c r="C84" t="n">
        <v>5</v>
      </c>
      <c r="D84" t="n">
        <v>930266231</v>
      </c>
      <c r="E84" t="inlineStr"/>
      <c r="F84" t="inlineStr">
        <is>
          <t>Лаголово дер.</t>
        </is>
      </c>
      <c r="G84" t="n">
        <v>87.40000000000001</v>
      </c>
      <c r="H84" t="inlineStr">
        <is>
          <t>26 165 124</t>
        </is>
      </c>
      <c r="I84" t="inlineStr"/>
      <c r="J84" t="inlineStr"/>
      <c r="K84" t="inlineStr"/>
      <c r="L84" t="inlineStr"/>
      <c r="M84" t="inlineStr"/>
      <c r="N84" t="inlineStr">
        <is>
          <t>no</t>
        </is>
      </c>
      <c r="O84" t="inlineStr">
        <is>
          <t>none</t>
        </is>
      </c>
      <c r="P84">
        <f>HYPERLINK("https://knru.ru/catalog/lagolovo-der-930266231/","ссылка")</f>
        <v/>
      </c>
      <c r="Q84" t="inlineStr"/>
      <c r="R84" t="inlineStr">
        <is>
          <t>Нет у нас</t>
        </is>
      </c>
      <c r="S84" t="n">
        <v>0</v>
      </c>
      <c r="T84" t="inlineStr">
        <is>
          <t>Совпадений по улице+дому не найдено</t>
        </is>
      </c>
      <c r="U84" t="n">
        <v>125</v>
      </c>
      <c r="V84" t="n">
        <v>6</v>
      </c>
      <c r="W84" t="n">
        <v>5</v>
      </c>
      <c r="X84" t="n">
        <v>26165124</v>
      </c>
      <c r="Y84" t="inlineStr"/>
      <c r="Z84" t="inlineStr"/>
      <c r="AA84" t="inlineStr">
        <is>
          <t>https://knru.ru/catalog/lagolovo-der-930266231/</t>
        </is>
      </c>
      <c r="AB84" t="inlineStr">
        <is>
          <t>A</t>
        </is>
      </c>
      <c r="AC84" t="inlineStr">
        <is>
          <t>ok</t>
        </is>
      </c>
      <c r="AD84" t="inlineStr">
        <is>
          <t>Помещение свободного назначения, 87.42 м2</t>
        </is>
      </c>
      <c r="AE84" t="inlineStr">
        <is>
          <t>Помещение свободного назначения</t>
        </is>
      </c>
      <c r="AF84" t="inlineStr">
        <is>
          <t>Ленинградская область</t>
        </is>
      </c>
      <c r="AG84" t="inlineStr">
        <is>
          <t>Лаголово</t>
        </is>
      </c>
      <c r="AH84" t="inlineStr">
        <is>
          <t>Лаголово</t>
        </is>
      </c>
      <c r="AI84" t="inlineStr">
        <is>
          <t>Лаголово дер.</t>
        </is>
      </c>
      <c r="AJ84" t="inlineStr">
        <is>
          <t>Проспект Ветеранов</t>
        </is>
      </c>
      <c r="AK84" t="inlineStr"/>
      <c r="AL84" t="inlineStr"/>
    </row>
    <row r="85">
      <c r="A85" t="n">
        <v>126</v>
      </c>
      <c r="B85" t="n">
        <v>6</v>
      </c>
      <c r="C85" t="n">
        <v>6</v>
      </c>
      <c r="D85" t="n">
        <v>2056408885</v>
      </c>
      <c r="E85" t="inlineStr"/>
      <c r="F85" t="inlineStr">
        <is>
          <t>Лаголово дер.</t>
        </is>
      </c>
      <c r="G85" t="n">
        <v>38.7</v>
      </c>
      <c r="H85" t="inlineStr">
        <is>
          <t>12 694 636</t>
        </is>
      </c>
      <c r="I85" t="inlineStr"/>
      <c r="J85" t="inlineStr"/>
      <c r="K85" t="inlineStr"/>
      <c r="L85" t="inlineStr"/>
      <c r="M85" t="inlineStr"/>
      <c r="N85" t="inlineStr">
        <is>
          <t>no</t>
        </is>
      </c>
      <c r="O85" t="inlineStr">
        <is>
          <t>none</t>
        </is>
      </c>
      <c r="P85">
        <f>HYPERLINK("https://knru.ru/catalog/lagolovo-der-2056408885/","ссылка")</f>
        <v/>
      </c>
      <c r="Q85" t="inlineStr"/>
      <c r="R85" t="inlineStr">
        <is>
          <t>Нет у нас</t>
        </is>
      </c>
      <c r="S85" t="n">
        <v>0</v>
      </c>
      <c r="T85" t="inlineStr">
        <is>
          <t>Совпадений по улице+дому не найдено</t>
        </is>
      </c>
      <c r="U85" t="n">
        <v>126</v>
      </c>
      <c r="V85" t="n">
        <v>6</v>
      </c>
      <c r="W85" t="n">
        <v>6</v>
      </c>
      <c r="X85" t="n">
        <v>12694636</v>
      </c>
      <c r="Y85" t="inlineStr"/>
      <c r="Z85" t="inlineStr"/>
      <c r="AA85" t="inlineStr">
        <is>
          <t>https://knru.ru/catalog/lagolovo-der-2056408885/</t>
        </is>
      </c>
      <c r="AB85" t="inlineStr">
        <is>
          <t>A</t>
        </is>
      </c>
      <c r="AC85" t="inlineStr">
        <is>
          <t>ok</t>
        </is>
      </c>
      <c r="AD85" t="inlineStr">
        <is>
          <t>Помещение свободного назначения, 38.69 м2</t>
        </is>
      </c>
      <c r="AE85" t="inlineStr">
        <is>
          <t>Помещение свободного назначения</t>
        </is>
      </c>
      <c r="AF85" t="inlineStr">
        <is>
          <t>Ленинградская область</t>
        </is>
      </c>
      <c r="AG85" t="inlineStr">
        <is>
          <t>Лаголово</t>
        </is>
      </c>
      <c r="AH85" t="inlineStr">
        <is>
          <t>Лаголово</t>
        </is>
      </c>
      <c r="AI85" t="inlineStr">
        <is>
          <t>Лаголово дер.</t>
        </is>
      </c>
      <c r="AJ85" t="inlineStr">
        <is>
          <t>Проспект Ветеранов</t>
        </is>
      </c>
      <c r="AK85" t="inlineStr"/>
      <c r="AL85" t="inlineStr"/>
    </row>
    <row r="86">
      <c r="A86" t="n">
        <v>127</v>
      </c>
      <c r="B86" t="n">
        <v>6</v>
      </c>
      <c r="C86" t="n">
        <v>7</v>
      </c>
      <c r="D86" t="n">
        <v>1709136639</v>
      </c>
      <c r="E86" t="inlineStr"/>
      <c r="F86" t="inlineStr">
        <is>
          <t>Лаголово дер.</t>
        </is>
      </c>
      <c r="G86" t="n">
        <v>145.6</v>
      </c>
      <c r="H86" t="inlineStr">
        <is>
          <t>34 113 127</t>
        </is>
      </c>
      <c r="I86" t="inlineStr"/>
      <c r="J86" t="inlineStr"/>
      <c r="K86" t="inlineStr"/>
      <c r="L86" t="inlineStr"/>
      <c r="M86" t="inlineStr"/>
      <c r="N86" t="inlineStr">
        <is>
          <t>yes</t>
        </is>
      </c>
      <c r="O86" t="inlineStr">
        <is>
          <t>pixel_heuristic</t>
        </is>
      </c>
      <c r="P86">
        <f>HYPERLINK("https://knru.ru/catalog/lagolovo-der-1709136639/","ссылка")</f>
        <v/>
      </c>
      <c r="Q86" t="inlineStr"/>
      <c r="R86" t="inlineStr">
        <is>
          <t>Нет у нас</t>
        </is>
      </c>
      <c r="S86" t="n">
        <v>0</v>
      </c>
      <c r="T86" t="inlineStr">
        <is>
          <t>Совпадений по улице+дому не найдено</t>
        </is>
      </c>
      <c r="U86" t="n">
        <v>127</v>
      </c>
      <c r="V86" t="n">
        <v>6</v>
      </c>
      <c r="W86" t="n">
        <v>7</v>
      </c>
      <c r="X86" t="n">
        <v>34113127</v>
      </c>
      <c r="Y86" t="inlineStr"/>
      <c r="Z86" t="inlineStr"/>
      <c r="AA86" t="inlineStr">
        <is>
          <t>https://knru.ru/catalog/lagolovo-der-1709136639/</t>
        </is>
      </c>
      <c r="AB86" t="inlineStr">
        <is>
          <t>A+</t>
        </is>
      </c>
      <c r="AC86" t="inlineStr">
        <is>
          <t>ok</t>
        </is>
      </c>
      <c r="AD86" t="inlineStr">
        <is>
          <t>Помещение свободного назначения, 145.56 м2</t>
        </is>
      </c>
      <c r="AE86" t="inlineStr">
        <is>
          <t>Помещение свободного назначения</t>
        </is>
      </c>
      <c r="AF86" t="inlineStr">
        <is>
          <t>Ленинградская область</t>
        </is>
      </c>
      <c r="AG86" t="inlineStr">
        <is>
          <t>Лаголово</t>
        </is>
      </c>
      <c r="AH86" t="inlineStr">
        <is>
          <t>Лаголово</t>
        </is>
      </c>
      <c r="AI86" t="inlineStr">
        <is>
          <t>Лаголово дер.</t>
        </is>
      </c>
      <c r="AJ86" t="inlineStr">
        <is>
          <t>Проспект Ветеранов</t>
        </is>
      </c>
      <c r="AK86" t="inlineStr"/>
      <c r="AL86" t="inlineStr"/>
    </row>
    <row r="87">
      <c r="A87" t="n">
        <v>128</v>
      </c>
      <c r="B87" t="n">
        <v>6</v>
      </c>
      <c r="C87" t="n">
        <v>8</v>
      </c>
      <c r="D87" t="n">
        <v>244312918</v>
      </c>
      <c r="E87" t="inlineStr"/>
      <c r="F87" t="inlineStr">
        <is>
          <t>Лаголово дер.</t>
        </is>
      </c>
      <c r="G87" t="n">
        <v>185.8</v>
      </c>
      <c r="H87" t="inlineStr">
        <is>
          <t>39 348 807</t>
        </is>
      </c>
      <c r="I87" t="inlineStr"/>
      <c r="J87" t="inlineStr"/>
      <c r="K87" t="inlineStr"/>
      <c r="L87" t="inlineStr"/>
      <c r="M87" t="inlineStr"/>
      <c r="N87" t="inlineStr">
        <is>
          <t>yes</t>
        </is>
      </c>
      <c r="O87" t="inlineStr">
        <is>
          <t>pixel_heuristic</t>
        </is>
      </c>
      <c r="P87">
        <f>HYPERLINK("https://knru.ru/catalog/lagolovo-der-244312918/","ссылка")</f>
        <v/>
      </c>
      <c r="Q87" t="inlineStr"/>
      <c r="R87" t="inlineStr">
        <is>
          <t>Нет у нас</t>
        </is>
      </c>
      <c r="S87" t="n">
        <v>0</v>
      </c>
      <c r="T87" t="inlineStr">
        <is>
          <t>Совпадений по улице+дому не найдено</t>
        </is>
      </c>
      <c r="U87" t="n">
        <v>128</v>
      </c>
      <c r="V87" t="n">
        <v>6</v>
      </c>
      <c r="W87" t="n">
        <v>8</v>
      </c>
      <c r="X87" t="n">
        <v>39348807</v>
      </c>
      <c r="Y87" t="inlineStr"/>
      <c r="Z87" t="inlineStr"/>
      <c r="AA87" t="inlineStr">
        <is>
          <t>https://knru.ru/catalog/lagolovo-der-244312918/</t>
        </is>
      </c>
      <c r="AB87" t="inlineStr">
        <is>
          <t>A+</t>
        </is>
      </c>
      <c r="AC87" t="inlineStr">
        <is>
          <t>ok</t>
        </is>
      </c>
      <c r="AD87" t="inlineStr">
        <is>
          <t>Помещение свободного назначения, 185.84 м2</t>
        </is>
      </c>
      <c r="AE87" t="inlineStr">
        <is>
          <t>Помещение свободного назначения</t>
        </is>
      </c>
      <c r="AF87" t="inlineStr">
        <is>
          <t>Ленинградская область</t>
        </is>
      </c>
      <c r="AG87" t="inlineStr">
        <is>
          <t>Лаголово</t>
        </is>
      </c>
      <c r="AH87" t="inlineStr">
        <is>
          <t>Лаголово</t>
        </is>
      </c>
      <c r="AI87" t="inlineStr">
        <is>
          <t>Лаголово дер.</t>
        </is>
      </c>
      <c r="AJ87" t="inlineStr">
        <is>
          <t>Проспект Ветеранов</t>
        </is>
      </c>
      <c r="AK87" t="inlineStr"/>
      <c r="AL87" t="inlineStr"/>
    </row>
    <row r="88">
      <c r="A88" t="n">
        <v>129</v>
      </c>
      <c r="B88" t="n">
        <v>6</v>
      </c>
      <c r="C88" t="n">
        <v>9</v>
      </c>
      <c r="D88" t="inlineStr"/>
      <c r="E88" t="inlineStr"/>
      <c r="F88" t="inlineStr">
        <is>
          <t>Лаголово дер.</t>
        </is>
      </c>
      <c r="G88" t="n">
        <v>98.40000000000001</v>
      </c>
      <c r="H88" t="inlineStr">
        <is>
          <t>27 479 687</t>
        </is>
      </c>
      <c r="I88" t="inlineStr"/>
      <c r="J88" t="inlineStr"/>
      <c r="K88" t="inlineStr"/>
      <c r="L88" t="inlineStr"/>
      <c r="M88" t="inlineStr"/>
      <c r="N88" t="inlineStr">
        <is>
          <t>yes</t>
        </is>
      </c>
      <c r="O88" t="inlineStr">
        <is>
          <t>pixel_heuristic</t>
        </is>
      </c>
      <c r="P88">
        <f>HYPERLINK("https://knru.ru/catalog/lagolovo-der/","ссылка")</f>
        <v/>
      </c>
      <c r="Q88" t="inlineStr"/>
      <c r="R88" t="inlineStr">
        <is>
          <t>Нет у нас</t>
        </is>
      </c>
      <c r="S88" t="n">
        <v>0</v>
      </c>
      <c r="T88" t="inlineStr">
        <is>
          <t>Совпадений по улице+дому не найдено</t>
        </is>
      </c>
      <c r="U88" t="n">
        <v>129</v>
      </c>
      <c r="V88" t="n">
        <v>6</v>
      </c>
      <c r="W88" t="n">
        <v>9</v>
      </c>
      <c r="X88" t="n">
        <v>27479687</v>
      </c>
      <c r="Y88" t="inlineStr"/>
      <c r="Z88" t="inlineStr"/>
      <c r="AA88" t="inlineStr">
        <is>
          <t>https://knru.ru/catalog/lagolovo-der/</t>
        </is>
      </c>
      <c r="AB88" t="inlineStr">
        <is>
          <t>A+</t>
        </is>
      </c>
      <c r="AC88" t="inlineStr">
        <is>
          <t>ok</t>
        </is>
      </c>
      <c r="AD88" t="inlineStr">
        <is>
          <t>Помещение свободного назначения, 98.43 м2</t>
        </is>
      </c>
      <c r="AE88" t="inlineStr">
        <is>
          <t>Помещение свободного назначения</t>
        </is>
      </c>
      <c r="AF88" t="inlineStr">
        <is>
          <t>Ленинградская область</t>
        </is>
      </c>
      <c r="AG88" t="inlineStr">
        <is>
          <t>Лаголово</t>
        </is>
      </c>
      <c r="AH88" t="inlineStr">
        <is>
          <t>Лаголово</t>
        </is>
      </c>
      <c r="AI88" t="inlineStr">
        <is>
          <t>Лаголово дер.</t>
        </is>
      </c>
      <c r="AJ88" t="inlineStr">
        <is>
          <t>Проспект Ветеранов</t>
        </is>
      </c>
      <c r="AK88" t="inlineStr"/>
      <c r="AL88" t="inlineStr"/>
    </row>
    <row r="89">
      <c r="A89" t="n">
        <v>130</v>
      </c>
      <c r="B89" t="n">
        <v>6</v>
      </c>
      <c r="C89" t="n">
        <v>10</v>
      </c>
      <c r="D89" t="n">
        <v>39</v>
      </c>
      <c r="E89" t="inlineStr"/>
      <c r="F89" t="inlineStr">
        <is>
          <t>Чехова ул., д. 39</t>
        </is>
      </c>
      <c r="G89" t="n">
        <v>71.59999999999999</v>
      </c>
      <c r="H89" t="inlineStr">
        <is>
          <t>14 434 560</t>
        </is>
      </c>
      <c r="I89" t="inlineStr"/>
      <c r="J89" t="inlineStr"/>
      <c r="K89" t="inlineStr"/>
      <c r="L89" t="inlineStr"/>
      <c r="M89" t="inlineStr"/>
      <c r="N89" t="inlineStr">
        <is>
          <t>yes</t>
        </is>
      </c>
      <c r="O89" t="inlineStr">
        <is>
          <t>pixel_heuristic</t>
        </is>
      </c>
      <c r="P89">
        <f>HYPERLINK("https://knru.ru/catalog/chekhova-ul-d-39/","ссылка")</f>
        <v/>
      </c>
      <c r="Q89" t="inlineStr"/>
      <c r="R89" t="inlineStr">
        <is>
          <t>Нет у нас</t>
        </is>
      </c>
      <c r="S89" t="n">
        <v>0</v>
      </c>
      <c r="T89" t="inlineStr">
        <is>
          <t>Совпадений по улице+дому не найдено</t>
        </is>
      </c>
      <c r="U89" t="n">
        <v>130</v>
      </c>
      <c r="V89" t="n">
        <v>6</v>
      </c>
      <c r="W89" t="n">
        <v>10</v>
      </c>
      <c r="X89" t="n">
        <v>14434560</v>
      </c>
      <c r="Y89" t="inlineStr"/>
      <c r="Z89" t="inlineStr"/>
      <c r="AA89" t="inlineStr">
        <is>
          <t>https://knru.ru/catalog/chekhova-ul-d-39/</t>
        </is>
      </c>
      <c r="AB89" t="inlineStr">
        <is>
          <t>A+</t>
        </is>
      </c>
      <c r="AC89" t="inlineStr">
        <is>
          <t>ok</t>
        </is>
      </c>
      <c r="AD89" t="inlineStr">
        <is>
          <t>Помещение свободного назначения, 71.6 м2</t>
        </is>
      </c>
      <c r="AE89" t="inlineStr">
        <is>
          <t>Помещение свободного назначения</t>
        </is>
      </c>
      <c r="AF89" t="inlineStr">
        <is>
          <t>Ленинградская область</t>
        </is>
      </c>
      <c r="AG89" t="inlineStr">
        <is>
          <t>Гатчина</t>
        </is>
      </c>
      <c r="AH89" t="inlineStr">
        <is>
          <t>Гатчина</t>
        </is>
      </c>
      <c r="AI89" t="inlineStr">
        <is>
          <t>Чехова ул., д. 39</t>
        </is>
      </c>
      <c r="AJ89" t="inlineStr">
        <is>
          <t>Звездная</t>
        </is>
      </c>
      <c r="AK89" t="inlineStr"/>
      <c r="AL89" t="inlineStr"/>
    </row>
    <row r="90">
      <c r="A90" t="n">
        <v>131</v>
      </c>
      <c r="B90" t="n">
        <v>6</v>
      </c>
      <c r="C90" t="n">
        <v>11</v>
      </c>
      <c r="D90" t="inlineStr"/>
      <c r="E90" t="inlineStr"/>
      <c r="F90" t="inlineStr">
        <is>
          <t>Мурино г.</t>
        </is>
      </c>
      <c r="G90" t="n">
        <v>86.90000000000001</v>
      </c>
      <c r="H90" t="inlineStr">
        <is>
          <t>23 093 505</t>
        </is>
      </c>
      <c r="I90" t="inlineStr"/>
      <c r="J90" t="inlineStr"/>
      <c r="K90" t="inlineStr"/>
      <c r="L90" t="inlineStr"/>
      <c r="M90" t="inlineStr"/>
      <c r="N90" t="inlineStr">
        <is>
          <t>yes</t>
        </is>
      </c>
      <c r="O90" t="inlineStr">
        <is>
          <t>pixel_heuristic</t>
        </is>
      </c>
      <c r="P90">
        <f>HYPERLINK("https://knru.ru/catalog/murino-g/","ссылка")</f>
        <v/>
      </c>
      <c r="Q90" t="inlineStr"/>
      <c r="R90" t="inlineStr">
        <is>
          <t>Нет у нас</t>
        </is>
      </c>
      <c r="S90" t="n">
        <v>0</v>
      </c>
      <c r="T90" t="inlineStr">
        <is>
          <t>Совпадений по улице+дому не найдено</t>
        </is>
      </c>
      <c r="U90" t="n">
        <v>131</v>
      </c>
      <c r="V90" t="n">
        <v>6</v>
      </c>
      <c r="W90" t="n">
        <v>11</v>
      </c>
      <c r="X90" t="n">
        <v>23093505</v>
      </c>
      <c r="Y90" t="inlineStr"/>
      <c r="Z90" t="inlineStr"/>
      <c r="AA90" t="inlineStr">
        <is>
          <t>https://knru.ru/catalog/murino-g/</t>
        </is>
      </c>
      <c r="AB90" t="inlineStr">
        <is>
          <t>A+</t>
        </is>
      </c>
      <c r="AC90" t="inlineStr">
        <is>
          <t>ok</t>
        </is>
      </c>
      <c r="AD90" t="inlineStr">
        <is>
          <t>Помещение свободного назначения, 86.9 м2</t>
        </is>
      </c>
      <c r="AE90" t="inlineStr">
        <is>
          <t>Помещение свободного назначения</t>
        </is>
      </c>
      <c r="AF90" t="inlineStr">
        <is>
          <t>Ленинградская область</t>
        </is>
      </c>
      <c r="AG90" t="inlineStr">
        <is>
          <t>Мурино</t>
        </is>
      </c>
      <c r="AH90" t="inlineStr">
        <is>
          <t>Мурино</t>
        </is>
      </c>
      <c r="AI90" t="inlineStr">
        <is>
          <t>Мурино г.</t>
        </is>
      </c>
      <c r="AJ90" t="inlineStr">
        <is>
          <t>Девяткино</t>
        </is>
      </c>
      <c r="AK90" t="inlineStr"/>
      <c r="AL90" t="inlineStr"/>
    </row>
    <row r="91">
      <c r="A91" t="n">
        <v>132</v>
      </c>
      <c r="B91" t="n">
        <v>6</v>
      </c>
      <c r="C91" t="n">
        <v>12</v>
      </c>
      <c r="D91" t="n">
        <v>595659094</v>
      </c>
      <c r="E91" t="inlineStr"/>
      <c r="F91" t="inlineStr">
        <is>
          <t>Центральная ул., д. 30 к 1</t>
        </is>
      </c>
      <c r="G91" t="n">
        <v>84.8</v>
      </c>
      <c r="H91" t="inlineStr">
        <is>
          <t>15 427 887</t>
        </is>
      </c>
      <c r="I91" t="inlineStr"/>
      <c r="J91" t="inlineStr"/>
      <c r="K91" t="inlineStr"/>
      <c r="L91" t="inlineStr"/>
      <c r="M91" t="inlineStr"/>
      <c r="N91" t="inlineStr">
        <is>
          <t>yes</t>
        </is>
      </c>
      <c r="O91" t="inlineStr">
        <is>
          <t>pixel_heuristic</t>
        </is>
      </c>
      <c r="P91">
        <f>HYPERLINK("https://knru.ru/catalog/tsentralnaya-ul-d-30-k-1-595659094/","ссылка")</f>
        <v/>
      </c>
      <c r="Q91" t="inlineStr"/>
      <c r="R91" t="inlineStr">
        <is>
          <t>Нет у нас</t>
        </is>
      </c>
      <c r="S91" t="n">
        <v>0</v>
      </c>
      <c r="T91" t="inlineStr">
        <is>
          <t>Совпадений по улице+дому не найдено</t>
        </is>
      </c>
      <c r="U91" t="n">
        <v>132</v>
      </c>
      <c r="V91" t="n">
        <v>6</v>
      </c>
      <c r="W91" t="n">
        <v>12</v>
      </c>
      <c r="X91" t="n">
        <v>15427887</v>
      </c>
      <c r="Y91" t="inlineStr"/>
      <c r="Z91" t="inlineStr"/>
      <c r="AA91" t="inlineStr">
        <is>
          <t>https://knru.ru/catalog/tsentralnaya-ul-d-30-k-1-595659094/</t>
        </is>
      </c>
      <c r="AB91" t="inlineStr">
        <is>
          <t>A+</t>
        </is>
      </c>
      <c r="AC91" t="inlineStr">
        <is>
          <t>ok</t>
        </is>
      </c>
      <c r="AD91" t="inlineStr">
        <is>
          <t>Помещение свободного назначения, 84.8 м2</t>
        </is>
      </c>
      <c r="AE91" t="inlineStr">
        <is>
          <t>Помещение свободного назначения</t>
        </is>
      </c>
      <c r="AF91" t="inlineStr">
        <is>
          <t>Ленинградская область</t>
        </is>
      </c>
      <c r="AG91" t="inlineStr">
        <is>
          <t>Новоселье</t>
        </is>
      </c>
      <c r="AH91" t="inlineStr">
        <is>
          <t>Новоселье</t>
        </is>
      </c>
      <c r="AI91" t="inlineStr">
        <is>
          <t>Центральная ул., д. 30 к 1</t>
        </is>
      </c>
      <c r="AJ91" t="inlineStr">
        <is>
          <t>Проспект Ветеранов</t>
        </is>
      </c>
      <c r="AK91" t="inlineStr"/>
      <c r="AL91" t="inlineStr"/>
    </row>
    <row r="92">
      <c r="A92" t="n">
        <v>133</v>
      </c>
      <c r="B92" t="n">
        <v>6</v>
      </c>
      <c r="C92" t="n">
        <v>13</v>
      </c>
      <c r="D92" t="n">
        <v>114678461</v>
      </c>
      <c r="E92" t="inlineStr"/>
      <c r="F92" t="inlineStr">
        <is>
          <t>Центральная ул., д. 30 к 1</t>
        </is>
      </c>
      <c r="G92" t="n">
        <v>119.9</v>
      </c>
      <c r="H92" t="inlineStr">
        <is>
          <t>21 494 887</t>
        </is>
      </c>
      <c r="I92" t="inlineStr"/>
      <c r="J92" t="inlineStr"/>
      <c r="K92" t="inlineStr"/>
      <c r="L92" t="inlineStr"/>
      <c r="M92" t="inlineStr"/>
      <c r="N92" t="inlineStr">
        <is>
          <t>yes</t>
        </is>
      </c>
      <c r="O92" t="inlineStr">
        <is>
          <t>pixel_heuristic</t>
        </is>
      </c>
      <c r="P92">
        <f>HYPERLINK("https://knru.ru/catalog/tsentralnaya-ul-d-30-k-1-114678461/","ссылка")</f>
        <v/>
      </c>
      <c r="Q92" t="inlineStr"/>
      <c r="R92" t="inlineStr">
        <is>
          <t>Нет у нас</t>
        </is>
      </c>
      <c r="S92" t="n">
        <v>0</v>
      </c>
      <c r="T92" t="inlineStr">
        <is>
          <t>Совпадений по улице+дому не найдено</t>
        </is>
      </c>
      <c r="U92" t="n">
        <v>133</v>
      </c>
      <c r="V92" t="n">
        <v>6</v>
      </c>
      <c r="W92" t="n">
        <v>13</v>
      </c>
      <c r="X92" t="n">
        <v>21494887</v>
      </c>
      <c r="Y92" t="inlineStr"/>
      <c r="Z92" t="inlineStr"/>
      <c r="AA92" t="inlineStr">
        <is>
          <t>https://knru.ru/catalog/tsentralnaya-ul-d-30-k-1-114678461/</t>
        </is>
      </c>
      <c r="AB92" t="inlineStr">
        <is>
          <t>A+</t>
        </is>
      </c>
      <c r="AC92" t="inlineStr">
        <is>
          <t>ok</t>
        </is>
      </c>
      <c r="AD92" t="inlineStr">
        <is>
          <t>Помещение свободного назначения, 119.9 м2</t>
        </is>
      </c>
      <c r="AE92" t="inlineStr">
        <is>
          <t>Помещение свободного назначения</t>
        </is>
      </c>
      <c r="AF92" t="inlineStr">
        <is>
          <t>Ленинградская область</t>
        </is>
      </c>
      <c r="AG92" t="inlineStr">
        <is>
          <t>Новоселье</t>
        </is>
      </c>
      <c r="AH92" t="inlineStr">
        <is>
          <t>Новоселье</t>
        </is>
      </c>
      <c r="AI92" t="inlineStr">
        <is>
          <t>Центральная ул., д. 30 к 1</t>
        </is>
      </c>
      <c r="AJ92" t="inlineStr">
        <is>
          <t>Проспект Ветеранов</t>
        </is>
      </c>
      <c r="AK92" t="inlineStr"/>
      <c r="AL92" t="inlineStr"/>
    </row>
    <row r="93">
      <c r="A93" t="n">
        <v>134</v>
      </c>
      <c r="B93" t="n">
        <v>6</v>
      </c>
      <c r="C93" t="n">
        <v>14</v>
      </c>
      <c r="D93" t="n">
        <v>1580423848</v>
      </c>
      <c r="E93" t="inlineStr"/>
      <c r="F93" t="inlineStr">
        <is>
          <t>Центральная ул., д. 30 к 1</t>
        </is>
      </c>
      <c r="G93" t="n">
        <v>128</v>
      </c>
      <c r="H93" t="inlineStr">
        <is>
          <t>22 582 888</t>
        </is>
      </c>
      <c r="I93" t="inlineStr"/>
      <c r="J93" t="inlineStr"/>
      <c r="K93" t="inlineStr"/>
      <c r="L93" t="inlineStr"/>
      <c r="M93" t="inlineStr"/>
      <c r="N93" t="inlineStr">
        <is>
          <t>yes</t>
        </is>
      </c>
      <c r="O93" t="inlineStr">
        <is>
          <t>pixel_heuristic</t>
        </is>
      </c>
      <c r="P93">
        <f>HYPERLINK("https://knru.ru/catalog/tsentralnaya-ul-d-30-k-1-1580423848/","ссылка")</f>
        <v/>
      </c>
      <c r="Q93" t="inlineStr"/>
      <c r="R93" t="inlineStr">
        <is>
          <t>Нет у нас</t>
        </is>
      </c>
      <c r="S93" t="n">
        <v>0</v>
      </c>
      <c r="T93" t="inlineStr">
        <is>
          <t>Совпадений по улице+дому не найдено</t>
        </is>
      </c>
      <c r="U93" t="n">
        <v>134</v>
      </c>
      <c r="V93" t="n">
        <v>6</v>
      </c>
      <c r="W93" t="n">
        <v>14</v>
      </c>
      <c r="X93" t="n">
        <v>22582888</v>
      </c>
      <c r="Y93" t="inlineStr"/>
      <c r="Z93" t="inlineStr"/>
      <c r="AA93" t="inlineStr">
        <is>
          <t>https://knru.ru/catalog/tsentralnaya-ul-d-30-k-1-1580423848/</t>
        </is>
      </c>
      <c r="AB93" t="inlineStr">
        <is>
          <t>A+</t>
        </is>
      </c>
      <c r="AC93" t="inlineStr">
        <is>
          <t>ok</t>
        </is>
      </c>
      <c r="AD93" t="inlineStr">
        <is>
          <t>Помещение свободного назначения, 128 м2</t>
        </is>
      </c>
      <c r="AE93" t="inlineStr">
        <is>
          <t>Помещение свободного назначения</t>
        </is>
      </c>
      <c r="AF93" t="inlineStr">
        <is>
          <t>Ленинградская область</t>
        </is>
      </c>
      <c r="AG93" t="inlineStr">
        <is>
          <t>Новоселье</t>
        </is>
      </c>
      <c r="AH93" t="inlineStr">
        <is>
          <t>Новоселье</t>
        </is>
      </c>
      <c r="AI93" t="inlineStr">
        <is>
          <t>Центральная ул., д. 30 к 1</t>
        </is>
      </c>
      <c r="AJ93" t="inlineStr">
        <is>
          <t>Проспект Ветеранов</t>
        </is>
      </c>
      <c r="AK93" t="inlineStr"/>
      <c r="AL93" t="inlineStr"/>
    </row>
    <row r="94">
      <c r="A94" t="n">
        <v>135</v>
      </c>
      <c r="B94" t="n">
        <v>6</v>
      </c>
      <c r="C94" t="n">
        <v>15</v>
      </c>
      <c r="D94" t="n">
        <v>1193388980</v>
      </c>
      <c r="E94" t="inlineStr"/>
      <c r="F94" t="inlineStr">
        <is>
          <t>Центральная ул., д. 30 к 1</t>
        </is>
      </c>
      <c r="G94" t="n">
        <v>119.6</v>
      </c>
      <c r="H94" t="inlineStr">
        <is>
          <t>21 175 887</t>
        </is>
      </c>
      <c r="I94" t="inlineStr"/>
      <c r="J94" t="inlineStr"/>
      <c r="K94" t="inlineStr"/>
      <c r="L94" t="inlineStr"/>
      <c r="M94" t="inlineStr"/>
      <c r="N94" t="inlineStr">
        <is>
          <t>yes</t>
        </is>
      </c>
      <c r="O94" t="inlineStr">
        <is>
          <t>pixel_heuristic</t>
        </is>
      </c>
      <c r="P94">
        <f>HYPERLINK("https://knru.ru/catalog/tsentralnaya-ul-d-30-k-1-1193388980/","ссылка")</f>
        <v/>
      </c>
      <c r="Q94" t="inlineStr"/>
      <c r="R94" t="inlineStr">
        <is>
          <t>Нет у нас</t>
        </is>
      </c>
      <c r="S94" t="n">
        <v>0</v>
      </c>
      <c r="T94" t="inlineStr">
        <is>
          <t>Совпадений по улице+дому не найдено</t>
        </is>
      </c>
      <c r="U94" t="n">
        <v>135</v>
      </c>
      <c r="V94" t="n">
        <v>6</v>
      </c>
      <c r="W94" t="n">
        <v>15</v>
      </c>
      <c r="X94" t="n">
        <v>21175887</v>
      </c>
      <c r="Y94" t="inlineStr"/>
      <c r="Z94" t="inlineStr"/>
      <c r="AA94" t="inlineStr">
        <is>
          <t>https://knru.ru/catalog/tsentralnaya-ul-d-30-k-1-1193388980/</t>
        </is>
      </c>
      <c r="AB94" t="inlineStr">
        <is>
          <t>A+</t>
        </is>
      </c>
      <c r="AC94" t="inlineStr">
        <is>
          <t>ok</t>
        </is>
      </c>
      <c r="AD94" t="inlineStr">
        <is>
          <t>Помещение свободного назначения, 119.6 м2</t>
        </is>
      </c>
      <c r="AE94" t="inlineStr">
        <is>
          <t>Помещение свободного назначения</t>
        </is>
      </c>
      <c r="AF94" t="inlineStr">
        <is>
          <t>Ленинградская область</t>
        </is>
      </c>
      <c r="AG94" t="inlineStr">
        <is>
          <t>Новоселье</t>
        </is>
      </c>
      <c r="AH94" t="inlineStr">
        <is>
          <t>Новоселье</t>
        </is>
      </c>
      <c r="AI94" t="inlineStr">
        <is>
          <t>Центральная ул., д. 30 к 1</t>
        </is>
      </c>
      <c r="AJ94" t="inlineStr">
        <is>
          <t>Проспект Ветеранов</t>
        </is>
      </c>
      <c r="AK94" t="inlineStr"/>
      <c r="AL94" t="inlineStr"/>
    </row>
    <row r="95">
      <c r="A95" t="n">
        <v>136</v>
      </c>
      <c r="B95" t="n">
        <v>6</v>
      </c>
      <c r="C95" t="n">
        <v>16</v>
      </c>
      <c r="D95" t="n">
        <v>758658922</v>
      </c>
      <c r="E95" t="inlineStr"/>
      <c r="F95" t="inlineStr">
        <is>
          <t>Центральная ул., д. 30 к 1</t>
        </is>
      </c>
      <c r="G95" t="n">
        <v>151.6</v>
      </c>
      <c r="H95" t="inlineStr">
        <is>
          <t>26 626 888</t>
        </is>
      </c>
      <c r="I95" t="inlineStr"/>
      <c r="J95" t="inlineStr"/>
      <c r="K95" t="inlineStr"/>
      <c r="L95" t="inlineStr"/>
      <c r="M95" t="inlineStr"/>
      <c r="N95" t="inlineStr">
        <is>
          <t>yes</t>
        </is>
      </c>
      <c r="O95" t="inlineStr">
        <is>
          <t>pixel_heuristic</t>
        </is>
      </c>
      <c r="P95">
        <f>HYPERLINK("https://knru.ru/catalog/tsentralnaya-ul-d-30-k-1-758658922/","ссылка")</f>
        <v/>
      </c>
      <c r="Q95" t="inlineStr"/>
      <c r="R95" t="inlineStr">
        <is>
          <t>Нет у нас</t>
        </is>
      </c>
      <c r="S95" t="n">
        <v>0</v>
      </c>
      <c r="T95" t="inlineStr">
        <is>
          <t>Совпадений по улице+дому не найдено</t>
        </is>
      </c>
      <c r="U95" t="n">
        <v>136</v>
      </c>
      <c r="V95" t="n">
        <v>6</v>
      </c>
      <c r="W95" t="n">
        <v>16</v>
      </c>
      <c r="X95" t="n">
        <v>26626888</v>
      </c>
      <c r="Y95" t="inlineStr"/>
      <c r="Z95" t="inlineStr"/>
      <c r="AA95" t="inlineStr">
        <is>
          <t>https://knru.ru/catalog/tsentralnaya-ul-d-30-k-1-758658922/</t>
        </is>
      </c>
      <c r="AB95" t="inlineStr">
        <is>
          <t>A+</t>
        </is>
      </c>
      <c r="AC95" t="inlineStr">
        <is>
          <t>ok</t>
        </is>
      </c>
      <c r="AD95" t="inlineStr">
        <is>
          <t>Помещение свободного назначения, 151.6 м2</t>
        </is>
      </c>
      <c r="AE95" t="inlineStr">
        <is>
          <t>Помещение свободного назначения</t>
        </is>
      </c>
      <c r="AF95" t="inlineStr">
        <is>
          <t>Ленинградская область</t>
        </is>
      </c>
      <c r="AG95" t="inlineStr">
        <is>
          <t>Новоселье</t>
        </is>
      </c>
      <c r="AH95" t="inlineStr">
        <is>
          <t>Новоселье</t>
        </is>
      </c>
      <c r="AI95" t="inlineStr">
        <is>
          <t>Центральная ул., д. 30 к 1</t>
        </is>
      </c>
      <c r="AJ95" t="inlineStr">
        <is>
          <t>Проспект Ветеранов</t>
        </is>
      </c>
      <c r="AK95" t="inlineStr"/>
      <c r="AL95" t="inlineStr"/>
    </row>
    <row r="96">
      <c r="A96" t="n">
        <v>137</v>
      </c>
      <c r="B96" t="n">
        <v>6</v>
      </c>
      <c r="C96" t="n">
        <v>17</v>
      </c>
      <c r="D96" t="n">
        <v>376052396</v>
      </c>
      <c r="E96" t="inlineStr"/>
      <c r="F96" t="inlineStr">
        <is>
          <t>Центральная ул., д. 30 к 1</t>
        </is>
      </c>
      <c r="G96" t="n">
        <v>105.1</v>
      </c>
      <c r="H96" t="inlineStr">
        <is>
          <t>20 207 887</t>
        </is>
      </c>
      <c r="I96" t="inlineStr"/>
      <c r="J96" t="inlineStr"/>
      <c r="K96" t="inlineStr"/>
      <c r="L96" t="inlineStr"/>
      <c r="M96" t="inlineStr"/>
      <c r="N96" t="inlineStr">
        <is>
          <t>yes</t>
        </is>
      </c>
      <c r="O96" t="inlineStr">
        <is>
          <t>pixel_heuristic</t>
        </is>
      </c>
      <c r="P96">
        <f>HYPERLINK("https://knru.ru/catalog/tsentralnaya-ul-d-30-k-1-376052396/","ссылка")</f>
        <v/>
      </c>
      <c r="Q96" t="inlineStr"/>
      <c r="R96" t="inlineStr">
        <is>
          <t>Нет у нас</t>
        </is>
      </c>
      <c r="S96" t="n">
        <v>0</v>
      </c>
      <c r="T96" t="inlineStr">
        <is>
          <t>Совпадений по улице+дому не найдено</t>
        </is>
      </c>
      <c r="U96" t="n">
        <v>137</v>
      </c>
      <c r="V96" t="n">
        <v>6</v>
      </c>
      <c r="W96" t="n">
        <v>17</v>
      </c>
      <c r="X96" t="n">
        <v>20207887</v>
      </c>
      <c r="Y96" t="inlineStr"/>
      <c r="Z96" t="inlineStr"/>
      <c r="AA96" t="inlineStr">
        <is>
          <t>https://knru.ru/catalog/tsentralnaya-ul-d-30-k-1-376052396/</t>
        </is>
      </c>
      <c r="AB96" t="inlineStr">
        <is>
          <t>A+</t>
        </is>
      </c>
      <c r="AC96" t="inlineStr">
        <is>
          <t>ok</t>
        </is>
      </c>
      <c r="AD96" t="inlineStr">
        <is>
          <t>Помещение свободного назначения, 105.1 м2</t>
        </is>
      </c>
      <c r="AE96" t="inlineStr">
        <is>
          <t>Помещение свободного назначения</t>
        </is>
      </c>
      <c r="AF96" t="inlineStr">
        <is>
          <t>Ленинградская область</t>
        </is>
      </c>
      <c r="AG96" t="inlineStr">
        <is>
          <t>Новоселье</t>
        </is>
      </c>
      <c r="AH96" t="inlineStr">
        <is>
          <t>Новоселье</t>
        </is>
      </c>
      <c r="AI96" t="inlineStr">
        <is>
          <t>Центральная ул., д. 30 к 1</t>
        </is>
      </c>
      <c r="AJ96" t="inlineStr">
        <is>
          <t>Проспект Ветеранов</t>
        </is>
      </c>
      <c r="AK96" t="inlineStr"/>
      <c r="AL96" t="inlineStr"/>
    </row>
    <row r="97">
      <c r="A97" t="n">
        <v>138</v>
      </c>
      <c r="B97" t="n">
        <v>6</v>
      </c>
      <c r="C97" t="n">
        <v>18</v>
      </c>
      <c r="D97" t="n">
        <v>697106656</v>
      </c>
      <c r="E97" t="inlineStr"/>
      <c r="F97" t="inlineStr">
        <is>
          <t>Центральная ул., д. 30 к 1</t>
        </is>
      </c>
      <c r="G97" t="n">
        <v>85.7</v>
      </c>
      <c r="H97" t="inlineStr">
        <is>
          <t>15 589 887</t>
        </is>
      </c>
      <c r="I97" t="inlineStr"/>
      <c r="J97" t="inlineStr"/>
      <c r="K97" t="inlineStr"/>
      <c r="L97" t="inlineStr"/>
      <c r="M97" t="inlineStr"/>
      <c r="N97" t="inlineStr">
        <is>
          <t>yes</t>
        </is>
      </c>
      <c r="O97" t="inlineStr">
        <is>
          <t>pixel_heuristic</t>
        </is>
      </c>
      <c r="P97">
        <f>HYPERLINK("https://knru.ru/catalog/tsentralnaya-ul-d-30-k-1-697106656/","ссылка")</f>
        <v/>
      </c>
      <c r="Q97" t="inlineStr"/>
      <c r="R97" t="inlineStr">
        <is>
          <t>Нет у нас</t>
        </is>
      </c>
      <c r="S97" t="n">
        <v>0</v>
      </c>
      <c r="T97" t="inlineStr">
        <is>
          <t>Совпадений по улице+дому не найдено</t>
        </is>
      </c>
      <c r="U97" t="n">
        <v>138</v>
      </c>
      <c r="V97" t="n">
        <v>6</v>
      </c>
      <c r="W97" t="n">
        <v>18</v>
      </c>
      <c r="X97" t="n">
        <v>15589887</v>
      </c>
      <c r="Y97" t="inlineStr"/>
      <c r="Z97" t="inlineStr"/>
      <c r="AA97" t="inlineStr">
        <is>
          <t>https://knru.ru/catalog/tsentralnaya-ul-d-30-k-1-697106656/</t>
        </is>
      </c>
      <c r="AB97" t="inlineStr">
        <is>
          <t>A+</t>
        </is>
      </c>
      <c r="AC97" t="inlineStr">
        <is>
          <t>ok</t>
        </is>
      </c>
      <c r="AD97" t="inlineStr">
        <is>
          <t>Помещение свободного назначения, 85.7 м2</t>
        </is>
      </c>
      <c r="AE97" t="inlineStr">
        <is>
          <t>Помещение свободного назначения</t>
        </is>
      </c>
      <c r="AF97" t="inlineStr">
        <is>
          <t>Ленинградская область</t>
        </is>
      </c>
      <c r="AG97" t="inlineStr">
        <is>
          <t>Новоселье</t>
        </is>
      </c>
      <c r="AH97" t="inlineStr">
        <is>
          <t>Новоселье</t>
        </is>
      </c>
      <c r="AI97" t="inlineStr">
        <is>
          <t>Центральная ул., д. 30 к 1</t>
        </is>
      </c>
      <c r="AJ97" t="inlineStr">
        <is>
          <t>Проспект Ветеранов</t>
        </is>
      </c>
      <c r="AK97" t="inlineStr"/>
      <c r="AL97" t="inlineStr"/>
    </row>
    <row r="98">
      <c r="A98" t="n">
        <v>139</v>
      </c>
      <c r="B98" t="n">
        <v>6</v>
      </c>
      <c r="C98" t="n">
        <v>19</v>
      </c>
      <c r="D98" t="n">
        <v>934098873</v>
      </c>
      <c r="E98" t="inlineStr"/>
      <c r="F98" t="inlineStr">
        <is>
          <t>Центральная ул., д. 30 к 1</t>
        </is>
      </c>
      <c r="G98" t="n">
        <v>105.1</v>
      </c>
      <c r="H98" t="inlineStr">
        <is>
          <t>18 407 887</t>
        </is>
      </c>
      <c r="I98" t="inlineStr"/>
      <c r="J98" t="inlineStr"/>
      <c r="K98" t="inlineStr"/>
      <c r="L98" t="inlineStr"/>
      <c r="M98" t="inlineStr"/>
      <c r="N98" t="inlineStr">
        <is>
          <t>yes</t>
        </is>
      </c>
      <c r="O98" t="inlineStr">
        <is>
          <t>pixel_heuristic</t>
        </is>
      </c>
      <c r="P98">
        <f>HYPERLINK("https://knru.ru/catalog/tsentralnaya-ul-d-30-k-1-934098873/","ссылка")</f>
        <v/>
      </c>
      <c r="Q98" t="inlineStr"/>
      <c r="R98" t="inlineStr">
        <is>
          <t>Нет у нас</t>
        </is>
      </c>
      <c r="S98" t="n">
        <v>0</v>
      </c>
      <c r="T98" t="inlineStr">
        <is>
          <t>Совпадений по улице+дому не найдено</t>
        </is>
      </c>
      <c r="U98" t="n">
        <v>139</v>
      </c>
      <c r="V98" t="n">
        <v>6</v>
      </c>
      <c r="W98" t="n">
        <v>19</v>
      </c>
      <c r="X98" t="n">
        <v>18407887</v>
      </c>
      <c r="Y98" t="inlineStr"/>
      <c r="Z98" t="inlineStr"/>
      <c r="AA98" t="inlineStr">
        <is>
          <t>https://knru.ru/catalog/tsentralnaya-ul-d-30-k-1-934098873/</t>
        </is>
      </c>
      <c r="AB98" t="inlineStr">
        <is>
          <t>A+</t>
        </is>
      </c>
      <c r="AC98" t="inlineStr">
        <is>
          <t>ok</t>
        </is>
      </c>
      <c r="AD98" t="inlineStr">
        <is>
          <t>Помещение свободного назначения, 105.1 м2</t>
        </is>
      </c>
      <c r="AE98" t="inlineStr">
        <is>
          <t>Помещение свободного назначения</t>
        </is>
      </c>
      <c r="AF98" t="inlineStr">
        <is>
          <t>Ленинградская область</t>
        </is>
      </c>
      <c r="AG98" t="inlineStr">
        <is>
          <t>Новоселье</t>
        </is>
      </c>
      <c r="AH98" t="inlineStr">
        <is>
          <t>Новоселье</t>
        </is>
      </c>
      <c r="AI98" t="inlineStr">
        <is>
          <t>Центральная ул., д. 30 к 1</t>
        </is>
      </c>
      <c r="AJ98" t="inlineStr">
        <is>
          <t>Проспект Ветеранов</t>
        </is>
      </c>
      <c r="AK98" t="inlineStr"/>
      <c r="AL98" t="inlineStr"/>
    </row>
    <row r="99">
      <c r="A99" t="n">
        <v>140</v>
      </c>
      <c r="B99" t="n">
        <v>6</v>
      </c>
      <c r="C99" t="n">
        <v>20</v>
      </c>
      <c r="D99" t="n">
        <v>1</v>
      </c>
      <c r="E99" t="inlineStr"/>
      <c r="F99" t="inlineStr">
        <is>
          <t>Центральная ул., д. 30 к 1</t>
        </is>
      </c>
      <c r="G99" t="n">
        <v>98</v>
      </c>
      <c r="H99" t="inlineStr">
        <is>
          <t>18 210 887</t>
        </is>
      </c>
      <c r="I99" t="inlineStr"/>
      <c r="J99" t="inlineStr"/>
      <c r="K99" t="inlineStr"/>
      <c r="L99" t="inlineStr"/>
      <c r="M99" t="inlineStr"/>
      <c r="N99" t="inlineStr">
        <is>
          <t>yes</t>
        </is>
      </c>
      <c r="O99" t="inlineStr">
        <is>
          <t>pixel_heuristic</t>
        </is>
      </c>
      <c r="P99">
        <f>HYPERLINK("https://knru.ru/catalog/tsentralnaya-ul-d-30-k-1/","ссылка")</f>
        <v/>
      </c>
      <c r="Q99" t="inlineStr"/>
      <c r="R99" t="inlineStr">
        <is>
          <t>Нет у нас</t>
        </is>
      </c>
      <c r="S99" t="n">
        <v>0</v>
      </c>
      <c r="T99" t="inlineStr">
        <is>
          <t>Совпадений по улице+дому не найдено</t>
        </is>
      </c>
      <c r="U99" t="n">
        <v>140</v>
      </c>
      <c r="V99" t="n">
        <v>6</v>
      </c>
      <c r="W99" t="n">
        <v>20</v>
      </c>
      <c r="X99" t="n">
        <v>18210887</v>
      </c>
      <c r="Y99" t="inlineStr"/>
      <c r="Z99" t="inlineStr"/>
      <c r="AA99" t="inlineStr">
        <is>
          <t>https://knru.ru/catalog/tsentralnaya-ul-d-30-k-1/</t>
        </is>
      </c>
      <c r="AB99" t="inlineStr">
        <is>
          <t>A+</t>
        </is>
      </c>
      <c r="AC99" t="inlineStr">
        <is>
          <t>ok</t>
        </is>
      </c>
      <c r="AD99" t="inlineStr">
        <is>
          <t>Помещение свободного назначения, 98 м2</t>
        </is>
      </c>
      <c r="AE99" t="inlineStr">
        <is>
          <t>Помещение свободного назначения</t>
        </is>
      </c>
      <c r="AF99" t="inlineStr">
        <is>
          <t>Ленинградская область</t>
        </is>
      </c>
      <c r="AG99" t="inlineStr">
        <is>
          <t>Новоселье</t>
        </is>
      </c>
      <c r="AH99" t="inlineStr">
        <is>
          <t>Новоселье</t>
        </is>
      </c>
      <c r="AI99" t="inlineStr">
        <is>
          <t>Центральная ул., д. 30 к 1</t>
        </is>
      </c>
      <c r="AJ99" t="inlineStr">
        <is>
          <t>Проспект Ветеранов</t>
        </is>
      </c>
      <c r="AK99" t="inlineStr"/>
      <c r="AL99" t="inlineStr"/>
    </row>
    <row r="100">
      <c r="A100" t="n">
        <v>149</v>
      </c>
      <c r="B100" t="n">
        <v>7</v>
      </c>
      <c r="C100" t="n">
        <v>5</v>
      </c>
      <c r="D100" t="n">
        <v>4</v>
      </c>
      <c r="E100" t="inlineStr"/>
      <c r="F100" t="inlineStr">
        <is>
          <t>Парковая ул., д. дом 6 корпус 4</t>
        </is>
      </c>
      <c r="G100" t="n">
        <v>70.09999999999999</v>
      </c>
      <c r="H100" t="inlineStr">
        <is>
          <t>15 422 000</t>
        </is>
      </c>
      <c r="I100" t="inlineStr"/>
      <c r="J100" t="inlineStr"/>
      <c r="K100" t="inlineStr"/>
      <c r="L100" t="inlineStr"/>
      <c r="M100" t="inlineStr"/>
      <c r="N100" t="inlineStr">
        <is>
          <t>yes</t>
        </is>
      </c>
      <c r="O100" t="inlineStr">
        <is>
          <t>pixel_heuristic</t>
        </is>
      </c>
      <c r="P100">
        <f>HYPERLINK("https://knru.ru/catalog/parkovaya-ul-d-dom-6-korpus-4/","ссылка")</f>
        <v/>
      </c>
      <c r="Q100" t="inlineStr"/>
      <c r="R100" t="inlineStr">
        <is>
          <t>Нет у нас</t>
        </is>
      </c>
      <c r="S100" t="n">
        <v>0</v>
      </c>
      <c r="T100" t="inlineStr">
        <is>
          <t>Совпадений по улице+дому не найдено</t>
        </is>
      </c>
      <c r="U100" t="n">
        <v>149</v>
      </c>
      <c r="V100" t="n">
        <v>7</v>
      </c>
      <c r="W100" t="n">
        <v>5</v>
      </c>
      <c r="X100" t="n">
        <v>15422000</v>
      </c>
      <c r="Y100" t="inlineStr"/>
      <c r="Z100" t="inlineStr"/>
      <c r="AA100" t="inlineStr">
        <is>
          <t>https://knru.ru/catalog/parkovaya-ul-d-dom-6-korpus-4/</t>
        </is>
      </c>
      <c r="AB100" t="inlineStr">
        <is>
          <t>A+</t>
        </is>
      </c>
      <c r="AC100" t="inlineStr">
        <is>
          <t>ok</t>
        </is>
      </c>
      <c r="AD100" t="inlineStr">
        <is>
          <t>Помещение свободного назначения, 70.1 м2</t>
        </is>
      </c>
      <c r="AE100" t="inlineStr">
        <is>
          <t>Помещение свободного назначения</t>
        </is>
      </c>
      <c r="AF100" t="inlineStr">
        <is>
          <t>Ленинградская область</t>
        </is>
      </c>
      <c r="AG100" t="inlineStr">
        <is>
          <t>Тельмана</t>
        </is>
      </c>
      <c r="AH100" t="inlineStr">
        <is>
          <t>Тельмана</t>
        </is>
      </c>
      <c r="AI100" t="inlineStr">
        <is>
          <t>Парковая ул., д. дом 6 корпус 4</t>
        </is>
      </c>
      <c r="AJ100" t="inlineStr">
        <is>
          <t>Шушары</t>
        </is>
      </c>
      <c r="AK100" t="inlineStr"/>
      <c r="AL100" t="inlineStr"/>
    </row>
    <row r="101">
      <c r="A101" t="n">
        <v>150</v>
      </c>
      <c r="B101" t="n">
        <v>7</v>
      </c>
      <c r="C101" t="n">
        <v>6</v>
      </c>
      <c r="D101" t="n">
        <v>460125947</v>
      </c>
      <c r="E101" t="inlineStr">
        <is>
          <t>Красногвардейский</t>
        </is>
      </c>
      <c r="F101" t="inlineStr">
        <is>
          <t>Ириновский пр.</t>
        </is>
      </c>
      <c r="G101" t="n">
        <v>13.5</v>
      </c>
      <c r="H101" t="inlineStr">
        <is>
          <t>5 809 300</t>
        </is>
      </c>
      <c r="I101" t="inlineStr"/>
      <c r="J101" t="inlineStr"/>
      <c r="K101" t="inlineStr"/>
      <c r="L101" t="inlineStr"/>
      <c r="M101" t="inlineStr"/>
      <c r="N101" t="inlineStr">
        <is>
          <t>yes</t>
        </is>
      </c>
      <c r="O101" t="inlineStr">
        <is>
          <t>pixel_heuristic</t>
        </is>
      </c>
      <c r="P101">
        <f>HYPERLINK("https://knru.ru/catalog/irinovskiy-pr-460125947/","ссылка")</f>
        <v/>
      </c>
      <c r="Q101" t="inlineStr"/>
      <c r="R101" t="inlineStr">
        <is>
          <t>Нет у нас</t>
        </is>
      </c>
      <c r="S101" t="n">
        <v>0</v>
      </c>
      <c r="T101" t="inlineStr">
        <is>
          <t>Совпадений по улице+дому не найдено</t>
        </is>
      </c>
      <c r="U101" t="n">
        <v>150</v>
      </c>
      <c r="V101" t="n">
        <v>7</v>
      </c>
      <c r="W101" t="n">
        <v>6</v>
      </c>
      <c r="X101" t="n">
        <v>5809300</v>
      </c>
      <c r="Y101" t="inlineStr"/>
      <c r="Z101" t="inlineStr"/>
      <c r="AA101" t="inlineStr">
        <is>
          <t>https://knru.ru/catalog/irinovskiy-pr-460125947/</t>
        </is>
      </c>
      <c r="AB101" t="inlineStr">
        <is>
          <t>A+</t>
        </is>
      </c>
      <c r="AC101" t="inlineStr">
        <is>
          <t>ok</t>
        </is>
      </c>
      <c r="AD101" t="inlineStr">
        <is>
          <t>Помещение свободного назначения, 13.51 м2</t>
        </is>
      </c>
      <c r="AE101" t="inlineStr">
        <is>
          <t>Помещение свободного назначения</t>
        </is>
      </c>
      <c r="AF101" t="inlineStr">
        <is>
          <t>Санкт-Петербург</t>
        </is>
      </c>
      <c r="AG101" t="inlineStr">
        <is>
          <t>Санкт-Петербург</t>
        </is>
      </c>
      <c r="AH101" t="inlineStr">
        <is>
          <t>Санкт-Петербург</t>
        </is>
      </c>
      <c r="AI101" t="inlineStr">
        <is>
          <t>Ириновский пр.</t>
        </is>
      </c>
      <c r="AJ101" t="inlineStr">
        <is>
          <t>Ладожская</t>
        </is>
      </c>
      <c r="AK101" t="inlineStr"/>
      <c r="A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2026-02-15T18:42:08Z</dcterms:created>
  <dcterms:modified xmlns:dcterms="http://purl.org/dc/terms/" xmlns:xsi="http://www.w3.org/2001/XMLSchema-instance" xsi:type="dcterms:W3CDTF">2026-02-15T18:42:08Z</dcterms:modified>
</cp:coreProperties>
</file>