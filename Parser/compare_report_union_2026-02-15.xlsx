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й" sheetId="1" state="visible" r:id="rId1"/>
    <sheet xmlns:r="http://schemas.openxmlformats.org/officeDocument/2006/relationships" name="Статист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Район</t>
        </is>
      </c>
      <c r="B1" t="inlineStr">
        <is>
          <t>Адрес</t>
        </is>
      </c>
      <c r="C1" t="inlineStr">
        <is>
          <t>Сделка</t>
        </is>
      </c>
      <c r="D1" t="inlineStr">
        <is>
          <t>KNRU</t>
        </is>
      </c>
      <c r="E1" t="inlineStr">
        <is>
          <t>Северо-Запад</t>
        </is>
      </c>
      <c r="F1" t="inlineStr">
        <is>
          <t>Rest2Rent</t>
        </is>
      </c>
      <c r="G1" t="inlineStr">
        <is>
          <t>Площадь KNRU</t>
        </is>
      </c>
      <c r="H1" t="inlineStr">
        <is>
          <t>Площадь СЗ</t>
        </is>
      </c>
      <c r="I1" t="inlineStr">
        <is>
          <t>Площадь R2R</t>
        </is>
      </c>
      <c r="J1" t="inlineStr">
        <is>
          <t>Цена KNRU</t>
        </is>
      </c>
      <c r="K1" t="inlineStr">
        <is>
          <t>Цена СЗ</t>
        </is>
      </c>
      <c r="L1" t="inlineStr">
        <is>
          <t>Цена R2R</t>
        </is>
      </c>
      <c r="M1" t="inlineStr">
        <is>
          <t>Вывод KNRU</t>
        </is>
      </c>
      <c r="N1" t="inlineStr">
        <is>
          <t>Вывод СЗ</t>
        </is>
      </c>
      <c r="O1" t="inlineStr">
        <is>
          <t>Вывод R2R</t>
        </is>
      </c>
      <c r="P1" t="inlineStr">
        <is>
          <t>Расхождения</t>
        </is>
      </c>
      <c r="Q1" t="inlineStr">
        <is>
          <t>Ссылка KNRU</t>
        </is>
      </c>
      <c r="R1" t="inlineStr">
        <is>
          <t>Ссылка СЗ</t>
        </is>
      </c>
      <c r="S1" t="inlineStr">
        <is>
          <t>Ссылка R2R</t>
        </is>
      </c>
    </row>
    <row r="2">
      <c r="A2" t="inlineStr">
        <is>
          <t>Адмиралтейский</t>
        </is>
      </c>
      <c r="B2" t="inlineStr">
        <is>
          <t>Английский пр-кт, 26</t>
        </is>
      </c>
      <c r="C2" t="inlineStr">
        <is>
          <t>sale</t>
        </is>
      </c>
      <c r="D2" t="inlineStr">
        <is>
          <t>Да</t>
        </is>
      </c>
      <c r="E2" t="inlineStr">
        <is>
          <t>Да</t>
        </is>
      </c>
      <c r="F2" t="inlineStr"/>
      <c r="G2" t="inlineStr">
        <is>
          <t>52</t>
        </is>
      </c>
      <c r="H2" t="inlineStr">
        <is>
          <t>52</t>
        </is>
      </c>
      <c r="I2" t="inlineStr"/>
      <c r="J2" t="inlineStr">
        <is>
          <t>14 000 000</t>
        </is>
      </c>
      <c r="K2" t="inlineStr">
        <is>
          <t>11 500 000</t>
        </is>
      </c>
      <c r="L2" t="inlineStr"/>
      <c r="M2" t="inlineStr">
        <is>
          <t>Совпало</t>
        </is>
      </c>
      <c r="N2" t="inlineStr">
        <is>
          <t>Совпало</t>
        </is>
      </c>
      <c r="O2" t="inlineStr"/>
      <c r="P2" t="inlineStr">
        <is>
          <t>Цена отличается (KNRU: 14 000 000 / Северо-Запад: 11 500 000)</t>
        </is>
      </c>
      <c r="Q2">
        <f>HYPERLINK("https://knru.ru/catalog/angliyskiy-pr-d-26-1042529325/","ссылка")</f>
        <v/>
      </c>
      <c r="R2">
        <f>HYPERLINK("https://nordwestinvest.ru/real-estates/pomeshhenie-s-arendatorom-52-m2","ссылка")</f>
        <v/>
      </c>
      <c r="S2" t="inlineStr"/>
    </row>
    <row r="3">
      <c r="A3" t="inlineStr">
        <is>
          <t>Адмиралтейский</t>
        </is>
      </c>
      <c r="B3" t="inlineStr">
        <is>
          <t>Театральная пл, 16</t>
        </is>
      </c>
      <c r="C3" t="inlineStr">
        <is>
          <t>sale</t>
        </is>
      </c>
      <c r="D3" t="inlineStr">
        <is>
          <t>Да</t>
        </is>
      </c>
      <c r="E3" t="inlineStr">
        <is>
          <t>Да</t>
        </is>
      </c>
      <c r="F3" t="inlineStr"/>
      <c r="G3" t="inlineStr">
        <is>
          <t>122</t>
        </is>
      </c>
      <c r="H3" t="inlineStr">
        <is>
          <t>127</t>
        </is>
      </c>
      <c r="I3" t="inlineStr"/>
      <c r="J3" t="inlineStr">
        <is>
          <t>48 000 000</t>
        </is>
      </c>
      <c r="K3" t="inlineStr">
        <is>
          <t>35 800 000</t>
        </is>
      </c>
      <c r="L3" t="inlineStr"/>
      <c r="M3" t="inlineStr">
        <is>
          <t>Совпало</t>
        </is>
      </c>
      <c r="N3" t="inlineStr">
        <is>
          <t>Совпало</t>
        </is>
      </c>
      <c r="O3" t="inlineStr"/>
      <c r="P3" t="inlineStr">
        <is>
          <t>Площадь отличается (KNRU: 122 м2 / Северо-Запад: 127 м2) | Цена отличается (KNRU: 48 000 000 / Северо-Запад: 35 800 000)</t>
        </is>
      </c>
      <c r="Q3">
        <f>HYPERLINK("https://knru.ru/catalog/teatralnaya-ploshchad-d-16/","ссылка")</f>
        <v/>
      </c>
      <c r="R3">
        <f>HYPERLINK("https://nordwestinvest.ru/real-estates/pomeshhenie-s-ozon-i-iandeks","ссылка")</f>
        <v/>
      </c>
      <c r="S3" t="inlineStr"/>
    </row>
    <row r="4">
      <c r="A4" t="inlineStr">
        <is>
          <t>Василеостровский</t>
        </is>
      </c>
      <c r="B4" t="inlineStr">
        <is>
          <t>7-я В.О. линия, 30</t>
        </is>
      </c>
      <c r="C4" t="inlineStr">
        <is>
          <t>sale</t>
        </is>
      </c>
      <c r="D4" t="inlineStr">
        <is>
          <t>Да</t>
        </is>
      </c>
      <c r="E4" t="inlineStr">
        <is>
          <t>Да</t>
        </is>
      </c>
      <c r="F4" t="inlineStr"/>
      <c r="G4" t="inlineStr">
        <is>
          <t>189.3</t>
        </is>
      </c>
      <c r="H4" t="inlineStr">
        <is>
          <t>189.3</t>
        </is>
      </c>
      <c r="I4" t="inlineStr"/>
      <c r="J4" t="inlineStr">
        <is>
          <t>112 000 000</t>
        </is>
      </c>
      <c r="K4" t="inlineStr">
        <is>
          <t>98 000 000</t>
        </is>
      </c>
      <c r="L4" t="inlineStr"/>
      <c r="M4" t="inlineStr">
        <is>
          <t>Нет у нас</t>
        </is>
      </c>
      <c r="N4" t="inlineStr">
        <is>
          <t>Нет у нас</t>
        </is>
      </c>
      <c r="O4" t="inlineStr"/>
      <c r="P4" t="inlineStr">
        <is>
          <t>Цена отличается (KNRU: 112 000 000 / Северо-Запад: 98 000 000)</t>
        </is>
      </c>
      <c r="Q4">
        <f>HYPERLINK("https://knru.ru/catalog/7-ya-liniya-v-o-d-30/","ссылка")</f>
        <v/>
      </c>
      <c r="R4">
        <f>HYPERLINK("https://nordwestinvest.ru/real-estates/prodaza-torgovogo-pomeshheniia-vblizi-metro","ссылка")</f>
        <v/>
      </c>
      <c r="S4" t="inlineStr"/>
    </row>
    <row r="5">
      <c r="A5" t="inlineStr">
        <is>
          <t>Всеволожский</t>
        </is>
      </c>
      <c r="B5" t="inlineStr">
        <is>
          <t>Всеволожский пр-кт, 61</t>
        </is>
      </c>
      <c r="C5" t="inlineStr">
        <is>
          <t>sale</t>
        </is>
      </c>
      <c r="D5" t="inlineStr">
        <is>
          <t>Да</t>
        </is>
      </c>
      <c r="E5" t="inlineStr">
        <is>
          <t>Да</t>
        </is>
      </c>
      <c r="F5" t="inlineStr"/>
      <c r="G5" t="inlineStr">
        <is>
          <t>1983</t>
        </is>
      </c>
      <c r="H5" t="inlineStr">
        <is>
          <t>1983</t>
        </is>
      </c>
      <c r="I5" t="inlineStr"/>
      <c r="J5" t="inlineStr">
        <is>
          <t>139 000 000</t>
        </is>
      </c>
      <c r="K5" t="inlineStr">
        <is>
          <t>105 000 000</t>
        </is>
      </c>
      <c r="L5" t="inlineStr"/>
      <c r="M5" t="inlineStr">
        <is>
          <t>Нет у нас</t>
        </is>
      </c>
      <c r="N5" t="inlineStr">
        <is>
          <t>Нет у нас</t>
        </is>
      </c>
      <c r="O5" t="inlineStr"/>
      <c r="P5" t="inlineStr">
        <is>
          <t>Цена отличается (KNRU: 139 000 000 / Северо-Запад: 105 000 000)</t>
        </is>
      </c>
      <c r="Q5">
        <f>HYPERLINK("https://knru.ru/catalog/len-oblast-g-vsevolozhsk-vsevolozhskiy-pr-d-61/","ссылка")</f>
        <v/>
      </c>
      <c r="R5">
        <f>HYPERLINK("https://nordwestinvest.ru/real-estates/prodaza-tk-100-zapolniaemost","ссылка")</f>
        <v/>
      </c>
      <c r="S5" t="inlineStr"/>
    </row>
    <row r="6">
      <c r="A6" t="inlineStr">
        <is>
          <t>Всеволожский</t>
        </is>
      </c>
      <c r="B6" t="inlineStr">
        <is>
          <t>Шувалова ул, 28</t>
        </is>
      </c>
      <c r="C6" t="inlineStr">
        <is>
          <t>sale</t>
        </is>
      </c>
      <c r="D6" t="inlineStr">
        <is>
          <t>Да</t>
        </is>
      </c>
      <c r="E6" t="inlineStr">
        <is>
          <t>Да</t>
        </is>
      </c>
      <c r="F6" t="inlineStr"/>
      <c r="G6" t="inlineStr">
        <is>
          <t>120.3</t>
        </is>
      </c>
      <c r="H6" t="inlineStr">
        <is>
          <t>114</t>
        </is>
      </c>
      <c r="I6" t="inlineStr"/>
      <c r="J6" t="inlineStr">
        <is>
          <t>37 500 000</t>
        </is>
      </c>
      <c r="K6" t="inlineStr">
        <is>
          <t>37 000 000</t>
        </is>
      </c>
      <c r="L6" t="inlineStr"/>
      <c r="M6" t="inlineStr">
        <is>
          <t>Нет у нас</t>
        </is>
      </c>
      <c r="N6" t="inlineStr">
        <is>
          <t>Нет у нас</t>
        </is>
      </c>
      <c r="O6" t="inlineStr"/>
      <c r="P6" t="inlineStr">
        <is>
          <t>Площадь отличается (KNRU: 120.3 м2 / Северо-Запад: 114 м2) | Цена отличается (KNRU: 37 500 000 / Северо-Запад: 37 000 000)</t>
        </is>
      </c>
      <c r="Q6">
        <f>HYPERLINK("https://knru.ru/catalog/ul-shuvalova-d-28/","ссылка")</f>
        <v/>
      </c>
      <c r="R6">
        <f>HYPERLINK("https://nordwestinvest.ru/real-estates/prodaza-psn-v-p-murino-114-m2","ссылка")</f>
        <v/>
      </c>
      <c r="S6" t="inlineStr"/>
    </row>
    <row r="7">
      <c r="A7" t="inlineStr">
        <is>
          <t>Выборгский</t>
        </is>
      </c>
      <c r="B7" t="inlineStr">
        <is>
          <t>Выборгское ш, 17к1</t>
        </is>
      </c>
      <c r="C7" t="inlineStr">
        <is>
          <t>sale</t>
        </is>
      </c>
      <c r="D7" t="inlineStr">
        <is>
          <t>Да</t>
        </is>
      </c>
      <c r="E7" t="inlineStr">
        <is>
          <t>Да</t>
        </is>
      </c>
      <c r="F7" t="inlineStr"/>
      <c r="G7" t="inlineStr">
        <is>
          <t>325.5</t>
        </is>
      </c>
      <c r="H7" t="inlineStr">
        <is>
          <t>325.5</t>
        </is>
      </c>
      <c r="I7" t="inlineStr"/>
      <c r="J7" t="inlineStr">
        <is>
          <t>86 500 000</t>
        </is>
      </c>
      <c r="K7" t="inlineStr">
        <is>
          <t>86 500 000</t>
        </is>
      </c>
      <c r="L7" t="inlineStr"/>
      <c r="M7" t="inlineStr">
        <is>
          <t>Совпало</t>
        </is>
      </c>
      <c r="N7" t="inlineStr">
        <is>
          <t>Совпало</t>
        </is>
      </c>
      <c r="O7" t="inlineStr"/>
      <c r="P7" t="inlineStr"/>
      <c r="Q7">
        <f>HYPERLINK("https://knru.ru/catalog/vyborgskoe-shosse-d-17-k-1-2045129821/","ссылка")</f>
        <v/>
      </c>
      <c r="R7">
        <f>HYPERLINK("https://nordwestinvest.ru/real-estates/prodaza-pomeshheniia-v","ссылка")</f>
        <v/>
      </c>
      <c r="S7" t="inlineStr"/>
    </row>
    <row r="8">
      <c r="A8" t="inlineStr">
        <is>
          <t>Выборгский</t>
        </is>
      </c>
      <c r="B8" t="inlineStr">
        <is>
          <t>Манчестерская ул, 5к1стр1</t>
        </is>
      </c>
      <c r="C8" t="inlineStr">
        <is>
          <t>sale</t>
        </is>
      </c>
      <c r="D8" t="inlineStr">
        <is>
          <t>Да</t>
        </is>
      </c>
      <c r="E8" t="inlineStr">
        <is>
          <t>Да</t>
        </is>
      </c>
      <c r="F8" t="inlineStr"/>
      <c r="G8" t="inlineStr">
        <is>
          <t>96.2</t>
        </is>
      </c>
      <c r="H8" t="inlineStr">
        <is>
          <t>104.7</t>
        </is>
      </c>
      <c r="I8" t="inlineStr"/>
      <c r="J8" t="inlineStr">
        <is>
          <t>33 814 300</t>
        </is>
      </c>
      <c r="K8" t="inlineStr">
        <is>
          <t>51 400 000</t>
        </is>
      </c>
      <c r="L8" t="inlineStr"/>
      <c r="M8" t="inlineStr">
        <is>
          <t>Нет у нас</t>
        </is>
      </c>
      <c r="N8" t="inlineStr">
        <is>
          <t>Нет у нас</t>
        </is>
      </c>
      <c r="O8" t="inlineStr"/>
      <c r="P8" t="inlineStr">
        <is>
          <t>Площадь отличается (KNRU: 96.2 м2 / Северо-Запад: 104.7 м2) | Цена отличается (KNRU: 33 814 300 / Северо-Запад: 51 400 000)</t>
        </is>
      </c>
      <c r="Q8">
        <f>HYPERLINK("https://knru.ru/catalog/ul-manchesterskaya-d-5-k-1-466540763/","ссылка")</f>
        <v/>
      </c>
      <c r="R8">
        <f>HYPERLINK("https://nordwestinvest.ru/real-estates/prodaza-pomeshheniia-s-nds-s-arendatorom-1047-m2","ссылка")</f>
        <v/>
      </c>
      <c r="S8" t="inlineStr"/>
    </row>
    <row r="9">
      <c r="A9" t="inlineStr">
        <is>
          <t>Калининский</t>
        </is>
      </c>
      <c r="B9" t="inlineStr">
        <is>
          <t>Кондратьевский пр-кт, 40к14</t>
        </is>
      </c>
      <c r="C9" t="inlineStr">
        <is>
          <t>sale</t>
        </is>
      </c>
      <c r="D9" t="inlineStr">
        <is>
          <t>Да</t>
        </is>
      </c>
      <c r="E9" t="inlineStr">
        <is>
          <t>Да</t>
        </is>
      </c>
      <c r="F9" t="inlineStr"/>
      <c r="G9" t="inlineStr">
        <is>
          <t>87.6</t>
        </is>
      </c>
      <c r="H9" t="inlineStr">
        <is>
          <t>87.6</t>
        </is>
      </c>
      <c r="I9" t="inlineStr"/>
      <c r="J9" t="inlineStr">
        <is>
          <t>7 000 000</t>
        </is>
      </c>
      <c r="K9" t="inlineStr">
        <is>
          <t>6 500 000</t>
        </is>
      </c>
      <c r="L9" t="inlineStr"/>
      <c r="M9" t="inlineStr">
        <is>
          <t>По адресу есть, но площадь другая</t>
        </is>
      </c>
      <c r="N9" t="inlineStr">
        <is>
          <t>По адресу есть, но площадь другая</t>
        </is>
      </c>
      <c r="O9" t="inlineStr"/>
      <c r="P9" t="inlineStr">
        <is>
          <t>Цена отличается (KNRU: 7 000 000 / Северо-Запад: 6 500 000)</t>
        </is>
      </c>
      <c r="Q9">
        <f>HYPERLINK("https://knru.ru/catalog/kondratevskiy-pr-kt-40k14/","ссылка")</f>
        <v/>
      </c>
      <c r="R9">
        <f>HYPERLINK("https://nordwestinvest.ru/real-estates/pomeshhenie-s-wb-87-m2okupaemost-8-let-1","ссылка")</f>
        <v/>
      </c>
      <c r="S9" t="inlineStr"/>
    </row>
    <row r="10">
      <c r="A10" t="inlineStr">
        <is>
          <t>Калининский</t>
        </is>
      </c>
      <c r="B10" t="inlineStr">
        <is>
          <t>Пискарёвский пр-кт, 6стр1</t>
        </is>
      </c>
      <c r="C10" t="inlineStr">
        <is>
          <t>sale</t>
        </is>
      </c>
      <c r="D10" t="inlineStr">
        <is>
          <t>Да</t>
        </is>
      </c>
      <c r="E10" t="inlineStr">
        <is>
          <t>Да</t>
        </is>
      </c>
      <c r="F10" t="inlineStr"/>
      <c r="G10" t="inlineStr">
        <is>
          <t>1912</t>
        </is>
      </c>
      <c r="H10" t="inlineStr">
        <is>
          <t>1912</t>
        </is>
      </c>
      <c r="I10" t="inlineStr"/>
      <c r="J10" t="inlineStr">
        <is>
          <t>266 000 000</t>
        </is>
      </c>
      <c r="K10" t="inlineStr">
        <is>
          <t>265 000 000</t>
        </is>
      </c>
      <c r="L10" t="inlineStr"/>
      <c r="M10" t="inlineStr">
        <is>
          <t>Нет у нас</t>
        </is>
      </c>
      <c r="N10" t="inlineStr">
        <is>
          <t>Нет у нас</t>
        </is>
      </c>
      <c r="O10" t="inlineStr"/>
      <c r="P10" t="inlineStr">
        <is>
          <t>Цена отличается (KNRU: 266 000 000 / Северо-Запад: 265 000 000)</t>
        </is>
      </c>
      <c r="Q10">
        <f>HYPERLINK("https://knru.ru/catalog/piskarevskij-pr-d-6/","ссылка")</f>
        <v/>
      </c>
      <c r="R10">
        <f>HYPERLINK("https://nordwestinvest.ru/real-estates/prodaza-zdaniia-okupaemost-8-let-2","ссылка")</f>
        <v/>
      </c>
      <c r="S10" t="inlineStr"/>
    </row>
    <row r="11">
      <c r="A11" t="inlineStr">
        <is>
          <t>Калининский</t>
        </is>
      </c>
      <c r="B11" t="inlineStr">
        <is>
          <t>Просвещения, 53к1 Д</t>
        </is>
      </c>
      <c r="C11" t="inlineStr">
        <is>
          <t>sale</t>
        </is>
      </c>
      <c r="D11" t="inlineStr">
        <is>
          <t>Да</t>
        </is>
      </c>
      <c r="E11" t="inlineStr">
        <is>
          <t>Да</t>
        </is>
      </c>
      <c r="F11" t="inlineStr"/>
      <c r="G11" t="inlineStr">
        <is>
          <t>418</t>
        </is>
      </c>
      <c r="H11" t="inlineStr">
        <is>
          <t>418</t>
        </is>
      </c>
      <c r="I11" t="inlineStr"/>
      <c r="J11" t="inlineStr">
        <is>
          <t>99 000 000</t>
        </is>
      </c>
      <c r="K11" t="inlineStr">
        <is>
          <t>93 000 000</t>
        </is>
      </c>
      <c r="L11" t="inlineStr"/>
      <c r="M11" t="inlineStr">
        <is>
          <t>По адресу есть, но площадь другая</t>
        </is>
      </c>
      <c r="N11" t="inlineStr">
        <is>
          <t>По адресу есть, но площадь другая</t>
        </is>
      </c>
      <c r="O11" t="inlineStr"/>
      <c r="P11" t="inlineStr">
        <is>
          <t>Цена отличается (KNRU: 99 000 000 / Северо-Запад: 93 000 000)</t>
        </is>
      </c>
      <c r="Q11">
        <f>HYPERLINK("https://knru.ru/catalog/prosveshcheniya-pr-kt-d-53/","ссылка")</f>
        <v/>
      </c>
      <c r="R11">
        <f>HYPERLINK("https://nordwestinvest.ru/real-estates/prodaza-torgovogo-pomeshheniia-s-nds","ссылка")</f>
        <v/>
      </c>
      <c r="S11" t="inlineStr"/>
    </row>
    <row r="12">
      <c r="A12" t="inlineStr">
        <is>
          <t>Кировский</t>
        </is>
      </c>
      <c r="B12" t="inlineStr">
        <is>
          <t>Стачек пр-кт, 75</t>
        </is>
      </c>
      <c r="C12" t="inlineStr">
        <is>
          <t>sale</t>
        </is>
      </c>
      <c r="D12" t="inlineStr">
        <is>
          <t>Да</t>
        </is>
      </c>
      <c r="E12" t="inlineStr">
        <is>
          <t>Да</t>
        </is>
      </c>
      <c r="F12" t="inlineStr"/>
      <c r="G12" t="inlineStr">
        <is>
          <t>134</t>
        </is>
      </c>
      <c r="H12" t="inlineStr">
        <is>
          <t>133.5</t>
        </is>
      </c>
      <c r="I12" t="inlineStr"/>
      <c r="J12" t="inlineStr">
        <is>
          <t>57 000 000</t>
        </is>
      </c>
      <c r="K12" t="inlineStr">
        <is>
          <t>55 000 000</t>
        </is>
      </c>
      <c r="L12" t="inlineStr"/>
      <c r="M12" t="inlineStr">
        <is>
          <t>Совпало</t>
        </is>
      </c>
      <c r="N12" t="inlineStr">
        <is>
          <t>Совпало</t>
        </is>
      </c>
      <c r="O12" t="inlineStr"/>
      <c r="P12" t="inlineStr">
        <is>
          <t>Цена отличается (KNRU: 57 000 000 / Северо-Запад: 55 000 000)</t>
        </is>
      </c>
      <c r="Q12">
        <f>HYPERLINK("https://knru.ru/catalog/pr-stachek-d-75/","ссылка")</f>
        <v/>
      </c>
      <c r="R12">
        <f>HYPERLINK("https://nordwestinvest.ru/real-estates/prodaza-pomeshheniia-s-arendatorom-aptekoi-stolicki","ссылка")</f>
        <v/>
      </c>
      <c r="S12" t="inlineStr"/>
    </row>
    <row r="13">
      <c r="A13" t="inlineStr">
        <is>
          <t>Красногвардейский</t>
        </is>
      </c>
      <c r="B13" t="inlineStr">
        <is>
          <t>Косыгина пр-кт, 30к1 А</t>
        </is>
      </c>
      <c r="C13" t="inlineStr">
        <is>
          <t>sale</t>
        </is>
      </c>
      <c r="D13" t="inlineStr">
        <is>
          <t>Да</t>
        </is>
      </c>
      <c r="E13" t="inlineStr">
        <is>
          <t>Да</t>
        </is>
      </c>
      <c r="F13" t="inlineStr"/>
      <c r="G13" t="inlineStr">
        <is>
          <t>412</t>
        </is>
      </c>
      <c r="H13" t="inlineStr">
        <is>
          <t>411.7</t>
        </is>
      </c>
      <c r="I13" t="inlineStr"/>
      <c r="J13" t="inlineStr">
        <is>
          <t>100 800 000</t>
        </is>
      </c>
      <c r="K13" t="inlineStr">
        <is>
          <t>87 100 000</t>
        </is>
      </c>
      <c r="L13" t="inlineStr"/>
      <c r="M13" t="inlineStr">
        <is>
          <t>По адресу есть, но площадь другая</t>
        </is>
      </c>
      <c r="N13" t="inlineStr">
        <is>
          <t>По адресу есть, но площадь другая</t>
        </is>
      </c>
      <c r="O13" t="inlineStr"/>
      <c r="P13" t="inlineStr">
        <is>
          <t>Цена отличается (KNRU: 100 800 000 / Северо-Запад: 87 100 000)</t>
        </is>
      </c>
      <c r="Q13">
        <f>HYPERLINK("https://knru.ru/catalog/kosygina-pr-d-30-k-1b/","ссылка")</f>
        <v/>
      </c>
      <c r="R13">
        <f>HYPERLINK("https://nordwestinvest.ru/real-estates/prodaza-kfs-vingaraz-ozon-vb-4117-kvm","ссылка")</f>
        <v/>
      </c>
      <c r="S13" t="inlineStr"/>
    </row>
    <row r="14">
      <c r="A14" t="inlineStr">
        <is>
          <t>Красногвардейский</t>
        </is>
      </c>
      <c r="B14" t="inlineStr">
        <is>
          <t>Среднеохтинский пр-кт, 1к1</t>
        </is>
      </c>
      <c r="C14" t="inlineStr">
        <is>
          <t>sale</t>
        </is>
      </c>
      <c r="D14" t="inlineStr">
        <is>
          <t>Да</t>
        </is>
      </c>
      <c r="E14" t="inlineStr">
        <is>
          <t>Да</t>
        </is>
      </c>
      <c r="F14" t="inlineStr"/>
      <c r="G14" t="inlineStr">
        <is>
          <t>395</t>
        </is>
      </c>
      <c r="H14" t="inlineStr">
        <is>
          <t>394.6</t>
        </is>
      </c>
      <c r="I14" t="inlineStr"/>
      <c r="J14" t="inlineStr">
        <is>
          <t>88 400 000</t>
        </is>
      </c>
      <c r="K14" t="inlineStr">
        <is>
          <t>92 250 000</t>
        </is>
      </c>
      <c r="L14" t="inlineStr"/>
      <c r="M14" t="inlineStr">
        <is>
          <t>Нет у нас</t>
        </is>
      </c>
      <c r="N14" t="inlineStr">
        <is>
          <t>Нет у нас</t>
        </is>
      </c>
      <c r="O14" t="inlineStr"/>
      <c r="P14" t="inlineStr">
        <is>
          <t>Цена отличается (KNRU: 88 400 000 / Северо-Запад: 92 250 000)</t>
        </is>
      </c>
      <c r="Q14">
        <f>HYPERLINK("https://knru.ru/catalog/sredneokhtinskiy-pr-d-1/","ссылка")</f>
        <v/>
      </c>
      <c r="R14">
        <f>HYPERLINK("https://nordwestinvest.ru/real-estates/pomeshhenie-s-krupnymi-setevymi-arendatorami","ссылка")</f>
        <v/>
      </c>
      <c r="S14" t="inlineStr"/>
    </row>
    <row r="15">
      <c r="A15" t="inlineStr">
        <is>
          <t>Московский</t>
        </is>
      </c>
      <c r="B15" t="inlineStr">
        <is>
          <t>Костюшко ул, 38</t>
        </is>
      </c>
      <c r="C15" t="inlineStr">
        <is>
          <t>sale</t>
        </is>
      </c>
      <c r="D15" t="inlineStr">
        <is>
          <t>Да</t>
        </is>
      </c>
      <c r="E15" t="inlineStr">
        <is>
          <t>Да</t>
        </is>
      </c>
      <c r="F15" t="inlineStr"/>
      <c r="G15" t="inlineStr">
        <is>
          <t>56</t>
        </is>
      </c>
      <c r="H15" t="inlineStr">
        <is>
          <t>55.8</t>
        </is>
      </c>
      <c r="I15" t="inlineStr"/>
      <c r="J15" t="inlineStr">
        <is>
          <t>16 900 000</t>
        </is>
      </c>
      <c r="K15" t="inlineStr">
        <is>
          <t>16 900 000</t>
        </is>
      </c>
      <c r="L15" t="inlineStr"/>
      <c r="M15" t="inlineStr">
        <is>
          <t>По адресу есть, но площадь другая</t>
        </is>
      </c>
      <c r="N15" t="inlineStr">
        <is>
          <t>По адресу есть, но площадь другая</t>
        </is>
      </c>
      <c r="O15" t="inlineStr"/>
      <c r="P15" t="inlineStr"/>
      <c r="Q15">
        <f>HYPERLINK("https://knru.ru/catalog/kostyushko-ul-38/","ссылка")</f>
        <v/>
      </c>
      <c r="R15">
        <f>HYPERLINK("https://nordwestinvest.ru/real-estates/pomeshhenie-s-wb-1","ссылка")</f>
        <v/>
      </c>
      <c r="S15" t="inlineStr"/>
    </row>
    <row r="16">
      <c r="A16" t="inlineStr">
        <is>
          <t>Московский</t>
        </is>
      </c>
      <c r="B16" t="inlineStr">
        <is>
          <t>Лиговский, 19</t>
        </is>
      </c>
      <c r="C16" t="inlineStr">
        <is>
          <t>sale</t>
        </is>
      </c>
      <c r="D16" t="inlineStr">
        <is>
          <t>Да</t>
        </is>
      </c>
      <c r="E16" t="inlineStr">
        <is>
          <t>Да</t>
        </is>
      </c>
      <c r="F16" t="inlineStr"/>
      <c r="G16" t="inlineStr">
        <is>
          <t>92</t>
        </is>
      </c>
      <c r="H16" t="inlineStr">
        <is>
          <t>92.4</t>
        </is>
      </c>
      <c r="I16" t="inlineStr"/>
      <c r="J16" t="inlineStr">
        <is>
          <t>50 000 000</t>
        </is>
      </c>
      <c r="K16" t="inlineStr">
        <is>
          <t>49 900 000</t>
        </is>
      </c>
      <c r="L16" t="inlineStr"/>
      <c r="M16" t="inlineStr">
        <is>
          <t>Совпало</t>
        </is>
      </c>
      <c r="N16" t="inlineStr">
        <is>
          <t>Совпало</t>
        </is>
      </c>
      <c r="O16" t="inlineStr"/>
      <c r="P16" t="inlineStr">
        <is>
          <t>Цена отличается (KNRU: 50 000 000 / Северо-Запад: 49 900 000)</t>
        </is>
      </c>
      <c r="Q16">
        <f>HYPERLINK("https://knru.ru/catalog/ligovskiy-pr-kt-d-19-1408109374/","ссылка")</f>
        <v/>
      </c>
      <c r="R16">
        <f>HYPERLINK("https://nordwestinvest.ru/real-estates/prodaza-gab-sever-metropol-naprotiv-bkz","ссылка")</f>
        <v/>
      </c>
      <c r="S16" t="inlineStr"/>
    </row>
    <row r="17">
      <c r="A17" t="inlineStr">
        <is>
          <t>Не определен</t>
        </is>
      </c>
      <c r="B17" t="inlineStr">
        <is>
          <t>Европейский пр-кт, 22</t>
        </is>
      </c>
      <c r="C17" t="inlineStr">
        <is>
          <t>sale</t>
        </is>
      </c>
      <c r="D17" t="inlineStr">
        <is>
          <t>Да</t>
        </is>
      </c>
      <c r="E17" t="inlineStr">
        <is>
          <t>Да</t>
        </is>
      </c>
      <c r="F17" t="inlineStr"/>
      <c r="G17" t="inlineStr">
        <is>
          <t>77.5</t>
        </is>
      </c>
      <c r="H17" t="inlineStr">
        <is>
          <t>77.5</t>
        </is>
      </c>
      <c r="I17" t="inlineStr"/>
      <c r="J17" t="inlineStr">
        <is>
          <t>13 950 000</t>
        </is>
      </c>
      <c r="K17" t="inlineStr">
        <is>
          <t>11 500 000</t>
        </is>
      </c>
      <c r="L17" t="inlineStr"/>
      <c r="M17" t="inlineStr">
        <is>
          <t>По адресу есть, но площадь другая</t>
        </is>
      </c>
      <c r="N17" t="inlineStr">
        <is>
          <t>По адресу есть, но площадь другая</t>
        </is>
      </c>
      <c r="O17" t="inlineStr"/>
      <c r="P17" t="inlineStr">
        <is>
          <t>Цена отличается (KNRU: 13 950 000 / Северо-Запад: 11 500 000)</t>
        </is>
      </c>
      <c r="Q17">
        <f>HYPERLINK("https://knru.ru/catalog/evropejskij-pr-d-22/","ссылка")</f>
        <v/>
      </c>
      <c r="R17">
        <f>HYPERLINK("https://nordwestinvest.ru/real-estates/prodaza-pomeshheniia-v-zk-evropeiskii-park","ссылка")</f>
        <v/>
      </c>
      <c r="S17" t="inlineStr"/>
    </row>
    <row r="18">
      <c r="A18" t="inlineStr">
        <is>
          <t>Невский</t>
        </is>
      </c>
      <c r="B18" t="inlineStr">
        <is>
          <t>Караваевская ул, 23 А</t>
        </is>
      </c>
      <c r="C18" t="inlineStr">
        <is>
          <t>sale</t>
        </is>
      </c>
      <c r="D18" t="inlineStr">
        <is>
          <t>Да</t>
        </is>
      </c>
      <c r="E18" t="inlineStr">
        <is>
          <t>Да</t>
        </is>
      </c>
      <c r="F18" t="inlineStr"/>
      <c r="G18" t="inlineStr">
        <is>
          <t>4596</t>
        </is>
      </c>
      <c r="H18" t="inlineStr">
        <is>
          <t>4596</t>
        </is>
      </c>
      <c r="I18" t="inlineStr"/>
      <c r="J18" t="inlineStr">
        <is>
          <t>350 000 000</t>
        </is>
      </c>
      <c r="K18" t="inlineStr">
        <is>
          <t>450 000 000</t>
        </is>
      </c>
      <c r="L18" t="inlineStr"/>
      <c r="M18" t="inlineStr">
        <is>
          <t>Нет у нас</t>
        </is>
      </c>
      <c r="N18" t="inlineStr">
        <is>
          <t>Нет у нас</t>
        </is>
      </c>
      <c r="O18" t="inlineStr"/>
      <c r="P18" t="inlineStr">
        <is>
          <t>Цена отличается (KNRU: 350 000 000 / Северо-Запад: 450 000 000)</t>
        </is>
      </c>
      <c r="Q18">
        <f>HYPERLINK("https://knru.ru/catalog/karavaevskaya-ul-23-a/","ссылка")</f>
        <v/>
      </c>
      <c r="R18">
        <f>HYPERLINK("https://nordwestinvest.ru/real-estates/prodaza-zdaniia-okolo-metro-4596-m2","ссылка")</f>
        <v/>
      </c>
      <c r="S18" t="inlineStr"/>
    </row>
    <row r="19">
      <c r="A19" t="inlineStr">
        <is>
          <t>Невский</t>
        </is>
      </c>
      <c r="B19" t="inlineStr">
        <is>
          <t>Шелгунова ул, 12</t>
        </is>
      </c>
      <c r="C19" t="inlineStr">
        <is>
          <t>sale</t>
        </is>
      </c>
      <c r="D19" t="inlineStr">
        <is>
          <t>Да</t>
        </is>
      </c>
      <c r="E19" t="inlineStr">
        <is>
          <t>Да</t>
        </is>
      </c>
      <c r="F19" t="inlineStr"/>
      <c r="G19" t="inlineStr">
        <is>
          <t>628.9</t>
        </is>
      </c>
      <c r="H19" t="inlineStr">
        <is>
          <t>628.9</t>
        </is>
      </c>
      <c r="I19" t="inlineStr"/>
      <c r="J19" t="inlineStr">
        <is>
          <t>200 000 000</t>
        </is>
      </c>
      <c r="K19" t="inlineStr">
        <is>
          <t>221 000 000</t>
        </is>
      </c>
      <c r="L19" t="inlineStr"/>
      <c r="M19" t="inlineStr">
        <is>
          <t>Нет у нас</t>
        </is>
      </c>
      <c r="N19" t="inlineStr">
        <is>
          <t>Нет у нас</t>
        </is>
      </c>
      <c r="O19" t="inlineStr"/>
      <c r="P19" t="inlineStr">
        <is>
          <t>Цена отличается (KNRU: 200 000 000 / Северо-Запад: 221 000 000)</t>
        </is>
      </c>
      <c r="Q19">
        <f>HYPERLINK("https://knru.ru/catalog/shelgunova-ul-12-786816589/","ссылка")</f>
        <v/>
      </c>
      <c r="R19">
        <f>HYPERLINK("https://nordwestinvest.ru/real-estates/prodaza-pomeshhenie-s-magnit","ссылка")</f>
        <v/>
      </c>
      <c r="S19" t="inlineStr"/>
    </row>
    <row r="20">
      <c r="A20" t="inlineStr">
        <is>
          <t>Невский</t>
        </is>
      </c>
      <c r="B20" t="inlineStr">
        <is>
          <t>Шелгунова ул, 12</t>
        </is>
      </c>
      <c r="C20" t="inlineStr">
        <is>
          <t>sale</t>
        </is>
      </c>
      <c r="D20" t="inlineStr">
        <is>
          <t>Да</t>
        </is>
      </c>
      <c r="E20" t="inlineStr">
        <is>
          <t>Да</t>
        </is>
      </c>
      <c r="F20" t="inlineStr"/>
      <c r="G20" t="inlineStr">
        <is>
          <t>239.5</t>
        </is>
      </c>
      <c r="H20" t="inlineStr">
        <is>
          <t>239.5</t>
        </is>
      </c>
      <c r="I20" t="inlineStr"/>
      <c r="J20" t="inlineStr">
        <is>
          <t>47 500 000</t>
        </is>
      </c>
      <c r="K20" t="inlineStr">
        <is>
          <t>47 500 000</t>
        </is>
      </c>
      <c r="L20" t="inlineStr"/>
      <c r="M20" t="inlineStr">
        <is>
          <t>Нет у нас</t>
        </is>
      </c>
      <c r="N20" t="inlineStr">
        <is>
          <t>Нет у нас</t>
        </is>
      </c>
      <c r="O20" t="inlineStr"/>
      <c r="P20" t="inlineStr"/>
      <c r="Q20">
        <f>HYPERLINK("https://knru.ru/catalog/shelgunova-ul-12/","ссылка")</f>
        <v/>
      </c>
      <c r="R20">
        <f>HYPERLINK("https://nordwestinvest.ru/real-estates/prodaza-pomeshhenie-s-magnit-kosmetik","ссылка")</f>
        <v/>
      </c>
      <c r="S20" t="inlineStr"/>
    </row>
    <row r="21">
      <c r="A21" t="inlineStr">
        <is>
          <t>Приморский</t>
        </is>
      </c>
      <c r="B21" t="inlineStr">
        <is>
          <t>Авиаконструкторов пр-кт, 1</t>
        </is>
      </c>
      <c r="C21" t="inlineStr">
        <is>
          <t>sale</t>
        </is>
      </c>
      <c r="D21" t="inlineStr">
        <is>
          <t>Да</t>
        </is>
      </c>
      <c r="E21" t="inlineStr">
        <is>
          <t>Да</t>
        </is>
      </c>
      <c r="F21" t="inlineStr"/>
      <c r="G21" t="inlineStr">
        <is>
          <t>53</t>
        </is>
      </c>
      <c r="H21" t="inlineStr">
        <is>
          <t>53</t>
        </is>
      </c>
      <c r="I21" t="inlineStr"/>
      <c r="J21" t="inlineStr">
        <is>
          <t>18 000 000</t>
        </is>
      </c>
      <c r="K21" t="inlineStr">
        <is>
          <t>18 900 000</t>
        </is>
      </c>
      <c r="L21" t="inlineStr"/>
      <c r="M21" t="inlineStr">
        <is>
          <t>Совпало</t>
        </is>
      </c>
      <c r="N21" t="inlineStr">
        <is>
          <t>Совпало</t>
        </is>
      </c>
      <c r="O21" t="inlineStr"/>
      <c r="P21" t="inlineStr">
        <is>
          <t>Цена отличается (KNRU: 18 000 000 / Северо-Запад: 18 900 000)</t>
        </is>
      </c>
      <c r="Q21">
        <f>HYPERLINK("https://knru.ru/catalog/aviakonstruktorov-pr-kt-1/","ссылка")</f>
        <v/>
      </c>
      <c r="R21">
        <f>HYPERLINK("https://nordwestinvest.ru/real-estates/prodaza-pomeshheniia-53-m2-s-arendatorom-sdek","ссылка")</f>
        <v/>
      </c>
      <c r="S21" t="inlineStr"/>
    </row>
    <row r="22">
      <c r="A22" t="inlineStr">
        <is>
          <t>Фрунзенский</t>
        </is>
      </c>
      <c r="B22" t="inlineStr">
        <is>
          <t>Будапештская ул, 39</t>
        </is>
      </c>
      <c r="C22" t="inlineStr">
        <is>
          <t>sale</t>
        </is>
      </c>
      <c r="D22" t="inlineStr">
        <is>
          <t>Да</t>
        </is>
      </c>
      <c r="E22" t="inlineStr">
        <is>
          <t>Да</t>
        </is>
      </c>
      <c r="F22" t="inlineStr"/>
      <c r="G22" t="inlineStr">
        <is>
          <t>42</t>
        </is>
      </c>
      <c r="H22" t="inlineStr">
        <is>
          <t>42</t>
        </is>
      </c>
      <c r="I22" t="inlineStr"/>
      <c r="J22" t="inlineStr">
        <is>
          <t>19 500 000</t>
        </is>
      </c>
      <c r="K22" t="inlineStr">
        <is>
          <t>17 500 000</t>
        </is>
      </c>
      <c r="L22" t="inlineStr"/>
      <c r="M22" t="inlineStr">
        <is>
          <t>Совпало</t>
        </is>
      </c>
      <c r="N22" t="inlineStr">
        <is>
          <t>Совпало</t>
        </is>
      </c>
      <c r="O22" t="inlineStr"/>
      <c r="P22" t="inlineStr">
        <is>
          <t>Цена отличается (KNRU: 19 500 000 / Северо-Запад: 17 500 000)</t>
        </is>
      </c>
      <c r="Q22">
        <f>HYPERLINK("https://knru.ru/catalog/ul-budapeshtskaya-d-39/","ссылка")</f>
        <v/>
      </c>
      <c r="R22">
        <f>HYPERLINK("https://nordwestinvest.ru/real-estates/pomeshhenie-s-arendatorom-wildberries","ссылка")</f>
        <v/>
      </c>
      <c r="S22" t="inlineStr"/>
    </row>
    <row r="23">
      <c r="A23" t="inlineStr">
        <is>
          <t>Центральный</t>
        </is>
      </c>
      <c r="B23" t="inlineStr">
        <is>
          <t>2-я Советская, 10</t>
        </is>
      </c>
      <c r="C23" t="inlineStr">
        <is>
          <t>sale</t>
        </is>
      </c>
      <c r="D23" t="inlineStr">
        <is>
          <t>Да</t>
        </is>
      </c>
      <c r="E23" t="inlineStr">
        <is>
          <t>Да</t>
        </is>
      </c>
      <c r="F23" t="inlineStr"/>
      <c r="G23" t="inlineStr">
        <is>
          <t>157</t>
        </is>
      </c>
      <c r="H23" t="inlineStr">
        <is>
          <t>157</t>
        </is>
      </c>
      <c r="I23" t="inlineStr"/>
      <c r="J23" t="inlineStr">
        <is>
          <t>49 500 000</t>
        </is>
      </c>
      <c r="K23" t="inlineStr">
        <is>
          <t>49 000 000</t>
        </is>
      </c>
      <c r="L23" t="inlineStr"/>
      <c r="M23" t="inlineStr">
        <is>
          <t>Нет у нас</t>
        </is>
      </c>
      <c r="N23" t="inlineStr">
        <is>
          <t>Нет у нас</t>
        </is>
      </c>
      <c r="O23" t="inlineStr"/>
      <c r="P23" t="inlineStr">
        <is>
          <t>Цена отличается (KNRU: 49 500 000 / Северо-Запад: 49 000 000)</t>
        </is>
      </c>
      <c r="Q23">
        <f>HYPERLINK("https://knru.ru/catalog/2-ya-sovetskaya-ul-d-10/","ссылка")</f>
        <v/>
      </c>
      <c r="R23">
        <f>HYPERLINK("https://nordwestinvest.ru/real-estates/centr-goroda-psn-liuboi-vid-deiatelnosti-147-m2","ссылка")</f>
        <v/>
      </c>
      <c r="S23" t="inlineStr"/>
    </row>
    <row r="24">
      <c r="A24" t="inlineStr">
        <is>
          <t>Центральный</t>
        </is>
      </c>
      <c r="B24" t="inlineStr">
        <is>
          <t>Жуковского ул, 38</t>
        </is>
      </c>
      <c r="C24" t="inlineStr">
        <is>
          <t>sale</t>
        </is>
      </c>
      <c r="D24" t="inlineStr"/>
      <c r="E24" t="inlineStr">
        <is>
          <t>Да</t>
        </is>
      </c>
      <c r="F24" t="inlineStr">
        <is>
          <t>Да</t>
        </is>
      </c>
      <c r="G24" t="inlineStr"/>
      <c r="H24" t="inlineStr">
        <is>
          <t>97.6</t>
        </is>
      </c>
      <c r="I24" t="inlineStr">
        <is>
          <t>92.4</t>
        </is>
      </c>
      <c r="J24" t="inlineStr"/>
      <c r="K24" t="inlineStr">
        <is>
          <t>30 000 000</t>
        </is>
      </c>
      <c r="L24" t="inlineStr">
        <is>
          <t>47 000 000</t>
        </is>
      </c>
      <c r="M24" t="inlineStr"/>
      <c r="N24" t="inlineStr">
        <is>
          <t>По адресу есть, но площадь другая</t>
        </is>
      </c>
      <c r="O24" t="inlineStr">
        <is>
          <t>По адресу есть, но площадь другая</t>
        </is>
      </c>
      <c r="P24" t="inlineStr">
        <is>
          <t>Площадь отличается (Северо-Запад: 97.6 м2 / Rest2Rent: 92.4 м2) | Цена отличается (Северо-Запад: 30 000 000 / Rest2Rent: 47 000 000)</t>
        </is>
      </c>
      <c r="Q24" t="inlineStr"/>
      <c r="R24">
        <f>HYPERLINK("https://nordwestinvest.ru/real-estates/prodaza-pomeshheniia-976-1","ссылка")</f>
        <v/>
      </c>
      <c r="S24">
        <f>HYPERLINK("https://rest2rent.yucrm.ru/s/t8lrz0b6","ссылка")</f>
        <v/>
      </c>
    </row>
    <row r="25">
      <c r="A25" t="inlineStr">
        <is>
          <t>Центральный</t>
        </is>
      </c>
      <c r="B25" t="inlineStr">
        <is>
          <t>Коломенская ул, 46</t>
        </is>
      </c>
      <c r="C25" t="inlineStr">
        <is>
          <t>sale</t>
        </is>
      </c>
      <c r="D25" t="inlineStr">
        <is>
          <t>Да</t>
        </is>
      </c>
      <c r="E25" t="inlineStr">
        <is>
          <t>Да</t>
        </is>
      </c>
      <c r="F25" t="inlineStr"/>
      <c r="G25" t="inlineStr">
        <is>
          <t>110.7</t>
        </is>
      </c>
      <c r="H25" t="inlineStr">
        <is>
          <t>110.6</t>
        </is>
      </c>
      <c r="I25" t="inlineStr"/>
      <c r="J25" t="inlineStr">
        <is>
          <t>32 000 000</t>
        </is>
      </c>
      <c r="K25" t="inlineStr">
        <is>
          <t>32 000 000</t>
        </is>
      </c>
      <c r="L25" t="inlineStr"/>
      <c r="M25" t="inlineStr">
        <is>
          <t>Совпало</t>
        </is>
      </c>
      <c r="N25" t="inlineStr">
        <is>
          <t>Совпало</t>
        </is>
      </c>
      <c r="O25" t="inlineStr"/>
      <c r="P25" t="inlineStr"/>
      <c r="Q25">
        <f>HYPERLINK("https://knru.ru/catalog/kolomenskaya-ul-46/","ссылка")</f>
        <v/>
      </c>
      <c r="R25">
        <f>HYPERLINK("https://nordwestinvest.ru/real-estates/prodaza-pomeshheniia-ugol-doma-1106m","ссылка")</f>
        <v/>
      </c>
      <c r="S25" t="inlineStr"/>
    </row>
    <row r="26">
      <c r="A26" t="inlineStr">
        <is>
          <t>Центральный</t>
        </is>
      </c>
      <c r="B26" t="inlineStr">
        <is>
          <t>Маяковского ул, 7</t>
        </is>
      </c>
      <c r="C26" t="inlineStr">
        <is>
          <t>sale</t>
        </is>
      </c>
      <c r="D26" t="inlineStr">
        <is>
          <t>Да</t>
        </is>
      </c>
      <c r="E26" t="inlineStr">
        <is>
          <t>Да</t>
        </is>
      </c>
      <c r="F26" t="inlineStr"/>
      <c r="G26" t="inlineStr">
        <is>
          <t>142</t>
        </is>
      </c>
      <c r="H26" t="inlineStr">
        <is>
          <t>142</t>
        </is>
      </c>
      <c r="I26" t="inlineStr"/>
      <c r="J26" t="inlineStr">
        <is>
          <t>82 900 000</t>
        </is>
      </c>
      <c r="K26" t="inlineStr">
        <is>
          <t>85 200 000</t>
        </is>
      </c>
      <c r="L26" t="inlineStr"/>
      <c r="M26" t="inlineStr">
        <is>
          <t>Совпало</t>
        </is>
      </c>
      <c r="N26" t="inlineStr">
        <is>
          <t>Совпало</t>
        </is>
      </c>
      <c r="O26" t="inlineStr"/>
      <c r="P26" t="inlineStr">
        <is>
          <t>Цена отличается (KNRU: 82 900 000 / Северо-Запад: 85 200 000)</t>
        </is>
      </c>
      <c r="Q26">
        <f>HYPERLINK("https://knru.ru/catalog/mayakovskogo-ul-7/","ссылка")</f>
        <v/>
      </c>
      <c r="R26">
        <f>HYPERLINK("https://nordwestinvest.ru/real-estates/pomeshhenie-v-centre-goroda-na-trafike","ссылка")</f>
        <v/>
      </c>
      <c r="S26" t="inlineStr"/>
    </row>
    <row r="27">
      <c r="A27" t="inlineStr">
        <is>
          <t>1-е Парголово</t>
        </is>
      </c>
      <c r="B27" t="inlineStr">
        <is>
          <t>Суздальское ш, 26 к1 с1</t>
        </is>
      </c>
      <c r="C27" t="inlineStr">
        <is>
          <t>sale</t>
        </is>
      </c>
      <c r="D27" t="inlineStr"/>
      <c r="E27" t="inlineStr">
        <is>
          <t>Да</t>
        </is>
      </c>
      <c r="F27" t="inlineStr"/>
      <c r="G27" t="inlineStr"/>
      <c r="H27" t="inlineStr">
        <is>
          <t>901.5</t>
        </is>
      </c>
      <c r="I27" t="inlineStr"/>
      <c r="J27" t="inlineStr"/>
      <c r="K27" t="inlineStr">
        <is>
          <t>150 000 000</t>
        </is>
      </c>
      <c r="L27" t="inlineStr"/>
      <c r="M27" t="inlineStr"/>
      <c r="N27" t="inlineStr">
        <is>
          <t>Совпало</t>
        </is>
      </c>
      <c r="O27" t="inlineStr"/>
      <c r="P27" t="inlineStr"/>
      <c r="Q27" t="inlineStr"/>
      <c r="R27">
        <f>HYPERLINK("https://nordwestinvest.ru/real-estates/prodaza-produktovogo-setevogo-magazina-901-m2","ссылка")</f>
        <v/>
      </c>
      <c r="S27" t="inlineStr"/>
    </row>
    <row r="28">
      <c r="A28" t="inlineStr">
        <is>
          <t>1-е Парголово</t>
        </is>
      </c>
      <c r="B28" t="inlineStr">
        <is>
          <t>Хошимина ул, 11к1</t>
        </is>
      </c>
      <c r="C28" t="inlineStr">
        <is>
          <t>sale</t>
        </is>
      </c>
      <c r="D28" t="inlineStr"/>
      <c r="E28" t="inlineStr">
        <is>
          <t>Да</t>
        </is>
      </c>
      <c r="F28" t="inlineStr"/>
      <c r="G28" t="inlineStr"/>
      <c r="H28" t="inlineStr">
        <is>
          <t>380</t>
        </is>
      </c>
      <c r="I28" t="inlineStr"/>
      <c r="J28" t="inlineStr"/>
      <c r="K28" t="inlineStr">
        <is>
          <t>56 900 000</t>
        </is>
      </c>
      <c r="L28" t="inlineStr"/>
      <c r="M28" t="inlineStr"/>
      <c r="N28" t="inlineStr">
        <is>
          <t>Нет у нас</t>
        </is>
      </c>
      <c r="O28" t="inlineStr"/>
      <c r="P28" t="inlineStr"/>
      <c r="Q28" t="inlineStr"/>
      <c r="R28">
        <f>HYPERLINK("https://nordwestinvest.ru/real-estates/gab-okupaemost-9-let-s-nds","ссылка")</f>
        <v/>
      </c>
      <c r="S28" t="inlineStr"/>
    </row>
    <row r="29">
      <c r="A29" t="inlineStr">
        <is>
          <t>2-е Парголово</t>
        </is>
      </c>
      <c r="B29" t="inlineStr">
        <is>
          <t>Заводская ул, 3к134Б</t>
        </is>
      </c>
      <c r="C29" t="inlineStr">
        <is>
          <t>sale</t>
        </is>
      </c>
      <c r="D29" t="inlineStr">
        <is>
          <t>Да</t>
        </is>
      </c>
      <c r="E29" t="inlineStr"/>
      <c r="F29" t="inlineStr"/>
      <c r="G29" t="inlineStr">
        <is>
          <t>2000</t>
        </is>
      </c>
      <c r="H29" t="inlineStr"/>
      <c r="I29" t="inlineStr"/>
      <c r="J29" t="inlineStr">
        <is>
          <t>59 500 000</t>
        </is>
      </c>
      <c r="K29" t="inlineStr"/>
      <c r="L29" t="inlineStr"/>
      <c r="M29" t="inlineStr">
        <is>
          <t>Нет у нас</t>
        </is>
      </c>
      <c r="N29" t="inlineStr"/>
      <c r="O29" t="inlineStr"/>
      <c r="P29" t="inlineStr"/>
      <c r="Q29">
        <f>HYPERLINK("https://knru.ru/catalog/zavodskaya-ul-3k134b/","ссылка")</f>
        <v/>
      </c>
      <c r="R29" t="inlineStr"/>
      <c r="S29" t="inlineStr"/>
    </row>
    <row r="30">
      <c r="A30" t="inlineStr">
        <is>
          <t>Агалатовское поселение</t>
        </is>
      </c>
      <c r="B30" t="inlineStr">
        <is>
          <t>Токсовское ш, 2</t>
        </is>
      </c>
      <c r="C30" t="inlineStr">
        <is>
          <t>sale</t>
        </is>
      </c>
      <c r="D30" t="inlineStr">
        <is>
          <t>Да</t>
        </is>
      </c>
      <c r="E30" t="inlineStr"/>
      <c r="F30" t="inlineStr"/>
      <c r="G30" t="inlineStr">
        <is>
          <t>9600</t>
        </is>
      </c>
      <c r="H30" t="inlineStr"/>
      <c r="I30" t="inlineStr"/>
      <c r="J30" t="inlineStr">
        <is>
          <t>33 000 000</t>
        </is>
      </c>
      <c r="K30" t="inlineStr"/>
      <c r="L30" t="inlineStr"/>
      <c r="M30" t="inlineStr">
        <is>
          <t>Нет у нас</t>
        </is>
      </c>
      <c r="N30" t="inlineStr"/>
      <c r="O30" t="inlineStr"/>
      <c r="P30" t="inlineStr"/>
      <c r="Q30">
        <f>HYPERLINK("https://knru.ru/catalog/toksovskoe-sh-2/","ссылка")</f>
        <v/>
      </c>
      <c r="R30" t="inlineStr"/>
      <c r="S30" t="inlineStr"/>
    </row>
    <row r="31">
      <c r="A31" t="inlineStr">
        <is>
          <t>Адмиралтейский</t>
        </is>
      </c>
      <c r="B31" t="inlineStr">
        <is>
          <t>10-я Красноармейская ул, 22 А</t>
        </is>
      </c>
      <c r="C31" t="inlineStr">
        <is>
          <t>sale</t>
        </is>
      </c>
      <c r="D31" t="inlineStr"/>
      <c r="E31" t="inlineStr">
        <is>
          <t>Да</t>
        </is>
      </c>
      <c r="F31" t="inlineStr"/>
      <c r="G31" t="inlineStr"/>
      <c r="H31" t="inlineStr">
        <is>
          <t>27000</t>
        </is>
      </c>
      <c r="I31" t="inlineStr"/>
      <c r="J31" t="inlineStr"/>
      <c r="K31" t="inlineStr">
        <is>
          <t>3 000 000 000</t>
        </is>
      </c>
      <c r="L31" t="inlineStr"/>
      <c r="M31" t="inlineStr"/>
      <c r="N31" t="inlineStr">
        <is>
          <t>По адресу есть, но площадь другая</t>
        </is>
      </c>
      <c r="O31" t="inlineStr"/>
      <c r="P31" t="inlineStr"/>
      <c r="Q31" t="inlineStr"/>
      <c r="R31">
        <f>HYPERLINK("https://nordwestinvest.ru/real-estates/prodaza-biznes-centra-27-000-m2","ссылка")</f>
        <v/>
      </c>
      <c r="S31" t="inlineStr"/>
    </row>
    <row r="32">
      <c r="A32" t="inlineStr">
        <is>
          <t>Адмиралтейский</t>
        </is>
      </c>
      <c r="B32" t="inlineStr">
        <is>
          <t>4-я Красноармейская ул, 12/11 А</t>
        </is>
      </c>
      <c r="C32" t="inlineStr">
        <is>
          <t>sale</t>
        </is>
      </c>
      <c r="D32" t="inlineStr"/>
      <c r="E32" t="inlineStr">
        <is>
          <t>Да</t>
        </is>
      </c>
      <c r="F32" t="inlineStr"/>
      <c r="G32" t="inlineStr"/>
      <c r="H32" t="inlineStr">
        <is>
          <t>101</t>
        </is>
      </c>
      <c r="I32" t="inlineStr"/>
      <c r="J32" t="inlineStr"/>
      <c r="K32" t="inlineStr">
        <is>
          <t>17 000 000</t>
        </is>
      </c>
      <c r="L32" t="inlineStr"/>
      <c r="M32" t="inlineStr"/>
      <c r="N32" t="inlineStr">
        <is>
          <t>Нет у нас</t>
        </is>
      </c>
      <c r="O32" t="inlineStr"/>
      <c r="P32" t="inlineStr"/>
      <c r="Q32" t="inlineStr"/>
      <c r="R32">
        <f>HYPERLINK("https://nordwestinvest.ru/real-estates/prodaza-101-m2-s-arendatorom","ссылка")</f>
        <v/>
      </c>
      <c r="S32" t="inlineStr"/>
    </row>
    <row r="33">
      <c r="A33" t="inlineStr">
        <is>
          <t>Адмиралтейский</t>
        </is>
      </c>
      <c r="B33" t="inlineStr">
        <is>
          <t>8-я Красноармейская ул, 20а А</t>
        </is>
      </c>
      <c r="C33" t="inlineStr">
        <is>
          <t>sale</t>
        </is>
      </c>
      <c r="D33" t="inlineStr"/>
      <c r="E33" t="inlineStr">
        <is>
          <t>Да</t>
        </is>
      </c>
      <c r="F33" t="inlineStr"/>
      <c r="G33" t="inlineStr"/>
      <c r="H33" t="inlineStr">
        <is>
          <t>167.5</t>
        </is>
      </c>
      <c r="I33" t="inlineStr"/>
      <c r="J33" t="inlineStr"/>
      <c r="K33" t="inlineStr">
        <is>
          <t>23 000 000</t>
        </is>
      </c>
      <c r="L33" t="inlineStr"/>
      <c r="M33" t="inlineStr"/>
      <c r="N33" t="inlineStr">
        <is>
          <t>По адресу есть, но площадь другая</t>
        </is>
      </c>
      <c r="O33" t="inlineStr"/>
      <c r="P33" t="inlineStr"/>
      <c r="Q33" t="inlineStr"/>
      <c r="R33">
        <f>HYPERLINK("https://nordwestinvest.ru/real-estates/prodaza-gab-v-centre-goroda-165-km-1","ссылка")</f>
        <v/>
      </c>
      <c r="S33" t="inlineStr"/>
    </row>
    <row r="34">
      <c r="A34" t="inlineStr">
        <is>
          <t>Адмиралтейский</t>
        </is>
      </c>
      <c r="B34" t="inlineStr">
        <is>
          <t>Александра Блока ул, 5</t>
        </is>
      </c>
      <c r="C34" t="inlineStr">
        <is>
          <t>sale</t>
        </is>
      </c>
      <c r="D34" t="inlineStr">
        <is>
          <t>Да</t>
        </is>
      </c>
      <c r="E34" t="inlineStr"/>
      <c r="F34" t="inlineStr"/>
      <c r="G34" t="inlineStr">
        <is>
          <t>106.8</t>
        </is>
      </c>
      <c r="H34" t="inlineStr"/>
      <c r="I34" t="inlineStr"/>
      <c r="J34" t="inlineStr">
        <is>
          <t>46 992 000</t>
        </is>
      </c>
      <c r="K34" t="inlineStr"/>
      <c r="L34" t="inlineStr"/>
      <c r="M34" t="inlineStr">
        <is>
          <t>Нет у нас</t>
        </is>
      </c>
      <c r="N34" t="inlineStr"/>
      <c r="O34" t="inlineStr"/>
      <c r="P34" t="inlineStr"/>
      <c r="Q34">
        <f>HYPERLINK("https://knru.ru/catalog/ostrov-pervykh/","ссылка")</f>
        <v/>
      </c>
      <c r="R34" t="inlineStr"/>
      <c r="S34" t="inlineStr"/>
    </row>
    <row r="35">
      <c r="A35" t="inlineStr">
        <is>
          <t>Адмиралтейский</t>
        </is>
      </c>
      <c r="B35" t="inlineStr">
        <is>
          <t>Английский пр-кт, 26</t>
        </is>
      </c>
      <c r="C35" t="inlineStr">
        <is>
          <t>sale</t>
        </is>
      </c>
      <c r="D35" t="inlineStr">
        <is>
          <t>Да</t>
        </is>
      </c>
      <c r="E35" t="inlineStr"/>
      <c r="F35" t="inlineStr"/>
      <c r="G35" t="inlineStr">
        <is>
          <t>80</t>
        </is>
      </c>
      <c r="H35" t="inlineStr"/>
      <c r="I35" t="inlineStr"/>
      <c r="J35" t="inlineStr">
        <is>
          <t>14 000 000</t>
        </is>
      </c>
      <c r="K35" t="inlineStr"/>
      <c r="L35" t="inlineStr"/>
      <c r="M35" t="inlineStr">
        <is>
          <t>По адресу есть, но площадь другая</t>
        </is>
      </c>
      <c r="N35" t="inlineStr"/>
      <c r="O35" t="inlineStr"/>
      <c r="P35" t="inlineStr"/>
      <c r="Q35">
        <f>HYPERLINK("https://knru.ru/catalog/angliyskiy-pr-d-26/","ссылка")</f>
        <v/>
      </c>
      <c r="R35" t="inlineStr"/>
      <c r="S35" t="inlineStr"/>
    </row>
    <row r="36">
      <c r="A36" t="inlineStr">
        <is>
          <t>Адмиралтейский</t>
        </is>
      </c>
      <c r="B36" t="inlineStr">
        <is>
          <t>Большая Морская ул, 34 А</t>
        </is>
      </c>
      <c r="C36" t="inlineStr">
        <is>
          <t>sale</t>
        </is>
      </c>
      <c r="D36" t="inlineStr">
        <is>
          <t>Да</t>
        </is>
      </c>
      <c r="E36" t="inlineStr"/>
      <c r="F36" t="inlineStr"/>
      <c r="G36" t="inlineStr">
        <is>
          <t>250</t>
        </is>
      </c>
      <c r="H36" t="inlineStr"/>
      <c r="I36" t="inlineStr"/>
      <c r="J36" t="inlineStr">
        <is>
          <t>20 000 000</t>
        </is>
      </c>
      <c r="K36" t="inlineStr"/>
      <c r="L36" t="inlineStr"/>
      <c r="M36" t="inlineStr">
        <is>
          <t>Нет у нас</t>
        </is>
      </c>
      <c r="N36" t="inlineStr"/>
      <c r="O36" t="inlineStr"/>
      <c r="P36" t="inlineStr"/>
      <c r="Q36">
        <f>HYPERLINK("https://knru.ru/catalog/bolshaya-morskaya-d-34/","ссылка")</f>
        <v/>
      </c>
      <c r="R36" t="inlineStr"/>
      <c r="S36" t="inlineStr"/>
    </row>
    <row r="37">
      <c r="A37" t="inlineStr">
        <is>
          <t>Адмиралтейский</t>
        </is>
      </c>
      <c r="B37" t="inlineStr">
        <is>
          <t>Бронницкая ул, 15</t>
        </is>
      </c>
      <c r="C37" t="inlineStr">
        <is>
          <t>sale</t>
        </is>
      </c>
      <c r="D37" t="inlineStr">
        <is>
          <t>Да</t>
        </is>
      </c>
      <c r="E37" t="inlineStr"/>
      <c r="F37" t="inlineStr"/>
      <c r="G37" t="inlineStr">
        <is>
          <t>80</t>
        </is>
      </c>
      <c r="H37" t="inlineStr"/>
      <c r="I37" t="inlineStr"/>
      <c r="J37" t="inlineStr">
        <is>
          <t>28 000 000</t>
        </is>
      </c>
      <c r="K37" t="inlineStr"/>
      <c r="L37" t="inlineStr"/>
      <c r="M37" t="inlineStr">
        <is>
          <t>Нет у нас</t>
        </is>
      </c>
      <c r="N37" t="inlineStr"/>
      <c r="O37" t="inlineStr"/>
      <c r="P37" t="inlineStr"/>
      <c r="Q37">
        <f>HYPERLINK("https://knru.ru/catalog/bronnitskaya-ul-d-15/","ссылка")</f>
        <v/>
      </c>
      <c r="R37" t="inlineStr"/>
      <c r="S37" t="inlineStr"/>
    </row>
    <row r="38">
      <c r="A38" t="inlineStr">
        <is>
          <t>Адмиралтейский</t>
        </is>
      </c>
      <c r="B38" t="inlineStr">
        <is>
          <t>Верейская ул, 8</t>
        </is>
      </c>
      <c r="C38" t="inlineStr">
        <is>
          <t>sale</t>
        </is>
      </c>
      <c r="D38" t="inlineStr">
        <is>
          <t>Да</t>
        </is>
      </c>
      <c r="E38" t="inlineStr"/>
      <c r="F38" t="inlineStr"/>
      <c r="G38" t="inlineStr">
        <is>
          <t>57.7</t>
        </is>
      </c>
      <c r="H38" t="inlineStr"/>
      <c r="I38" t="inlineStr"/>
      <c r="J38" t="inlineStr">
        <is>
          <t>12 000 000</t>
        </is>
      </c>
      <c r="K38" t="inlineStr"/>
      <c r="L38" t="inlineStr"/>
      <c r="M38" t="inlineStr">
        <is>
          <t>По адресу есть, но площадь другая</t>
        </is>
      </c>
      <c r="N38" t="inlineStr"/>
      <c r="O38" t="inlineStr"/>
      <c r="P38" t="inlineStr"/>
      <c r="Q38">
        <f>HYPERLINK("https://knru.ru/catalog/vereyskaya-ul-8/","ссылка")</f>
        <v/>
      </c>
      <c r="R38" t="inlineStr"/>
      <c r="S38" t="inlineStr"/>
    </row>
    <row r="39">
      <c r="A39" t="inlineStr">
        <is>
          <t>Адмиралтейский</t>
        </is>
      </c>
      <c r="B39" t="inlineStr">
        <is>
          <t>Вознесенский пр-кт, 41 К</t>
        </is>
      </c>
      <c r="C39" t="inlineStr">
        <is>
          <t>sale</t>
        </is>
      </c>
      <c r="D39" t="inlineStr">
        <is>
          <t>Да</t>
        </is>
      </c>
      <c r="E39" t="inlineStr"/>
      <c r="F39" t="inlineStr"/>
      <c r="G39" t="inlineStr">
        <is>
          <t>83</t>
        </is>
      </c>
      <c r="H39" t="inlineStr"/>
      <c r="I39" t="inlineStr"/>
      <c r="J39" t="inlineStr">
        <is>
          <t>24 900 000</t>
        </is>
      </c>
      <c r="K39" t="inlineStr"/>
      <c r="L39" t="inlineStr"/>
      <c r="M39" t="inlineStr">
        <is>
          <t>Нет у нас</t>
        </is>
      </c>
      <c r="N39" t="inlineStr"/>
      <c r="O39" t="inlineStr"/>
      <c r="P39" t="inlineStr"/>
      <c r="Q39">
        <f>HYPERLINK("https://knru.ru/catalog/pr-voznesenskiy-d-41k/","ссылка")</f>
        <v/>
      </c>
      <c r="R39" t="inlineStr"/>
      <c r="S39" t="inlineStr"/>
    </row>
    <row r="40">
      <c r="A40" t="inlineStr">
        <is>
          <t>Адмиралтейский</t>
        </is>
      </c>
      <c r="B40" t="inlineStr">
        <is>
          <t>Вознесенский пр-кт, 49</t>
        </is>
      </c>
      <c r="C40" t="inlineStr">
        <is>
          <t>sale</t>
        </is>
      </c>
      <c r="D40" t="inlineStr"/>
      <c r="E40" t="inlineStr">
        <is>
          <t>Да</t>
        </is>
      </c>
      <c r="F40" t="inlineStr"/>
      <c r="G40" t="inlineStr"/>
      <c r="H40" t="inlineStr">
        <is>
          <t>141.7</t>
        </is>
      </c>
      <c r="I40" t="inlineStr"/>
      <c r="J40" t="inlineStr"/>
      <c r="K40" t="inlineStr">
        <is>
          <t>13 800 000</t>
        </is>
      </c>
      <c r="L40" t="inlineStr"/>
      <c r="M40" t="inlineStr"/>
      <c r="N40" t="inlineStr">
        <is>
          <t>Нет у нас</t>
        </is>
      </c>
      <c r="O40" t="inlineStr"/>
      <c r="P40" t="inlineStr"/>
      <c r="Q40" t="inlineStr"/>
      <c r="R40">
        <f>HYPERLINK("https://nordwestinvest.ru/real-estates/prodaza-pomeshheniia-v-centre-goroda-3","ссылка")</f>
        <v/>
      </c>
      <c r="S40" t="inlineStr"/>
    </row>
    <row r="41">
      <c r="A41" t="inlineStr">
        <is>
          <t>Адмиралтейский</t>
        </is>
      </c>
      <c r="B41" t="inlineStr">
        <is>
          <t>Гороховая ул, 11</t>
        </is>
      </c>
      <c r="C41" t="inlineStr">
        <is>
          <t>sale</t>
        </is>
      </c>
      <c r="D41" t="inlineStr">
        <is>
          <t>Да</t>
        </is>
      </c>
      <c r="E41" t="inlineStr"/>
      <c r="F41" t="inlineStr"/>
      <c r="G41" t="inlineStr">
        <is>
          <t>118</t>
        </is>
      </c>
      <c r="H41" t="inlineStr"/>
      <c r="I41" t="inlineStr"/>
      <c r="J41" t="inlineStr">
        <is>
          <t>5 000 000</t>
        </is>
      </c>
      <c r="K41" t="inlineStr"/>
      <c r="L41" t="inlineStr"/>
      <c r="M41" t="inlineStr">
        <is>
          <t>Совпало</t>
        </is>
      </c>
      <c r="N41" t="inlineStr"/>
      <c r="O41" t="inlineStr"/>
      <c r="P41" t="inlineStr"/>
      <c r="Q41">
        <f>HYPERLINK("https://knru.ru/catalog/gorokhovaya-ul-11/","ссылка")</f>
        <v/>
      </c>
      <c r="R41" t="inlineStr"/>
      <c r="S41" t="inlineStr"/>
    </row>
    <row r="42">
      <c r="A42" t="inlineStr">
        <is>
          <t>Адмиралтейский</t>
        </is>
      </c>
      <c r="B42" t="inlineStr">
        <is>
          <t>Гороховая ул, 27</t>
        </is>
      </c>
      <c r="C42" t="inlineStr">
        <is>
          <t>sale</t>
        </is>
      </c>
      <c r="D42" t="inlineStr">
        <is>
          <t>Да</t>
        </is>
      </c>
      <c r="E42" t="inlineStr"/>
      <c r="F42" t="inlineStr"/>
      <c r="G42" t="inlineStr">
        <is>
          <t>55</t>
        </is>
      </c>
      <c r="H42" t="inlineStr"/>
      <c r="I42" t="inlineStr"/>
      <c r="J42" t="inlineStr">
        <is>
          <t>22 000 000</t>
        </is>
      </c>
      <c r="K42" t="inlineStr"/>
      <c r="L42" t="inlineStr"/>
      <c r="M42" t="inlineStr">
        <is>
          <t>Совпало</t>
        </is>
      </c>
      <c r="N42" t="inlineStr"/>
      <c r="O42" t="inlineStr"/>
      <c r="P42" t="inlineStr"/>
      <c r="Q42">
        <f>HYPERLINK("https://knru.ru/catalog/gorokhovaya-ul-27-289175580/","ссылка")</f>
        <v/>
      </c>
      <c r="R42" t="inlineStr"/>
      <c r="S42" t="inlineStr"/>
    </row>
    <row r="43">
      <c r="A43" t="inlineStr">
        <is>
          <t>Адмиралтейский</t>
        </is>
      </c>
      <c r="B43" t="inlineStr">
        <is>
          <t>Гороховая ул, 45б</t>
        </is>
      </c>
      <c r="C43" t="inlineStr">
        <is>
          <t>sale</t>
        </is>
      </c>
      <c r="D43" t="inlineStr">
        <is>
          <t>Да</t>
        </is>
      </c>
      <c r="E43" t="inlineStr"/>
      <c r="F43" t="inlineStr"/>
      <c r="G43" t="inlineStr">
        <is>
          <t>110.4</t>
        </is>
      </c>
      <c r="H43" t="inlineStr"/>
      <c r="I43" t="inlineStr"/>
      <c r="J43" t="inlineStr">
        <is>
          <t>65 450 000</t>
        </is>
      </c>
      <c r="K43" t="inlineStr"/>
      <c r="L43" t="inlineStr"/>
      <c r="M43" t="inlineStr">
        <is>
          <t>По адресу есть, но площадь другая</t>
        </is>
      </c>
      <c r="N43" t="inlineStr"/>
      <c r="O43" t="inlineStr"/>
      <c r="P43" t="inlineStr"/>
      <c r="Q43">
        <f>HYPERLINK("https://knru.ru/catalog/gorokhovaya-ul-45b/","ссылка")</f>
        <v/>
      </c>
      <c r="R43" t="inlineStr"/>
      <c r="S43" t="inlineStr"/>
    </row>
    <row r="44">
      <c r="A44" t="inlineStr">
        <is>
          <t>Адмиралтейский</t>
        </is>
      </c>
      <c r="B44" t="inlineStr">
        <is>
          <t>Гривцова пер, 13/11</t>
        </is>
      </c>
      <c r="C44" t="inlineStr">
        <is>
          <t>sale</t>
        </is>
      </c>
      <c r="D44" t="inlineStr"/>
      <c r="E44" t="inlineStr">
        <is>
          <t>Да</t>
        </is>
      </c>
      <c r="F44" t="inlineStr"/>
      <c r="G44" t="inlineStr"/>
      <c r="H44" t="inlineStr">
        <is>
          <t>41</t>
        </is>
      </c>
      <c r="I44" t="inlineStr"/>
      <c r="J44" t="inlineStr"/>
      <c r="K44" t="inlineStr">
        <is>
          <t>31 500 000</t>
        </is>
      </c>
      <c r="L44" t="inlineStr"/>
      <c r="M44" t="inlineStr"/>
      <c r="N44" t="inlineStr">
        <is>
          <t>У нас аренда, у конкурента продажа</t>
        </is>
      </c>
      <c r="O44" t="inlineStr"/>
      <c r="P44" t="inlineStr"/>
      <c r="Q44" t="inlineStr"/>
      <c r="R44">
        <f>HYPERLINK("https://nordwestinvest.ru/real-estates/pomeshhenie-s-arendatorom-zdravsiti","ссылка")</f>
        <v/>
      </c>
      <c r="S44" t="inlineStr"/>
    </row>
    <row r="45">
      <c r="A45" t="inlineStr">
        <is>
          <t>Адмиралтейский</t>
        </is>
      </c>
      <c r="B45" t="inlineStr">
        <is>
          <t>Гривцова пер, 13/11 А</t>
        </is>
      </c>
      <c r="C45" t="inlineStr">
        <is>
          <t>sale</t>
        </is>
      </c>
      <c r="D45" t="inlineStr">
        <is>
          <t>Да</t>
        </is>
      </c>
      <c r="E45" t="inlineStr"/>
      <c r="F45" t="inlineStr"/>
      <c r="G45" t="inlineStr">
        <is>
          <t>42.9</t>
        </is>
      </c>
      <c r="H45" t="inlineStr"/>
      <c r="I45" t="inlineStr"/>
      <c r="J45" t="inlineStr">
        <is>
          <t>39 000 000</t>
        </is>
      </c>
      <c r="K45" t="inlineStr"/>
      <c r="L45" t="inlineStr"/>
      <c r="M45" t="inlineStr">
        <is>
          <t>Нет у нас</t>
        </is>
      </c>
      <c r="N45" t="inlineStr"/>
      <c r="O45" t="inlineStr"/>
      <c r="P45" t="inlineStr"/>
      <c r="Q45">
        <f>HYPERLINK("https://knru.ru/catalog/grivtsova-d-13-11-prodazha-42-kv-m/","ссылка")</f>
        <v/>
      </c>
      <c r="R45" t="inlineStr"/>
      <c r="S45" t="inlineStr"/>
    </row>
    <row r="46">
      <c r="A46" t="inlineStr">
        <is>
          <t>Адмиралтейский</t>
        </is>
      </c>
      <c r="B46" t="inlineStr">
        <is>
          <t>Гривцова пер, 4</t>
        </is>
      </c>
      <c r="C46" t="inlineStr">
        <is>
          <t>sale</t>
        </is>
      </c>
      <c r="D46" t="inlineStr">
        <is>
          <t>Да</t>
        </is>
      </c>
      <c r="E46" t="inlineStr"/>
      <c r="F46" t="inlineStr"/>
      <c r="G46" t="inlineStr">
        <is>
          <t>571</t>
        </is>
      </c>
      <c r="H46" t="inlineStr"/>
      <c r="I46" t="inlineStr"/>
      <c r="J46" t="inlineStr">
        <is>
          <t>30 000 000</t>
        </is>
      </c>
      <c r="K46" t="inlineStr"/>
      <c r="L46" t="inlineStr"/>
      <c r="M46" t="inlineStr">
        <is>
          <t>По адресу есть, но площадь другая</t>
        </is>
      </c>
      <c r="N46" t="inlineStr"/>
      <c r="O46" t="inlineStr"/>
      <c r="P46" t="inlineStr"/>
      <c r="Q46">
        <f>HYPERLINK("https://knru.ru/catalog/per-grivtsova-d-4/","ссылка")</f>
        <v/>
      </c>
      <c r="R46" t="inlineStr"/>
      <c r="S46" t="inlineStr"/>
    </row>
    <row r="47">
      <c r="A47" t="inlineStr">
        <is>
          <t>Адмиралтейский</t>
        </is>
      </c>
      <c r="B47" t="inlineStr">
        <is>
          <t>Декабристов ул, 5 А</t>
        </is>
      </c>
      <c r="C47" t="inlineStr">
        <is>
          <t>sale</t>
        </is>
      </c>
      <c r="D47" t="inlineStr">
        <is>
          <t>Да</t>
        </is>
      </c>
      <c r="E47" t="inlineStr"/>
      <c r="F47" t="inlineStr"/>
      <c r="G47" t="inlineStr">
        <is>
          <t>149</t>
        </is>
      </c>
      <c r="H47" t="inlineStr"/>
      <c r="I47" t="inlineStr"/>
      <c r="J47" t="inlineStr">
        <is>
          <t>43 000 000</t>
        </is>
      </c>
      <c r="K47" t="inlineStr"/>
      <c r="L47" t="inlineStr"/>
      <c r="M47" t="inlineStr">
        <is>
          <t>По адресу есть, но площадь другая</t>
        </is>
      </c>
      <c r="N47" t="inlineStr"/>
      <c r="O47" t="inlineStr"/>
      <c r="P47" t="inlineStr"/>
      <c r="Q47">
        <f>HYPERLINK("https://knru.ru/catalog/ul-dekabristov-d-5/","ссылка")</f>
        <v/>
      </c>
      <c r="R47" t="inlineStr"/>
      <c r="S47" t="inlineStr"/>
    </row>
    <row r="48">
      <c r="A48" t="inlineStr">
        <is>
          <t>Адмиралтейский</t>
        </is>
      </c>
      <c r="B48" t="inlineStr">
        <is>
          <t>дер.Новая тер, -, 5 А</t>
        </is>
      </c>
      <c r="C48" t="inlineStr">
        <is>
          <t>sale</t>
        </is>
      </c>
      <c r="D48" t="inlineStr"/>
      <c r="E48" t="inlineStr">
        <is>
          <t>Да</t>
        </is>
      </c>
      <c r="F48" t="inlineStr"/>
      <c r="G48" t="inlineStr"/>
      <c r="H48" t="inlineStr">
        <is>
          <t>2390</t>
        </is>
      </c>
      <c r="I48" t="inlineStr"/>
      <c r="J48" t="inlineStr"/>
      <c r="K48" t="inlineStr">
        <is>
          <t>120 000 000</t>
        </is>
      </c>
      <c r="L48" t="inlineStr"/>
      <c r="M48" t="inlineStr"/>
      <c r="N48" t="inlineStr">
        <is>
          <t>По адресу есть, но площадь другая</t>
        </is>
      </c>
      <c r="O48" t="inlineStr"/>
      <c r="P48" t="inlineStr"/>
      <c r="Q48" t="inlineStr"/>
      <c r="R48">
        <f>HYPERLINK("https://nordwestinvest.ru/real-estates/prodaza-zu-pod-zastroiku-tk-3","ссылка")</f>
        <v/>
      </c>
      <c r="S48" t="inlineStr"/>
    </row>
    <row r="49">
      <c r="A49" t="inlineStr">
        <is>
          <t>Адмиралтейский</t>
        </is>
      </c>
      <c r="B49" t="inlineStr">
        <is>
          <t>Дровяной пер, 5</t>
        </is>
      </c>
      <c r="C49" t="inlineStr">
        <is>
          <t>sale</t>
        </is>
      </c>
      <c r="D49" t="inlineStr"/>
      <c r="E49" t="inlineStr">
        <is>
          <t>Да</t>
        </is>
      </c>
      <c r="F49" t="inlineStr"/>
      <c r="G49" t="inlineStr"/>
      <c r="H49" t="inlineStr">
        <is>
          <t>62.3</t>
        </is>
      </c>
      <c r="I49" t="inlineStr"/>
      <c r="J49" t="inlineStr"/>
      <c r="K49" t="inlineStr">
        <is>
          <t>11 400 000</t>
        </is>
      </c>
      <c r="L49" t="inlineStr"/>
      <c r="M49" t="inlineStr"/>
      <c r="N49" t="inlineStr">
        <is>
          <t>Нет у нас</t>
        </is>
      </c>
      <c r="O49" t="inlineStr"/>
      <c r="P49" t="inlineStr"/>
      <c r="Q49" t="inlineStr"/>
      <c r="R49">
        <f>HYPERLINK("https://nordwestinvest.ru/real-estates/prodaza-pomeshheniia-v-centre-goroda","ссылка")</f>
        <v/>
      </c>
      <c r="S49" t="inlineStr"/>
    </row>
    <row r="50">
      <c r="A50" t="inlineStr">
        <is>
          <t>Адмиралтейский</t>
        </is>
      </c>
      <c r="B50" t="inlineStr">
        <is>
          <t>Ефимова ул, 4а</t>
        </is>
      </c>
      <c r="C50" t="inlineStr">
        <is>
          <t>sale</t>
        </is>
      </c>
      <c r="D50" t="inlineStr">
        <is>
          <t>Да</t>
        </is>
      </c>
      <c r="E50" t="inlineStr"/>
      <c r="F50" t="inlineStr"/>
      <c r="G50" t="inlineStr">
        <is>
          <t>400</t>
        </is>
      </c>
      <c r="H50" t="inlineStr"/>
      <c r="I50" t="inlineStr"/>
      <c r="J50" t="inlineStr">
        <is>
          <t>149 000 000</t>
        </is>
      </c>
      <c r="K50" t="inlineStr"/>
      <c r="L50" t="inlineStr"/>
      <c r="M50" t="inlineStr">
        <is>
          <t>По адресу есть, но площадь другая</t>
        </is>
      </c>
      <c r="N50" t="inlineStr"/>
      <c r="O50" t="inlineStr"/>
      <c r="P50" t="inlineStr"/>
      <c r="Q50">
        <f>HYPERLINK("https://knru.ru/catalog/efimova-ul-4a/","ссылка")</f>
        <v/>
      </c>
      <c r="R50" t="inlineStr"/>
      <c r="S50" t="inlineStr"/>
    </row>
    <row r="51">
      <c r="A51" t="inlineStr">
        <is>
          <t>Адмиралтейский</t>
        </is>
      </c>
      <c r="B51" t="inlineStr">
        <is>
          <t>Загородный пр-кт, 41 43 Б</t>
        </is>
      </c>
      <c r="C51" t="inlineStr">
        <is>
          <t>sale</t>
        </is>
      </c>
      <c r="D51" t="inlineStr">
        <is>
          <t>Да</t>
        </is>
      </c>
      <c r="E51" t="inlineStr"/>
      <c r="F51" t="inlineStr"/>
      <c r="G51" t="inlineStr">
        <is>
          <t>60</t>
        </is>
      </c>
      <c r="H51" t="inlineStr"/>
      <c r="I51" t="inlineStr"/>
      <c r="J51" t="inlineStr">
        <is>
          <t>16 000 000</t>
        </is>
      </c>
      <c r="K51" t="inlineStr"/>
      <c r="L51" t="inlineStr"/>
      <c r="M51" t="inlineStr">
        <is>
          <t>Нет у нас</t>
        </is>
      </c>
      <c r="N51" t="inlineStr"/>
      <c r="O51" t="inlineStr"/>
      <c r="P51" t="inlineStr"/>
      <c r="Q51">
        <f>HYPERLINK("https://knru.ru/catalog/zagorodnyy-pr-d-41-43/","ссылка")</f>
        <v/>
      </c>
      <c r="R51" t="inlineStr"/>
      <c r="S51" t="inlineStr"/>
    </row>
    <row r="52">
      <c r="A52" t="inlineStr">
        <is>
          <t>Адмиралтейский</t>
        </is>
      </c>
      <c r="B52" t="inlineStr">
        <is>
          <t>Измайловский б-р, 1к2 стр 1</t>
        </is>
      </c>
      <c r="C52" t="inlineStr">
        <is>
          <t>sale</t>
        </is>
      </c>
      <c r="D52" t="inlineStr">
        <is>
          <t>Да</t>
        </is>
      </c>
      <c r="E52" t="inlineStr"/>
      <c r="F52" t="inlineStr"/>
      <c r="G52" t="inlineStr">
        <is>
          <t>107</t>
        </is>
      </c>
      <c r="H52" t="inlineStr"/>
      <c r="I52" t="inlineStr"/>
      <c r="J52" t="inlineStr">
        <is>
          <t>53 590 000</t>
        </is>
      </c>
      <c r="K52" t="inlineStr"/>
      <c r="L52" t="inlineStr"/>
      <c r="M52" t="inlineStr">
        <is>
          <t>Нет у нас</t>
        </is>
      </c>
      <c r="N52" t="inlineStr"/>
      <c r="O52" t="inlineStr"/>
      <c r="P52" t="inlineStr"/>
      <c r="Q52">
        <f>HYPERLINK("https://knru.ru/catalog/izmaylovskiy-bul-d-1-k-2-1257117048/","ссылка")</f>
        <v/>
      </c>
      <c r="R52" t="inlineStr"/>
      <c r="S52" t="inlineStr"/>
    </row>
    <row r="53">
      <c r="A53" t="inlineStr">
        <is>
          <t>Адмиралтейский</t>
        </is>
      </c>
      <c r="B53" t="inlineStr">
        <is>
          <t>Измайловский б-р, 1к2 стр 1</t>
        </is>
      </c>
      <c r="C53" t="inlineStr">
        <is>
          <t>sale</t>
        </is>
      </c>
      <c r="D53" t="inlineStr">
        <is>
          <t>Да</t>
        </is>
      </c>
      <c r="E53" t="inlineStr"/>
      <c r="F53" t="inlineStr"/>
      <c r="G53" t="inlineStr">
        <is>
          <t>125.1</t>
        </is>
      </c>
      <c r="H53" t="inlineStr"/>
      <c r="I53" t="inlineStr"/>
      <c r="J53" t="inlineStr">
        <is>
          <t>62 645 000</t>
        </is>
      </c>
      <c r="K53" t="inlineStr"/>
      <c r="L53" t="inlineStr"/>
      <c r="M53" t="inlineStr">
        <is>
          <t>Нет у нас</t>
        </is>
      </c>
      <c r="N53" t="inlineStr"/>
      <c r="O53" t="inlineStr"/>
      <c r="P53" t="inlineStr"/>
      <c r="Q53">
        <f>HYPERLINK("https://knru.ru/catalog/izmaylovskiy-bul-d-1-k-2-409284503/","ссылка")</f>
        <v/>
      </c>
      <c r="R53" t="inlineStr"/>
      <c r="S53" t="inlineStr"/>
    </row>
    <row r="54">
      <c r="A54" t="inlineStr">
        <is>
          <t>Адмиралтейский</t>
        </is>
      </c>
      <c r="B54" t="inlineStr">
        <is>
          <t>Измайловский б-р, 1к2 стр 1</t>
        </is>
      </c>
      <c r="C54" t="inlineStr">
        <is>
          <t>sale</t>
        </is>
      </c>
      <c r="D54" t="inlineStr">
        <is>
          <t>Да</t>
        </is>
      </c>
      <c r="E54" t="inlineStr"/>
      <c r="F54" t="inlineStr"/>
      <c r="G54" t="inlineStr">
        <is>
          <t>131.5</t>
        </is>
      </c>
      <c r="H54" t="inlineStr"/>
      <c r="I54" t="inlineStr"/>
      <c r="J54" t="inlineStr">
        <is>
          <t>78 924 000</t>
        </is>
      </c>
      <c r="K54" t="inlineStr"/>
      <c r="L54" t="inlineStr"/>
      <c r="M54" t="inlineStr">
        <is>
          <t>Нет у нас</t>
        </is>
      </c>
      <c r="N54" t="inlineStr"/>
      <c r="O54" t="inlineStr"/>
      <c r="P54" t="inlineStr"/>
      <c r="Q54">
        <f>HYPERLINK("https://knru.ru/catalog/izmaylovskiy-bul-d-1-k-2-1231386918/","ссылка")</f>
        <v/>
      </c>
      <c r="R54" t="inlineStr"/>
      <c r="S54" t="inlineStr"/>
    </row>
    <row r="55">
      <c r="A55" t="inlineStr">
        <is>
          <t>Адмиралтейский</t>
        </is>
      </c>
      <c r="B55" t="inlineStr">
        <is>
          <t>Измайловский б-р, 1к2 стр 1</t>
        </is>
      </c>
      <c r="C55" t="inlineStr">
        <is>
          <t>sale</t>
        </is>
      </c>
      <c r="D55" t="inlineStr">
        <is>
          <t>Да</t>
        </is>
      </c>
      <c r="E55" t="inlineStr"/>
      <c r="F55" t="inlineStr"/>
      <c r="G55" t="inlineStr">
        <is>
          <t>90.2</t>
        </is>
      </c>
      <c r="H55" t="inlineStr"/>
      <c r="I55" t="inlineStr"/>
      <c r="J55" t="inlineStr">
        <is>
          <t>63 147 000</t>
        </is>
      </c>
      <c r="K55" t="inlineStr"/>
      <c r="L55" t="inlineStr"/>
      <c r="M55" t="inlineStr">
        <is>
          <t>Нет у нас</t>
        </is>
      </c>
      <c r="N55" t="inlineStr"/>
      <c r="O55" t="inlineStr"/>
      <c r="P55" t="inlineStr"/>
      <c r="Q55">
        <f>HYPERLINK("https://knru.ru/catalog/izmaylovskiy-bul-d-1-k-2-673057440/","ссылка")</f>
        <v/>
      </c>
      <c r="R55" t="inlineStr"/>
      <c r="S55" t="inlineStr"/>
    </row>
    <row r="56">
      <c r="A56" t="inlineStr">
        <is>
          <t>Адмиралтейский</t>
        </is>
      </c>
      <c r="B56" t="inlineStr">
        <is>
          <t>Измайловский б-р, 1к2 стр 1</t>
        </is>
      </c>
      <c r="C56" t="inlineStr">
        <is>
          <t>sale</t>
        </is>
      </c>
      <c r="D56" t="inlineStr">
        <is>
          <t>Да</t>
        </is>
      </c>
      <c r="E56" t="inlineStr"/>
      <c r="F56" t="inlineStr"/>
      <c r="G56" t="inlineStr">
        <is>
          <t>156.4</t>
        </is>
      </c>
      <c r="H56" t="inlineStr"/>
      <c r="I56" t="inlineStr"/>
      <c r="J56" t="inlineStr">
        <is>
          <t>109 494 000</t>
        </is>
      </c>
      <c r="K56" t="inlineStr"/>
      <c r="L56" t="inlineStr"/>
      <c r="M56" t="inlineStr">
        <is>
          <t>Нет у нас</t>
        </is>
      </c>
      <c r="N56" t="inlineStr"/>
      <c r="O56" t="inlineStr"/>
      <c r="P56" t="inlineStr"/>
      <c r="Q56">
        <f>HYPERLINK("https://knru.ru/catalog/izmaylovskiy-bul-d-1-k-2/","ссылка")</f>
        <v/>
      </c>
      <c r="R56" t="inlineStr"/>
      <c r="S56" t="inlineStr"/>
    </row>
    <row r="57">
      <c r="A57" t="inlineStr">
        <is>
          <t>Адмиралтейский</t>
        </is>
      </c>
      <c r="B57" t="inlineStr">
        <is>
          <t>Казанская ул, 29</t>
        </is>
      </c>
      <c r="C57" t="inlineStr">
        <is>
          <t>sale</t>
        </is>
      </c>
      <c r="D57" t="inlineStr">
        <is>
          <t>Да</t>
        </is>
      </c>
      <c r="E57" t="inlineStr"/>
      <c r="F57" t="inlineStr"/>
      <c r="G57" t="inlineStr">
        <is>
          <t>140</t>
        </is>
      </c>
      <c r="H57" t="inlineStr"/>
      <c r="I57" t="inlineStr"/>
      <c r="J57" t="inlineStr">
        <is>
          <t>5 500 000</t>
        </is>
      </c>
      <c r="K57" t="inlineStr"/>
      <c r="L57" t="inlineStr"/>
      <c r="M57" t="inlineStr">
        <is>
          <t>Нет у нас</t>
        </is>
      </c>
      <c r="N57" t="inlineStr"/>
      <c r="O57" t="inlineStr"/>
      <c r="P57" t="inlineStr"/>
      <c r="Q57">
        <f>HYPERLINK("https://knru.ru/catalog/kazanskaya-ul-29/","ссылка")</f>
        <v/>
      </c>
      <c r="R57" t="inlineStr"/>
      <c r="S57" t="inlineStr"/>
    </row>
    <row r="58">
      <c r="A58" t="inlineStr">
        <is>
          <t>Адмиралтейский</t>
        </is>
      </c>
      <c r="B58" t="inlineStr">
        <is>
          <t>Канала Грибоедова наб, 59</t>
        </is>
      </c>
      <c r="C58" t="inlineStr">
        <is>
          <t>sale</t>
        </is>
      </c>
      <c r="D58" t="inlineStr">
        <is>
          <t>Да</t>
        </is>
      </c>
      <c r="E58" t="inlineStr"/>
      <c r="F58" t="inlineStr"/>
      <c r="G58" t="inlineStr">
        <is>
          <t>80</t>
        </is>
      </c>
      <c r="H58" t="inlineStr"/>
      <c r="I58" t="inlineStr"/>
      <c r="J58" t="inlineStr">
        <is>
          <t>2 500 000</t>
        </is>
      </c>
      <c r="K58" t="inlineStr"/>
      <c r="L58" t="inlineStr"/>
      <c r="M58" t="inlineStr">
        <is>
          <t>По адресу есть, но площадь другая</t>
        </is>
      </c>
      <c r="N58" t="inlineStr"/>
      <c r="O58" t="inlineStr"/>
      <c r="P58" t="inlineStr"/>
      <c r="Q58">
        <f>HYPERLINK("https://knru.ru/catalog/kanala-griboedova-nab-59/","ссылка")</f>
        <v/>
      </c>
      <c r="R58" t="inlineStr"/>
      <c r="S58" t="inlineStr"/>
    </row>
    <row r="59">
      <c r="A59" t="inlineStr">
        <is>
          <t>Адмиралтейский</t>
        </is>
      </c>
      <c r="B59" t="inlineStr">
        <is>
          <t>Ленинградская обл, Аннино п, Садовая ул, 52к2</t>
        </is>
      </c>
      <c r="C59" t="inlineStr">
        <is>
          <t>sale</t>
        </is>
      </c>
      <c r="D59" t="inlineStr"/>
      <c r="E59" t="inlineStr">
        <is>
          <t>Да</t>
        </is>
      </c>
      <c r="F59" t="inlineStr"/>
      <c r="G59" t="inlineStr"/>
      <c r="H59" t="inlineStr">
        <is>
          <t>950</t>
        </is>
      </c>
      <c r="I59" t="inlineStr"/>
      <c r="J59" t="inlineStr"/>
      <c r="K59" t="inlineStr">
        <is>
          <t>68 000 000</t>
        </is>
      </c>
      <c r="L59" t="inlineStr"/>
      <c r="M59" t="inlineStr"/>
      <c r="N59" t="inlineStr">
        <is>
          <t>Нет у нас</t>
        </is>
      </c>
      <c r="O59" t="inlineStr"/>
      <c r="P59" t="inlineStr"/>
      <c r="Q59" t="inlineStr"/>
      <c r="R59">
        <f>HYPERLINK("https://nordwestinvest.ru/real-estates/sklad-950-m2-s-kpan-balkoi-32-tzu","ссылка")</f>
        <v/>
      </c>
      <c r="S59" t="inlineStr"/>
    </row>
    <row r="60">
      <c r="A60" t="inlineStr">
        <is>
          <t>Адмиралтейский</t>
        </is>
      </c>
      <c r="B60" t="inlineStr">
        <is>
          <t>Ленинградская обл, Дружная Горка гп, Садовая ул, 5</t>
        </is>
      </c>
      <c r="C60" t="inlineStr">
        <is>
          <t>sale</t>
        </is>
      </c>
      <c r="D60" t="inlineStr"/>
      <c r="E60" t="inlineStr">
        <is>
          <t>Да</t>
        </is>
      </c>
      <c r="F60" t="inlineStr"/>
      <c r="G60" t="inlineStr"/>
      <c r="H60" t="inlineStr">
        <is>
          <t>1700</t>
        </is>
      </c>
      <c r="I60" t="inlineStr"/>
      <c r="J60" t="inlineStr"/>
      <c r="K60" t="inlineStr">
        <is>
          <t>15 000 000</t>
        </is>
      </c>
      <c r="L60" t="inlineStr"/>
      <c r="M60" t="inlineStr"/>
      <c r="N60" t="inlineStr">
        <is>
          <t>Нет у нас</t>
        </is>
      </c>
      <c r="O60" t="inlineStr"/>
      <c r="P60" t="inlineStr"/>
      <c r="Q60" t="inlineStr"/>
      <c r="R60">
        <f>HYPERLINK("https://nordwestinvest.ru/real-estates/prodaza-ucastka-pod-magazin-17-sotok","ссылка")</f>
        <v/>
      </c>
      <c r="S60" t="inlineStr"/>
    </row>
    <row r="61">
      <c r="A61" t="inlineStr">
        <is>
          <t>Адмиралтейский</t>
        </is>
      </c>
      <c r="B61" t="inlineStr">
        <is>
          <t>Лермонтовский пр-кт, 48</t>
        </is>
      </c>
      <c r="C61" t="inlineStr">
        <is>
          <t>sale</t>
        </is>
      </c>
      <c r="D61" t="inlineStr"/>
      <c r="E61" t="inlineStr">
        <is>
          <t>Да</t>
        </is>
      </c>
      <c r="F61" t="inlineStr"/>
      <c r="G61" t="inlineStr"/>
      <c r="H61" t="inlineStr">
        <is>
          <t>870</t>
        </is>
      </c>
      <c r="I61" t="inlineStr"/>
      <c r="J61" t="inlineStr"/>
      <c r="K61" t="inlineStr">
        <is>
          <t>180 000 000</t>
        </is>
      </c>
      <c r="L61" t="inlineStr"/>
      <c r="M61" t="inlineStr"/>
      <c r="N61" t="inlineStr">
        <is>
          <t>Совпало</t>
        </is>
      </c>
      <c r="O61" t="inlineStr"/>
      <c r="P61" t="inlineStr"/>
      <c r="Q61" t="inlineStr"/>
      <c r="R61">
        <f>HYPERLINK("https://nordwestinvest.ru/real-estates/prodaza-dvux-etaznogo-zdaniia-1","ссылка")</f>
        <v/>
      </c>
      <c r="S61" t="inlineStr"/>
    </row>
    <row r="62">
      <c r="A62" t="inlineStr">
        <is>
          <t>Адмиралтейский</t>
        </is>
      </c>
      <c r="B62" t="inlineStr">
        <is>
          <t>Лермонтовский пр-кт, 50</t>
        </is>
      </c>
      <c r="C62" t="inlineStr">
        <is>
          <t>sale</t>
        </is>
      </c>
      <c r="D62" t="inlineStr">
        <is>
          <t>Да</t>
        </is>
      </c>
      <c r="E62" t="inlineStr"/>
      <c r="F62" t="inlineStr"/>
      <c r="G62" t="inlineStr">
        <is>
          <t>761</t>
        </is>
      </c>
      <c r="H62" t="inlineStr"/>
      <c r="I62" t="inlineStr"/>
      <c r="J62" t="inlineStr">
        <is>
          <t>217 000 000</t>
        </is>
      </c>
      <c r="K62" t="inlineStr"/>
      <c r="L62" t="inlineStr"/>
      <c r="M62" t="inlineStr">
        <is>
          <t>По адресу есть, но площадь другая</t>
        </is>
      </c>
      <c r="N62" t="inlineStr"/>
      <c r="O62" t="inlineStr"/>
      <c r="P62" t="inlineStr"/>
      <c r="Q62">
        <f>HYPERLINK("https://knru.ru/catalog/lermontovskiy-pr-kt-50/","ссылка")</f>
        <v/>
      </c>
      <c r="R62" t="inlineStr"/>
      <c r="S62" t="inlineStr"/>
    </row>
    <row r="63">
      <c r="A63" t="inlineStr">
        <is>
          <t>Адмиралтейский</t>
        </is>
      </c>
      <c r="B63" t="inlineStr">
        <is>
          <t>Лермонтовский пр-кт, 54 У</t>
        </is>
      </c>
      <c r="C63" t="inlineStr">
        <is>
          <t>sale</t>
        </is>
      </c>
      <c r="D63" t="inlineStr">
        <is>
          <t>Да</t>
        </is>
      </c>
      <c r="E63" t="inlineStr"/>
      <c r="F63" t="inlineStr"/>
      <c r="G63" t="inlineStr">
        <is>
          <t>7321</t>
        </is>
      </c>
      <c r="H63" t="inlineStr"/>
      <c r="I63" t="inlineStr"/>
      <c r="J63" t="inlineStr">
        <is>
          <t>585 680 000</t>
        </is>
      </c>
      <c r="K63" t="inlineStr"/>
      <c r="L63" t="inlineStr"/>
      <c r="M63" t="inlineStr">
        <is>
          <t>Нет у нас</t>
        </is>
      </c>
      <c r="N63" t="inlineStr"/>
      <c r="O63" t="inlineStr"/>
      <c r="P63" t="inlineStr"/>
      <c r="Q63">
        <f>HYPERLINK("https://knru.ru/catalog/lermontovskiy-pr-d-54-lit-kh/","ссылка")</f>
        <v/>
      </c>
      <c r="R63" t="inlineStr"/>
      <c r="S63" t="inlineStr"/>
    </row>
    <row r="64">
      <c r="A64" t="inlineStr">
        <is>
          <t>Адмиралтейский</t>
        </is>
      </c>
      <c r="B64" t="inlineStr">
        <is>
          <t>Лермонтовский пр-кт, 54 У</t>
        </is>
      </c>
      <c r="C64" t="inlineStr">
        <is>
          <t>sale</t>
        </is>
      </c>
      <c r="D64" t="inlineStr">
        <is>
          <t>Да</t>
        </is>
      </c>
      <c r="E64" t="inlineStr"/>
      <c r="F64" t="inlineStr"/>
      <c r="G64" t="inlineStr">
        <is>
          <t>3337</t>
        </is>
      </c>
      <c r="H64" t="inlineStr"/>
      <c r="I64" t="inlineStr"/>
      <c r="J64" t="inlineStr">
        <is>
          <t>266 960 000</t>
        </is>
      </c>
      <c r="K64" t="inlineStr"/>
      <c r="L64" t="inlineStr"/>
      <c r="M64" t="inlineStr">
        <is>
          <t>Нет у нас</t>
        </is>
      </c>
      <c r="N64" t="inlineStr"/>
      <c r="O64" t="inlineStr"/>
      <c r="P64" t="inlineStr"/>
      <c r="Q64">
        <f>HYPERLINK("https://knru.ru/catalog/lermontovskiy-pr-d-54-lit-u/","ссылка")</f>
        <v/>
      </c>
      <c r="R64" t="inlineStr"/>
      <c r="S64" t="inlineStr"/>
    </row>
    <row r="65">
      <c r="A65" t="inlineStr">
        <is>
          <t>Адмиралтейский</t>
        </is>
      </c>
      <c r="B65" t="inlineStr">
        <is>
          <t>Лифляндская ул, 6 М</t>
        </is>
      </c>
      <c r="C65" t="inlineStr">
        <is>
          <t>sale</t>
        </is>
      </c>
      <c r="D65" t="inlineStr"/>
      <c r="E65" t="inlineStr">
        <is>
          <t>Да</t>
        </is>
      </c>
      <c r="F65" t="inlineStr"/>
      <c r="G65" t="inlineStr"/>
      <c r="H65" t="inlineStr">
        <is>
          <t>2012</t>
        </is>
      </c>
      <c r="I65" t="inlineStr"/>
      <c r="J65" t="inlineStr"/>
      <c r="K65" t="inlineStr">
        <is>
          <t>71 640 000</t>
        </is>
      </c>
      <c r="L65" t="inlineStr"/>
      <c r="M65" t="inlineStr"/>
      <c r="N65" t="inlineStr">
        <is>
          <t>Нет у нас</t>
        </is>
      </c>
      <c r="O65" t="inlineStr"/>
      <c r="P65" t="inlineStr"/>
      <c r="Q65" t="inlineStr"/>
      <c r="R65">
        <f>HYPERLINK("https://nordwestinvest.ru/real-estates/prodaza-bc-s-arendatorami-okupaemost-9-let","ссылка")</f>
        <v/>
      </c>
      <c r="S65" t="inlineStr"/>
    </row>
    <row r="66">
      <c r="A66" t="inlineStr">
        <is>
          <t>Адмиралтейский</t>
        </is>
      </c>
      <c r="B66" t="inlineStr">
        <is>
          <t>Московский пр-кт, 20</t>
        </is>
      </c>
      <c r="C66" t="inlineStr">
        <is>
          <t>sale</t>
        </is>
      </c>
      <c r="D66" t="inlineStr">
        <is>
          <t>Да</t>
        </is>
      </c>
      <c r="E66" t="inlineStr"/>
      <c r="F66" t="inlineStr"/>
      <c r="G66" t="inlineStr">
        <is>
          <t>48</t>
        </is>
      </c>
      <c r="H66" t="inlineStr"/>
      <c r="I66" t="inlineStr"/>
      <c r="J66" t="inlineStr">
        <is>
          <t>10 500 000</t>
        </is>
      </c>
      <c r="K66" t="inlineStr"/>
      <c r="L66" t="inlineStr"/>
      <c r="M66" t="inlineStr">
        <is>
          <t>По адресу есть, но площадь другая</t>
        </is>
      </c>
      <c r="N66" t="inlineStr"/>
      <c r="O66" t="inlineStr"/>
      <c r="P66" t="inlineStr"/>
      <c r="Q66">
        <f>HYPERLINK("https://knru.ru/catalog/moskovskiy-pr-d-20/","ссылка")</f>
        <v/>
      </c>
      <c r="R66" t="inlineStr"/>
      <c r="S66" t="inlineStr"/>
    </row>
    <row r="67">
      <c r="A67" t="inlineStr">
        <is>
          <t>Адмиралтейский</t>
        </is>
      </c>
      <c r="B67" t="inlineStr">
        <is>
          <t>Московский пр-кт, 43</t>
        </is>
      </c>
      <c r="C67" t="inlineStr">
        <is>
          <t>sale</t>
        </is>
      </c>
      <c r="D67" t="inlineStr">
        <is>
          <t>Да</t>
        </is>
      </c>
      <c r="E67" t="inlineStr"/>
      <c r="F67" t="inlineStr"/>
      <c r="G67" t="inlineStr">
        <is>
          <t>17</t>
        </is>
      </c>
      <c r="H67" t="inlineStr"/>
      <c r="I67" t="inlineStr"/>
      <c r="J67" t="inlineStr">
        <is>
          <t>7 000 000</t>
        </is>
      </c>
      <c r="K67" t="inlineStr"/>
      <c r="L67" t="inlineStr"/>
      <c r="M67" t="inlineStr">
        <is>
          <t>Нет у нас</t>
        </is>
      </c>
      <c r="N67" t="inlineStr"/>
      <c r="O67" t="inlineStr"/>
      <c r="P67" t="inlineStr"/>
      <c r="Q67">
        <f>HYPERLINK("https://knru.ru/catalog/moskovskiy-pr-kt-43/","ссылка")</f>
        <v/>
      </c>
      <c r="R67" t="inlineStr"/>
      <c r="S67" t="inlineStr"/>
    </row>
    <row r="68">
      <c r="A68" t="inlineStr">
        <is>
          <t>Адмиралтейский</t>
        </is>
      </c>
      <c r="B68" t="inlineStr">
        <is>
          <t>Московский пр-кт, 65 Э</t>
        </is>
      </c>
      <c r="C68" t="inlineStr">
        <is>
          <t>sale</t>
        </is>
      </c>
      <c r="D68" t="inlineStr">
        <is>
          <t>Да</t>
        </is>
      </c>
      <c r="E68" t="inlineStr"/>
      <c r="F68" t="inlineStr"/>
      <c r="G68" t="inlineStr">
        <is>
          <t>6966</t>
        </is>
      </c>
      <c r="H68" t="inlineStr"/>
      <c r="I68" t="inlineStr"/>
      <c r="J68" t="inlineStr">
        <is>
          <t>1 652 637 217</t>
        </is>
      </c>
      <c r="K68" t="inlineStr"/>
      <c r="L68" t="inlineStr"/>
      <c r="M68" t="inlineStr">
        <is>
          <t>Нет у нас</t>
        </is>
      </c>
      <c r="N68" t="inlineStr"/>
      <c r="O68" t="inlineStr"/>
      <c r="P68" t="inlineStr"/>
      <c r="Q68">
        <f>HYPERLINK("https://knru.ru/catalog/pr-moskovskiy-d-65-lit-e/","ссылка")</f>
        <v/>
      </c>
      <c r="R68" t="inlineStr"/>
      <c r="S68" t="inlineStr"/>
    </row>
    <row r="69">
      <c r="A69" t="inlineStr">
        <is>
          <t>Адмиралтейский</t>
        </is>
      </c>
      <c r="B69" t="inlineStr">
        <is>
          <t>Московский пр-кт, 73к3 А</t>
        </is>
      </c>
      <c r="C69" t="inlineStr">
        <is>
          <t>sale</t>
        </is>
      </c>
      <c r="D69" t="inlineStr">
        <is>
          <t>Да</t>
        </is>
      </c>
      <c r="E69" t="inlineStr"/>
      <c r="F69" t="inlineStr"/>
      <c r="G69" t="inlineStr">
        <is>
          <t>299</t>
        </is>
      </c>
      <c r="H69" t="inlineStr"/>
      <c r="I69" t="inlineStr"/>
      <c r="J69" t="inlineStr">
        <is>
          <t>8 500 000</t>
        </is>
      </c>
      <c r="K69" t="inlineStr"/>
      <c r="L69" t="inlineStr"/>
      <c r="M69" t="inlineStr">
        <is>
          <t>Нет у нас</t>
        </is>
      </c>
      <c r="N69" t="inlineStr"/>
      <c r="O69" t="inlineStr"/>
      <c r="P69" t="inlineStr"/>
      <c r="Q69">
        <f>HYPERLINK("https://knru.ru/catalog/moskovskiy-pr-d-73-k-3-1407189380/","ссылка")</f>
        <v/>
      </c>
      <c r="R69" t="inlineStr"/>
      <c r="S69" t="inlineStr"/>
    </row>
    <row r="70">
      <c r="A70" t="inlineStr">
        <is>
          <t>Адмиралтейский</t>
        </is>
      </c>
      <c r="B70" t="inlineStr">
        <is>
          <t>Обводного канала наб, 118 АУ</t>
        </is>
      </c>
      <c r="C70" t="inlineStr">
        <is>
          <t>sale</t>
        </is>
      </c>
      <c r="D70" t="inlineStr">
        <is>
          <t>Да</t>
        </is>
      </c>
      <c r="E70" t="inlineStr"/>
      <c r="F70" t="inlineStr"/>
      <c r="G70" t="inlineStr">
        <is>
          <t>248</t>
        </is>
      </c>
      <c r="H70" t="inlineStr"/>
      <c r="I70" t="inlineStr"/>
      <c r="J70" t="inlineStr">
        <is>
          <t>70 184 000</t>
        </is>
      </c>
      <c r="K70" t="inlineStr"/>
      <c r="L70" t="inlineStr"/>
      <c r="M70" t="inlineStr">
        <is>
          <t>Нет у нас</t>
        </is>
      </c>
      <c r="N70" t="inlineStr"/>
      <c r="O70" t="inlineStr"/>
      <c r="P70" t="inlineStr"/>
      <c r="Q70">
        <f>HYPERLINK("https://knru.ru/catalog/obvodnogo-kanala-nab-d-118-au-561514/","ссылка")</f>
        <v/>
      </c>
      <c r="R70" t="inlineStr"/>
      <c r="S70" t="inlineStr"/>
    </row>
    <row r="71">
      <c r="A71" t="inlineStr">
        <is>
          <t>Адмиралтейский</t>
        </is>
      </c>
      <c r="B71" t="inlineStr">
        <is>
          <t>Обводного канала наб, 118 АУ</t>
        </is>
      </c>
      <c r="C71" t="inlineStr">
        <is>
          <t>sale</t>
        </is>
      </c>
      <c r="D71" t="inlineStr">
        <is>
          <t>Да</t>
        </is>
      </c>
      <c r="E71" t="inlineStr"/>
      <c r="F71" t="inlineStr"/>
      <c r="G71" t="inlineStr">
        <is>
          <t>835</t>
        </is>
      </c>
      <c r="H71" t="inlineStr"/>
      <c r="I71" t="inlineStr"/>
      <c r="J71" t="inlineStr">
        <is>
          <t>250 000 000</t>
        </is>
      </c>
      <c r="K71" t="inlineStr"/>
      <c r="L71" t="inlineStr"/>
      <c r="M71" t="inlineStr">
        <is>
          <t>Нет у нас</t>
        </is>
      </c>
      <c r="N71" t="inlineStr"/>
      <c r="O71" t="inlineStr"/>
      <c r="P71" t="inlineStr"/>
      <c r="Q71">
        <f>HYPERLINK("https://knru.ru/catalog/obvodnogo-kanala-nab-d-118-au-561498/","ссылка")</f>
        <v/>
      </c>
      <c r="R71" t="inlineStr"/>
      <c r="S71" t="inlineStr"/>
    </row>
    <row r="72">
      <c r="A72" t="inlineStr">
        <is>
          <t>Адмиралтейский</t>
        </is>
      </c>
      <c r="B72" t="inlineStr">
        <is>
          <t>Обводного канала наб, 118 АУ</t>
        </is>
      </c>
      <c r="C72" t="inlineStr">
        <is>
          <t>sale</t>
        </is>
      </c>
      <c r="D72" t="inlineStr">
        <is>
          <t>Да</t>
        </is>
      </c>
      <c r="E72" t="inlineStr"/>
      <c r="F72" t="inlineStr"/>
      <c r="G72" t="inlineStr">
        <is>
          <t>495</t>
        </is>
      </c>
      <c r="H72" t="inlineStr"/>
      <c r="I72" t="inlineStr"/>
      <c r="J72" t="inlineStr">
        <is>
          <t>148 500 000</t>
        </is>
      </c>
      <c r="K72" t="inlineStr"/>
      <c r="L72" t="inlineStr"/>
      <c r="M72" t="inlineStr">
        <is>
          <t>Нет у нас</t>
        </is>
      </c>
      <c r="N72" t="inlineStr"/>
      <c r="O72" t="inlineStr"/>
      <c r="P72" t="inlineStr"/>
      <c r="Q72">
        <f>HYPERLINK("https://knru.ru/catalog/obvodnogo-kanala-nab-d-118-au-558098/","ссылка")</f>
        <v/>
      </c>
      <c r="R72" t="inlineStr"/>
      <c r="S72" t="inlineStr"/>
    </row>
    <row r="73">
      <c r="A73" t="inlineStr">
        <is>
          <t>Адмиралтейский</t>
        </is>
      </c>
      <c r="B73" t="inlineStr">
        <is>
          <t>Обводного канала наб, 118а У</t>
        </is>
      </c>
      <c r="C73" t="inlineStr">
        <is>
          <t>sale</t>
        </is>
      </c>
      <c r="D73" t="inlineStr"/>
      <c r="E73" t="inlineStr">
        <is>
          <t>Да</t>
        </is>
      </c>
      <c r="F73" t="inlineStr"/>
      <c r="G73" t="inlineStr"/>
      <c r="H73" t="inlineStr">
        <is>
          <t>1003</t>
        </is>
      </c>
      <c r="I73" t="inlineStr"/>
      <c r="J73" t="inlineStr"/>
      <c r="K73" t="inlineStr">
        <is>
          <t>300 900 000</t>
        </is>
      </c>
      <c r="L73" t="inlineStr"/>
      <c r="M73" t="inlineStr"/>
      <c r="N73" t="inlineStr">
        <is>
          <t>Нет у нас</t>
        </is>
      </c>
      <c r="O73" t="inlineStr"/>
      <c r="P73" t="inlineStr"/>
      <c r="Q73" t="inlineStr"/>
      <c r="R73">
        <f>HYPERLINK("https://nordwestinvest.ru/real-estates/prodaza-ofisa-v-novom-loft-prostranstve-1003-m2","ссылка")</f>
        <v/>
      </c>
      <c r="S73" t="inlineStr"/>
    </row>
    <row r="74">
      <c r="A74" t="inlineStr">
        <is>
          <t>Адмиралтейский</t>
        </is>
      </c>
      <c r="B74" t="inlineStr">
        <is>
          <t>Обводного канала наб, 21 А</t>
        </is>
      </c>
      <c r="C74" t="inlineStr">
        <is>
          <t>sale</t>
        </is>
      </c>
      <c r="D74" t="inlineStr"/>
      <c r="E74" t="inlineStr">
        <is>
          <t>Да</t>
        </is>
      </c>
      <c r="F74" t="inlineStr"/>
      <c r="G74" t="inlineStr"/>
      <c r="H74" t="inlineStr">
        <is>
          <t>3660</t>
        </is>
      </c>
      <c r="I74" t="inlineStr"/>
      <c r="J74" t="inlineStr"/>
      <c r="K74" t="inlineStr">
        <is>
          <t>400 000 000</t>
        </is>
      </c>
      <c r="L74" t="inlineStr"/>
      <c r="M74" t="inlineStr"/>
      <c r="N74" t="inlineStr">
        <is>
          <t>По адресу есть, но площадь другая</t>
        </is>
      </c>
      <c r="O74" t="inlineStr"/>
      <c r="P74" t="inlineStr"/>
      <c r="Q74" t="inlineStr"/>
      <c r="R74">
        <f>HYPERLINK("https://nordwestinvest.ru/real-estates/prodaza-osz-na-ogromnom-avto-trafike-3600m2","ссылка")</f>
        <v/>
      </c>
      <c r="S74" t="inlineStr"/>
    </row>
    <row r="75">
      <c r="A75" t="inlineStr">
        <is>
          <t>Адмиралтейский</t>
        </is>
      </c>
      <c r="B75" t="inlineStr">
        <is>
          <t>Парфёновская ул, 6к1стр1</t>
        </is>
      </c>
      <c r="C75" t="inlineStr">
        <is>
          <t>sale</t>
        </is>
      </c>
      <c r="D75" t="inlineStr">
        <is>
          <t>Да</t>
        </is>
      </c>
      <c r="E75" t="inlineStr"/>
      <c r="F75" t="inlineStr"/>
      <c r="G75" t="inlineStr">
        <is>
          <t>32</t>
        </is>
      </c>
      <c r="H75" t="inlineStr"/>
      <c r="I75" t="inlineStr"/>
      <c r="J75" t="inlineStr">
        <is>
          <t>9 250 000</t>
        </is>
      </c>
      <c r="K75" t="inlineStr"/>
      <c r="L75" t="inlineStr"/>
      <c r="M75" t="inlineStr">
        <is>
          <t>Нет у нас</t>
        </is>
      </c>
      <c r="N75" t="inlineStr"/>
      <c r="O75" t="inlineStr"/>
      <c r="P75" t="inlineStr"/>
      <c r="Q75">
        <f>HYPERLINK("https://knru.ru/catalog/ul-parfyenovskaya-d-6-k-1/","ссылка")</f>
        <v/>
      </c>
      <c r="R75" t="inlineStr"/>
      <c r="S75" t="inlineStr"/>
    </row>
    <row r="76">
      <c r="A76" t="inlineStr">
        <is>
          <t>Адмиралтейский</t>
        </is>
      </c>
      <c r="B76" t="inlineStr">
        <is>
          <t>Петровская коса, 6к1стр1</t>
        </is>
      </c>
      <c r="C76" t="inlineStr">
        <is>
          <t>sale</t>
        </is>
      </c>
      <c r="D76" t="inlineStr"/>
      <c r="E76" t="inlineStr">
        <is>
          <t>Да</t>
        </is>
      </c>
      <c r="F76" t="inlineStr"/>
      <c r="G76" t="inlineStr"/>
      <c r="H76" t="inlineStr">
        <is>
          <t>376.9</t>
        </is>
      </c>
      <c r="I76" t="inlineStr"/>
      <c r="J76" t="inlineStr"/>
      <c r="K76" t="inlineStr">
        <is>
          <t>180 000 000</t>
        </is>
      </c>
      <c r="L76" t="inlineStr"/>
      <c r="M76" t="inlineStr"/>
      <c r="N76" t="inlineStr">
        <is>
          <t>Нет у нас</t>
        </is>
      </c>
      <c r="O76" t="inlineStr"/>
      <c r="P76" t="inlineStr"/>
      <c r="Q76" t="inlineStr"/>
      <c r="R76">
        <f>HYPERLINK("https://nordwestinvest.ru/real-estates/prodaza-pomeshhenii-na-2-ux-etazax","ссылка")</f>
        <v/>
      </c>
      <c r="S76" t="inlineStr"/>
    </row>
    <row r="77">
      <c r="A77" t="inlineStr">
        <is>
          <t>Адмиралтейский</t>
        </is>
      </c>
      <c r="B77" t="inlineStr">
        <is>
          <t>Пирогова пер, 18</t>
        </is>
      </c>
      <c r="C77" t="inlineStr">
        <is>
          <t>sale</t>
        </is>
      </c>
      <c r="D77" t="inlineStr">
        <is>
          <t>Да</t>
        </is>
      </c>
      <c r="E77" t="inlineStr"/>
      <c r="F77" t="inlineStr"/>
      <c r="G77" t="inlineStr">
        <is>
          <t>750</t>
        </is>
      </c>
      <c r="H77" t="inlineStr"/>
      <c r="I77" t="inlineStr"/>
      <c r="J77" t="inlineStr">
        <is>
          <t>20 000 000</t>
        </is>
      </c>
      <c r="K77" t="inlineStr"/>
      <c r="L77" t="inlineStr"/>
      <c r="M77" t="inlineStr">
        <is>
          <t>По адресу есть, но площадь другая</t>
        </is>
      </c>
      <c r="N77" t="inlineStr"/>
      <c r="O77" t="inlineStr"/>
      <c r="P77" t="inlineStr"/>
      <c r="Q77">
        <f>HYPERLINK("https://knru.ru/catalog/pirogova-per-18/","ссылка")</f>
        <v/>
      </c>
      <c r="R77" t="inlineStr"/>
      <c r="S77" t="inlineStr"/>
    </row>
    <row r="78">
      <c r="A78" t="inlineStr">
        <is>
          <t>Адмиралтейский</t>
        </is>
      </c>
      <c r="B78" t="inlineStr">
        <is>
          <t>Подъездной пер, 13а</t>
        </is>
      </c>
      <c r="C78" t="inlineStr">
        <is>
          <t>sale</t>
        </is>
      </c>
      <c r="D78" t="inlineStr"/>
      <c r="E78" t="inlineStr">
        <is>
          <t>Да</t>
        </is>
      </c>
      <c r="F78" t="inlineStr"/>
      <c r="G78" t="inlineStr"/>
      <c r="H78" t="inlineStr">
        <is>
          <t>247.1</t>
        </is>
      </c>
      <c r="I78" t="inlineStr"/>
      <c r="J78" t="inlineStr"/>
      <c r="K78" t="inlineStr">
        <is>
          <t>80 000 000</t>
        </is>
      </c>
      <c r="L78" t="inlineStr"/>
      <c r="M78" t="inlineStr"/>
      <c r="N78" t="inlineStr">
        <is>
          <t>Совпало</t>
        </is>
      </c>
      <c r="O78" t="inlineStr"/>
      <c r="P78" t="inlineStr"/>
      <c r="Q78" t="inlineStr"/>
      <c r="R78">
        <f>HYPERLINK("https://nordwestinvest.ru/real-estates/prodaza-pomeshheniia-pod-restoran-v-acqualinaapartmen","ссылка")</f>
        <v/>
      </c>
      <c r="S78" t="inlineStr"/>
    </row>
    <row r="79">
      <c r="A79" t="inlineStr">
        <is>
          <t>Адмиралтейский</t>
        </is>
      </c>
      <c r="B79" t="inlineStr">
        <is>
          <t>Почтамтская ул, 1</t>
        </is>
      </c>
      <c r="C79" t="inlineStr">
        <is>
          <t>sale</t>
        </is>
      </c>
      <c r="D79" t="inlineStr">
        <is>
          <t>Да</t>
        </is>
      </c>
      <c r="E79" t="inlineStr"/>
      <c r="F79" t="inlineStr"/>
      <c r="G79" t="inlineStr">
        <is>
          <t>160</t>
        </is>
      </c>
      <c r="H79" t="inlineStr"/>
      <c r="I79" t="inlineStr"/>
      <c r="J79" t="inlineStr">
        <is>
          <t>160 000 000</t>
        </is>
      </c>
      <c r="K79" t="inlineStr"/>
      <c r="L79" t="inlineStr"/>
      <c r="M79" t="inlineStr">
        <is>
          <t>Совпало</t>
        </is>
      </c>
      <c r="N79" t="inlineStr"/>
      <c r="O79" t="inlineStr"/>
      <c r="P79" t="inlineStr"/>
      <c r="Q79">
        <f>HYPERLINK("https://knru.ru/catalog/pochtamtskaya-ul-1/","ссылка")</f>
        <v/>
      </c>
      <c r="R79" t="inlineStr"/>
      <c r="S79" t="inlineStr"/>
    </row>
    <row r="80">
      <c r="A80" t="inlineStr">
        <is>
          <t>Адмиралтейский</t>
        </is>
      </c>
      <c r="B80" t="inlineStr">
        <is>
          <t>Реки Пряжки наб, 7а</t>
        </is>
      </c>
      <c r="C80" t="inlineStr">
        <is>
          <t>sale</t>
        </is>
      </c>
      <c r="D80" t="inlineStr">
        <is>
          <t>Да</t>
        </is>
      </c>
      <c r="E80" t="inlineStr"/>
      <c r="F80" t="inlineStr"/>
      <c r="G80" t="inlineStr">
        <is>
          <t>94.5</t>
        </is>
      </c>
      <c r="H80" t="inlineStr"/>
      <c r="I80" t="inlineStr"/>
      <c r="J80" t="inlineStr">
        <is>
          <t>76 000 000</t>
        </is>
      </c>
      <c r="K80" t="inlineStr"/>
      <c r="L80" t="inlineStr"/>
      <c r="M80" t="inlineStr">
        <is>
          <t>Нет у нас</t>
        </is>
      </c>
      <c r="N80" t="inlineStr"/>
      <c r="O80" t="inlineStr"/>
      <c r="P80" t="inlineStr"/>
      <c r="Q80">
        <f>HYPERLINK("https://knru.ru/catalog/reki-pryazhki-nab-7a/","ссылка")</f>
        <v/>
      </c>
      <c r="R80" t="inlineStr"/>
      <c r="S80" t="inlineStr"/>
    </row>
    <row r="81">
      <c r="A81" t="inlineStr">
        <is>
          <t>Адмиралтейский</t>
        </is>
      </c>
      <c r="B81" t="inlineStr">
        <is>
          <t>Реки Фонтанки наб, 89 А</t>
        </is>
      </c>
      <c r="C81" t="inlineStr">
        <is>
          <t>sale</t>
        </is>
      </c>
      <c r="D81" t="inlineStr">
        <is>
          <t>Да</t>
        </is>
      </c>
      <c r="E81" t="inlineStr"/>
      <c r="F81" t="inlineStr"/>
      <c r="G81" t="inlineStr">
        <is>
          <t>89</t>
        </is>
      </c>
      <c r="H81" t="inlineStr"/>
      <c r="I81" t="inlineStr"/>
      <c r="J81" t="inlineStr">
        <is>
          <t>14 900 000</t>
        </is>
      </c>
      <c r="K81" t="inlineStr"/>
      <c r="L81" t="inlineStr"/>
      <c r="M81" t="inlineStr">
        <is>
          <t>Нет у нас</t>
        </is>
      </c>
      <c r="N81" t="inlineStr"/>
      <c r="O81" t="inlineStr"/>
      <c r="P81" t="inlineStr"/>
      <c r="Q81">
        <f>HYPERLINK("https://knru.ru/catalog/nab-reki-fontanki-d-89/","ссылка")</f>
        <v/>
      </c>
      <c r="R81" t="inlineStr"/>
      <c r="S81" t="inlineStr"/>
    </row>
    <row r="82">
      <c r="A82" t="inlineStr">
        <is>
          <t>Адмиралтейский</t>
        </is>
      </c>
      <c r="B82" t="inlineStr">
        <is>
          <t>Римского-Корсакова пр-кт, 93 А</t>
        </is>
      </c>
      <c r="C82" t="inlineStr">
        <is>
          <t>sale</t>
        </is>
      </c>
      <c r="D82" t="inlineStr">
        <is>
          <t>Да</t>
        </is>
      </c>
      <c r="E82" t="inlineStr"/>
      <c r="F82" t="inlineStr"/>
      <c r="G82" t="inlineStr">
        <is>
          <t>100</t>
        </is>
      </c>
      <c r="H82" t="inlineStr"/>
      <c r="I82" t="inlineStr"/>
      <c r="J82" t="inlineStr">
        <is>
          <t>32 300 000</t>
        </is>
      </c>
      <c r="K82" t="inlineStr"/>
      <c r="L82" t="inlineStr"/>
      <c r="M82" t="inlineStr">
        <is>
          <t>Нет у нас</t>
        </is>
      </c>
      <c r="N82" t="inlineStr"/>
      <c r="O82" t="inlineStr"/>
      <c r="P82" t="inlineStr"/>
      <c r="Q82">
        <f>HYPERLINK("https://knru.ru/catalog/rimskogo-korsakova-pr-d-93/","ссылка")</f>
        <v/>
      </c>
      <c r="R82" t="inlineStr"/>
      <c r="S82" t="inlineStr"/>
    </row>
    <row r="83">
      <c r="A83" t="inlineStr">
        <is>
          <t>Адмиралтейский</t>
        </is>
      </c>
      <c r="B83" t="inlineStr">
        <is>
          <t>Розенштейна ул, 36 А</t>
        </is>
      </c>
      <c r="C83" t="inlineStr">
        <is>
          <t>sale</t>
        </is>
      </c>
      <c r="D83" t="inlineStr">
        <is>
          <t>Да</t>
        </is>
      </c>
      <c r="E83" t="inlineStr"/>
      <c r="F83" t="inlineStr"/>
      <c r="G83" t="inlineStr">
        <is>
          <t>3262</t>
        </is>
      </c>
      <c r="H83" t="inlineStr"/>
      <c r="I83" t="inlineStr"/>
      <c r="J83" t="inlineStr">
        <is>
          <t>375 000 000</t>
        </is>
      </c>
      <c r="K83" t="inlineStr"/>
      <c r="L83" t="inlineStr"/>
      <c r="M83" t="inlineStr">
        <is>
          <t>Нет у нас</t>
        </is>
      </c>
      <c r="N83" t="inlineStr"/>
      <c r="O83" t="inlineStr"/>
      <c r="P83" t="inlineStr"/>
      <c r="Q83">
        <f>HYPERLINK("https://knru.ru/catalog/ul-rozenshteyna-d-36/","ссылка")</f>
        <v/>
      </c>
      <c r="R83" t="inlineStr"/>
      <c r="S83" t="inlineStr"/>
    </row>
    <row r="84">
      <c r="A84" t="inlineStr">
        <is>
          <t>Адмиралтейский</t>
        </is>
      </c>
      <c r="B84" t="inlineStr">
        <is>
          <t>Садовая ул, 42</t>
        </is>
      </c>
      <c r="C84" t="inlineStr">
        <is>
          <t>sale</t>
        </is>
      </c>
      <c r="D84" t="inlineStr">
        <is>
          <t>Да</t>
        </is>
      </c>
      <c r="E84" t="inlineStr"/>
      <c r="F84" t="inlineStr"/>
      <c r="G84" t="inlineStr">
        <is>
          <t>140.1</t>
        </is>
      </c>
      <c r="H84" t="inlineStr"/>
      <c r="I84" t="inlineStr"/>
      <c r="J84" t="inlineStr">
        <is>
          <t>3 000 000</t>
        </is>
      </c>
      <c r="K84" t="inlineStr"/>
      <c r="L84" t="inlineStr"/>
      <c r="M84" t="inlineStr">
        <is>
          <t>У нас аренда, у конкурента продажа</t>
        </is>
      </c>
      <c r="N84" t="inlineStr"/>
      <c r="O84" t="inlineStr"/>
      <c r="P84" t="inlineStr"/>
      <c r="Q84">
        <f>HYPERLINK("https://knru.ru/catalog/sadovaya-ul-42-536729766/","ссылка")</f>
        <v/>
      </c>
      <c r="R84" t="inlineStr"/>
      <c r="S84" t="inlineStr"/>
    </row>
    <row r="85">
      <c r="A85" t="inlineStr">
        <is>
          <t>Адмиралтейский</t>
        </is>
      </c>
      <c r="B85" t="inlineStr">
        <is>
          <t>Садовая, 77</t>
        </is>
      </c>
      <c r="C85" t="inlineStr">
        <is>
          <t>sale</t>
        </is>
      </c>
      <c r="D85" t="inlineStr">
        <is>
          <t>Да</t>
        </is>
      </c>
      <c r="E85" t="inlineStr"/>
      <c r="F85" t="inlineStr"/>
      <c r="G85" t="inlineStr">
        <is>
          <t>77</t>
        </is>
      </c>
      <c r="H85" t="inlineStr"/>
      <c r="I85" t="inlineStr"/>
      <c r="J85" t="inlineStr">
        <is>
          <t>21 590 000</t>
        </is>
      </c>
      <c r="K85" t="inlineStr"/>
      <c r="L85" t="inlineStr"/>
      <c r="M85" t="inlineStr">
        <is>
          <t>Совпало</t>
        </is>
      </c>
      <c r="N85" t="inlineStr"/>
      <c r="O85" t="inlineStr"/>
      <c r="P85" t="inlineStr"/>
      <c r="Q85">
        <f>HYPERLINK("https://knru.ru/catalog/sadovaya-ul-d-77/","ссылка")</f>
        <v/>
      </c>
      <c r="R85" t="inlineStr"/>
      <c r="S85" t="inlineStr"/>
    </row>
    <row r="86">
      <c r="A86" t="inlineStr">
        <is>
          <t>Адмиралтейский</t>
        </is>
      </c>
      <c r="B86" t="inlineStr">
        <is>
          <t>Серпуховская ул, 37 Б</t>
        </is>
      </c>
      <c r="C86" t="inlineStr">
        <is>
          <t>sale</t>
        </is>
      </c>
      <c r="D86" t="inlineStr">
        <is>
          <t>Да</t>
        </is>
      </c>
      <c r="E86" t="inlineStr"/>
      <c r="F86" t="inlineStr"/>
      <c r="G86" t="inlineStr">
        <is>
          <t>1322.6</t>
        </is>
      </c>
      <c r="H86" t="inlineStr"/>
      <c r="I86" t="inlineStr"/>
      <c r="J86" t="inlineStr">
        <is>
          <t>240 000 000</t>
        </is>
      </c>
      <c r="K86" t="inlineStr"/>
      <c r="L86" t="inlineStr"/>
      <c r="M86" t="inlineStr">
        <is>
          <t>Нет у нас</t>
        </is>
      </c>
      <c r="N86" t="inlineStr"/>
      <c r="O86" t="inlineStr"/>
      <c r="P86" t="inlineStr"/>
      <c r="Q86">
        <f>HYPERLINK("https://knru.ru/catalog/serpukhovskaya-ul-37-b/","ссылка")</f>
        <v/>
      </c>
      <c r="R86" t="inlineStr"/>
      <c r="S86" t="inlineStr"/>
    </row>
    <row r="87">
      <c r="A87" t="inlineStr">
        <is>
          <t>Адмиралтейский</t>
        </is>
      </c>
      <c r="B87" t="inlineStr">
        <is>
          <t>Серпуховская ул, 5</t>
        </is>
      </c>
      <c r="C87" t="inlineStr">
        <is>
          <t>sale</t>
        </is>
      </c>
      <c r="D87" t="inlineStr"/>
      <c r="E87" t="inlineStr">
        <is>
          <t>Да</t>
        </is>
      </c>
      <c r="F87" t="inlineStr"/>
      <c r="G87" t="inlineStr"/>
      <c r="H87" t="inlineStr">
        <is>
          <t>50.4</t>
        </is>
      </c>
      <c r="I87" t="inlineStr"/>
      <c r="J87" t="inlineStr"/>
      <c r="K87" t="inlineStr">
        <is>
          <t>14 750 000</t>
        </is>
      </c>
      <c r="L87" t="inlineStr"/>
      <c r="M87" t="inlineStr"/>
      <c r="N87" t="inlineStr">
        <is>
          <t>Нет у нас</t>
        </is>
      </c>
      <c r="O87" t="inlineStr"/>
      <c r="P87" t="inlineStr"/>
      <c r="Q87" t="inlineStr"/>
      <c r="R87">
        <f>HYPERLINK("https://nordwestinvest.ru/real-estates/prodaza-pomeshheniia-v-2-x-minutax-ot-metro-50m2","ссылка")</f>
        <v/>
      </c>
      <c r="S87" t="inlineStr"/>
    </row>
    <row r="88">
      <c r="A88" t="inlineStr">
        <is>
          <t>Адмиралтейский</t>
        </is>
      </c>
      <c r="B88" t="inlineStr">
        <is>
          <t>Сестрорецк г, Рыбацкая ул, 5 А</t>
        </is>
      </c>
      <c r="C88" t="inlineStr">
        <is>
          <t>sale</t>
        </is>
      </c>
      <c r="D88" t="inlineStr"/>
      <c r="E88" t="inlineStr">
        <is>
          <t>Да</t>
        </is>
      </c>
      <c r="F88" t="inlineStr"/>
      <c r="G88" t="inlineStr"/>
      <c r="H88" t="inlineStr">
        <is>
          <t>7777</t>
        </is>
      </c>
      <c r="I88" t="inlineStr"/>
      <c r="J88" t="inlineStr"/>
      <c r="K88" t="inlineStr">
        <is>
          <t>450 000 000</t>
        </is>
      </c>
      <c r="L88" t="inlineStr"/>
      <c r="M88" t="inlineStr"/>
      <c r="N88" t="inlineStr">
        <is>
          <t>По адресу есть, но площадь другая</t>
        </is>
      </c>
      <c r="O88" t="inlineStr"/>
      <c r="P88" t="inlineStr"/>
      <c r="Q88" t="inlineStr"/>
      <c r="R88">
        <f>HYPERLINK("https://nordwestinvest.ru/real-estates/prodaza-osz-7777-m2","ссылка")</f>
        <v/>
      </c>
      <c r="S88" t="inlineStr"/>
    </row>
    <row r="89">
      <c r="A89" t="inlineStr">
        <is>
          <t>Адмиралтейский</t>
        </is>
      </c>
      <c r="B89" t="inlineStr">
        <is>
          <t>Троицкий пр-кт, 20/36 А</t>
        </is>
      </c>
      <c r="C89" t="inlineStr">
        <is>
          <t>sale</t>
        </is>
      </c>
      <c r="D89" t="inlineStr">
        <is>
          <t>Да</t>
        </is>
      </c>
      <c r="E89" t="inlineStr"/>
      <c r="F89" t="inlineStr"/>
      <c r="G89" t="inlineStr">
        <is>
          <t>336</t>
        </is>
      </c>
      <c r="H89" t="inlineStr"/>
      <c r="I89" t="inlineStr"/>
      <c r="J89" t="inlineStr">
        <is>
          <t>105 000 000</t>
        </is>
      </c>
      <c r="K89" t="inlineStr"/>
      <c r="L89" t="inlineStr"/>
      <c r="M89" t="inlineStr">
        <is>
          <t>Нет у нас</t>
        </is>
      </c>
      <c r="N89" t="inlineStr"/>
      <c r="O89" t="inlineStr"/>
      <c r="P89" t="inlineStr"/>
      <c r="Q89">
        <f>HYPERLINK("https://knru.ru/catalog/troitskiy-pr-d-20-36/","ссылка")</f>
        <v/>
      </c>
      <c r="R89" t="inlineStr"/>
      <c r="S89" t="inlineStr"/>
    </row>
    <row r="90">
      <c r="A90" t="inlineStr">
        <is>
          <t>Адмиралтейский</t>
        </is>
      </c>
      <c r="B90" t="inlineStr">
        <is>
          <t>Шушары п, Отделение Бадаевское тер, 5 А</t>
        </is>
      </c>
      <c r="C90" t="inlineStr">
        <is>
          <t>sale</t>
        </is>
      </c>
      <c r="D90" t="inlineStr"/>
      <c r="E90" t="inlineStr">
        <is>
          <t>Да</t>
        </is>
      </c>
      <c r="F90" t="inlineStr"/>
      <c r="G90" t="inlineStr"/>
      <c r="H90" t="inlineStr">
        <is>
          <t>36885</t>
        </is>
      </c>
      <c r="I90" t="inlineStr"/>
      <c r="J90" t="inlineStr"/>
      <c r="K90" t="inlineStr">
        <is>
          <t>50 000 000</t>
        </is>
      </c>
      <c r="L90" t="inlineStr"/>
      <c r="M90" t="inlineStr"/>
      <c r="N90" t="inlineStr">
        <is>
          <t>По адресу есть, но площадь другая</t>
        </is>
      </c>
      <c r="O90" t="inlineStr"/>
      <c r="P90" t="inlineStr"/>
      <c r="Q90" t="inlineStr"/>
      <c r="R90">
        <f>HYPERLINK("https://nordwestinvest.ru/real-estates/prodaza-zu-ploshhadiu-36-885-m2","ссылка")</f>
        <v/>
      </c>
      <c r="S90" t="inlineStr"/>
    </row>
    <row r="91">
      <c r="A91" t="inlineStr">
        <is>
          <t>Адмиралтейский</t>
        </is>
      </c>
      <c r="B91" t="inlineStr">
        <is>
          <t>Энгельса пр-кт, 36 А</t>
        </is>
      </c>
      <c r="C91" t="inlineStr">
        <is>
          <t>sale</t>
        </is>
      </c>
      <c r="D91" t="inlineStr"/>
      <c r="E91" t="inlineStr">
        <is>
          <t>Да</t>
        </is>
      </c>
      <c r="F91" t="inlineStr"/>
      <c r="G91" t="inlineStr"/>
      <c r="H91" t="inlineStr">
        <is>
          <t>813.9</t>
        </is>
      </c>
      <c r="I91" t="inlineStr"/>
      <c r="J91" t="inlineStr"/>
      <c r="K91" t="inlineStr">
        <is>
          <t>36 000 000</t>
        </is>
      </c>
      <c r="L91" t="inlineStr"/>
      <c r="M91" t="inlineStr"/>
      <c r="N91" t="inlineStr">
        <is>
          <t>Нет у нас</t>
        </is>
      </c>
      <c r="O91" t="inlineStr"/>
      <c r="P91" t="inlineStr"/>
      <c r="Q91" t="inlineStr"/>
      <c r="R91">
        <f>HYPERLINK("https://nordwestinvest.ru/real-estates/zdanie-s-setevym-arendatorom-8139m-okup-10-let","ссылка")</f>
        <v/>
      </c>
      <c r="S91" t="inlineStr"/>
    </row>
    <row r="92">
      <c r="A92" t="inlineStr">
        <is>
          <t>Александровское</t>
        </is>
      </c>
      <c r="B92" t="inlineStr">
        <is>
          <t>Тихая ул, 12</t>
        </is>
      </c>
      <c r="C92" t="inlineStr">
        <is>
          <t>sale</t>
        </is>
      </c>
      <c r="D92" t="inlineStr"/>
      <c r="E92" t="inlineStr">
        <is>
          <t>Да</t>
        </is>
      </c>
      <c r="F92" t="inlineStr"/>
      <c r="G92" t="inlineStr"/>
      <c r="H92" t="inlineStr">
        <is>
          <t>1497</t>
        </is>
      </c>
      <c r="I92" t="inlineStr"/>
      <c r="J92" t="inlineStr"/>
      <c r="K92" t="inlineStr">
        <is>
          <t>330 000 000</t>
        </is>
      </c>
      <c r="L92" t="inlineStr"/>
      <c r="M92" t="inlineStr"/>
      <c r="N92" t="inlineStr">
        <is>
          <t>Совпало</t>
        </is>
      </c>
      <c r="O92" t="inlineStr"/>
      <c r="P92" t="inlineStr"/>
      <c r="Q92" t="inlineStr"/>
      <c r="R92">
        <f>HYPERLINK("https://nordwestinvest.ru/real-estates/prodaza-tk-v-2-x-minutax-ot-metro","ссылка")</f>
        <v/>
      </c>
      <c r="S92" t="inlineStr"/>
    </row>
    <row r="93">
      <c r="A93" t="inlineStr">
        <is>
          <t>Александровское</t>
        </is>
      </c>
      <c r="B93" t="inlineStr">
        <is>
          <t>Тихая ул, 7к5</t>
        </is>
      </c>
      <c r="C93" t="inlineStr">
        <is>
          <t>sale</t>
        </is>
      </c>
      <c r="D93" t="inlineStr">
        <is>
          <t>Да</t>
        </is>
      </c>
      <c r="E93" t="inlineStr"/>
      <c r="F93" t="inlineStr"/>
      <c r="G93" t="inlineStr">
        <is>
          <t>74.7</t>
        </is>
      </c>
      <c r="H93" t="inlineStr"/>
      <c r="I93" t="inlineStr"/>
      <c r="J93" t="inlineStr">
        <is>
          <t>29 065 800</t>
        </is>
      </c>
      <c r="K93" t="inlineStr"/>
      <c r="L93" t="inlineStr"/>
      <c r="M93" t="inlineStr">
        <is>
          <t>Нет у нас</t>
        </is>
      </c>
      <c r="N93" t="inlineStr"/>
      <c r="O93" t="inlineStr"/>
      <c r="P93" t="inlineStr"/>
      <c r="Q93">
        <f>HYPERLINK("https://knru.ru/catalog/p-bugry-ul-tixaya-d-7-k-3/","ссылка")</f>
        <v/>
      </c>
      <c r="R93" t="inlineStr"/>
      <c r="S93" t="inlineStr"/>
    </row>
    <row r="94">
      <c r="A94" t="inlineStr">
        <is>
          <t>Александровское</t>
        </is>
      </c>
      <c r="B94" t="inlineStr">
        <is>
          <t>Тихая ул, 7к5</t>
        </is>
      </c>
      <c r="C94" t="inlineStr">
        <is>
          <t>sale</t>
        </is>
      </c>
      <c r="D94" t="inlineStr">
        <is>
          <t>Да</t>
        </is>
      </c>
      <c r="E94" t="inlineStr"/>
      <c r="F94" t="inlineStr"/>
      <c r="G94" t="inlineStr">
        <is>
          <t>20.3</t>
        </is>
      </c>
      <c r="H94" t="inlineStr"/>
      <c r="I94" t="inlineStr"/>
      <c r="J94" t="inlineStr">
        <is>
          <t>9 450 000</t>
        </is>
      </c>
      <c r="K94" t="inlineStr"/>
      <c r="L94" t="inlineStr"/>
      <c r="M94" t="inlineStr">
        <is>
          <t>Нет у нас</t>
        </is>
      </c>
      <c r="N94" t="inlineStr"/>
      <c r="O94" t="inlineStr"/>
      <c r="P94" t="inlineStr"/>
      <c r="Q94">
        <f>HYPERLINK("https://knru.ru/catalog/p-bugry-ul-tixaya-d-7-k-5/","ссылка")</f>
        <v/>
      </c>
      <c r="R94" t="inlineStr"/>
      <c r="S94" t="inlineStr"/>
    </row>
    <row r="95">
      <c r="A95" t="inlineStr">
        <is>
          <t>Балканский округ</t>
        </is>
      </c>
      <c r="B95" t="inlineStr">
        <is>
          <t>Будапештская ул, 7к1 А</t>
        </is>
      </c>
      <c r="C95" t="inlineStr">
        <is>
          <t>sale</t>
        </is>
      </c>
      <c r="D95" t="inlineStr"/>
      <c r="E95" t="inlineStr">
        <is>
          <t>Да</t>
        </is>
      </c>
      <c r="F95" t="inlineStr"/>
      <c r="G95" t="inlineStr"/>
      <c r="H95" t="inlineStr">
        <is>
          <t>132.6</t>
        </is>
      </c>
      <c r="I95" t="inlineStr"/>
      <c r="J95" t="inlineStr"/>
      <c r="K95" t="inlineStr">
        <is>
          <t>32 000 000</t>
        </is>
      </c>
      <c r="L95" t="inlineStr"/>
      <c r="M95" t="inlineStr"/>
      <c r="N95" t="inlineStr">
        <is>
          <t>По адресу есть, но площадь другая</t>
        </is>
      </c>
      <c r="O95" t="inlineStr"/>
      <c r="P95" t="inlineStr"/>
      <c r="Q95" t="inlineStr"/>
      <c r="R95">
        <f>HYPERLINK("https://nordwestinvest.ru/real-estates/prodaza-psn-na-trafike-1326-m2","ссылка")</f>
        <v/>
      </c>
      <c r="S95" t="inlineStr"/>
    </row>
    <row r="96">
      <c r="A96" t="inlineStr">
        <is>
          <t>Балканский округ</t>
        </is>
      </c>
      <c r="B96" t="inlineStr">
        <is>
          <t>Купчинская ул, 1/5 А</t>
        </is>
      </c>
      <c r="C96" t="inlineStr">
        <is>
          <t>sale</t>
        </is>
      </c>
      <c r="D96" t="inlineStr"/>
      <c r="E96" t="inlineStr">
        <is>
          <t>Да</t>
        </is>
      </c>
      <c r="F96" t="inlineStr"/>
      <c r="G96" t="inlineStr"/>
      <c r="H96" t="inlineStr">
        <is>
          <t>2460</t>
        </is>
      </c>
      <c r="I96" t="inlineStr"/>
      <c r="J96" t="inlineStr"/>
      <c r="K96" t="inlineStr">
        <is>
          <t>650 000 000</t>
        </is>
      </c>
      <c r="L96" t="inlineStr"/>
      <c r="M96" t="inlineStr"/>
      <c r="N96" t="inlineStr">
        <is>
          <t>Нет у нас</t>
        </is>
      </c>
      <c r="O96" t="inlineStr"/>
      <c r="P96" t="inlineStr"/>
      <c r="Q96" t="inlineStr"/>
      <c r="R96">
        <f>HYPERLINK("https://nordwestinvest.ru/real-estates/prodaza-doxodnogo-zdaniia-s-iakornym-arendatorom","ссылка")</f>
        <v/>
      </c>
      <c r="S96" t="inlineStr"/>
    </row>
    <row r="97">
      <c r="A97" t="inlineStr">
        <is>
          <t>Ближняя Рогатка</t>
        </is>
      </c>
      <c r="B97" t="inlineStr">
        <is>
          <t>Заставская ул, 7</t>
        </is>
      </c>
      <c r="C97" t="inlineStr">
        <is>
          <t>sale</t>
        </is>
      </c>
      <c r="D97" t="inlineStr"/>
      <c r="E97" t="inlineStr">
        <is>
          <t>Да</t>
        </is>
      </c>
      <c r="F97" t="inlineStr"/>
      <c r="G97" t="inlineStr"/>
      <c r="H97" t="inlineStr">
        <is>
          <t>9230.6</t>
        </is>
      </c>
      <c r="I97" t="inlineStr"/>
      <c r="J97" t="inlineStr"/>
      <c r="K97" t="inlineStr">
        <is>
          <t>965 000 000</t>
        </is>
      </c>
      <c r="L97" t="inlineStr"/>
      <c r="M97" t="inlineStr"/>
      <c r="N97" t="inlineStr">
        <is>
          <t>По адресу есть, но площадь другая</t>
        </is>
      </c>
      <c r="O97" t="inlineStr"/>
      <c r="P97" t="inlineStr"/>
      <c r="Q97" t="inlineStr"/>
      <c r="R97">
        <f>HYPERLINK("https://nordwestinvest.ru/real-estates/prodaza-bc-s-arendatorami-s-nds","ссылка")</f>
        <v/>
      </c>
      <c r="S97" t="inlineStr"/>
    </row>
    <row r="98">
      <c r="A98" t="inlineStr">
        <is>
          <t>Ближняя Рогатка</t>
        </is>
      </c>
      <c r="B98" t="inlineStr">
        <is>
          <t>Парфёновская ул, -</t>
        </is>
      </c>
      <c r="C98" t="inlineStr">
        <is>
          <t>sale</t>
        </is>
      </c>
      <c r="D98" t="inlineStr"/>
      <c r="E98" t="inlineStr">
        <is>
          <t>Да</t>
        </is>
      </c>
      <c r="F98" t="inlineStr"/>
      <c r="G98" t="inlineStr"/>
      <c r="H98" t="inlineStr">
        <is>
          <t>7861</t>
        </is>
      </c>
      <c r="I98" t="inlineStr"/>
      <c r="J98" t="inlineStr"/>
      <c r="K98" t="inlineStr">
        <is>
          <t>700 000 000</t>
        </is>
      </c>
      <c r="L98" t="inlineStr"/>
      <c r="M98" t="inlineStr"/>
      <c r="N98" t="inlineStr">
        <is>
          <t>Нет у нас</t>
        </is>
      </c>
      <c r="O98" t="inlineStr"/>
      <c r="P98" t="inlineStr"/>
      <c r="Q98" t="inlineStr"/>
      <c r="R98">
        <f>HYPERLINK("https://nordwestinvest.ru/real-estates/zemelnyi-ucastok-pod-ziluiu-zastroiku","ссылка")</f>
        <v/>
      </c>
      <c r="S98" t="inlineStr"/>
    </row>
    <row r="99">
      <c r="A99" t="inlineStr">
        <is>
          <t>Ближняя Рогатка</t>
        </is>
      </c>
      <c r="B99" t="inlineStr">
        <is>
          <t>Рощинская ул, 2</t>
        </is>
      </c>
      <c r="C99" t="inlineStr">
        <is>
          <t>sale</t>
        </is>
      </c>
      <c r="D99" t="inlineStr">
        <is>
          <t>Да</t>
        </is>
      </c>
      <c r="E99" t="inlineStr"/>
      <c r="F99" t="inlineStr"/>
      <c r="G99" t="inlineStr">
        <is>
          <t>6376</t>
        </is>
      </c>
      <c r="H99" t="inlineStr"/>
      <c r="I99" t="inlineStr"/>
      <c r="J99" t="inlineStr">
        <is>
          <t>270 000 000</t>
        </is>
      </c>
      <c r="K99" t="inlineStr"/>
      <c r="L99" t="inlineStr"/>
      <c r="M99" t="inlineStr">
        <is>
          <t>По адресу есть, но площадь другая</t>
        </is>
      </c>
      <c r="N99" t="inlineStr"/>
      <c r="O99" t="inlineStr"/>
      <c r="P99" t="inlineStr"/>
      <c r="Q99">
        <f>HYPERLINK("https://knru.ru/catalog/roshchinskaya-ul-2/","ссылка")</f>
        <v/>
      </c>
      <c r="R99" t="inlineStr"/>
      <c r="S99" t="inlineStr"/>
    </row>
    <row r="100">
      <c r="A100" t="inlineStr">
        <is>
          <t>Большая Охта</t>
        </is>
      </c>
      <c r="B100" t="inlineStr">
        <is>
          <t>Большая Пороховская ул, 29</t>
        </is>
      </c>
      <c r="C100" t="inlineStr">
        <is>
          <t>sale</t>
        </is>
      </c>
      <c r="D100" t="inlineStr"/>
      <c r="E100" t="inlineStr">
        <is>
          <t>Да</t>
        </is>
      </c>
      <c r="F100" t="inlineStr"/>
      <c r="G100" t="inlineStr"/>
      <c r="H100" t="inlineStr">
        <is>
          <t>205.6</t>
        </is>
      </c>
      <c r="I100" t="inlineStr"/>
      <c r="J100" t="inlineStr"/>
      <c r="K100" t="inlineStr">
        <is>
          <t>39 900 000</t>
        </is>
      </c>
      <c r="L100" t="inlineStr"/>
      <c r="M100" t="inlineStr"/>
      <c r="N100" t="inlineStr">
        <is>
          <t>Совпало</t>
        </is>
      </c>
      <c r="O100" t="inlineStr"/>
      <c r="P100" t="inlineStr"/>
      <c r="Q100" t="inlineStr"/>
      <c r="R100">
        <f>HYPERLINK("https://nordwestinvest.ru/real-estates/pomeshhenie-s-magnitom-2056-m2-2","ссылка")</f>
        <v/>
      </c>
      <c r="S100" t="inlineStr"/>
    </row>
    <row r="101">
      <c r="A101" t="inlineStr">
        <is>
          <t>Большая Охта</t>
        </is>
      </c>
      <c r="B101" t="inlineStr">
        <is>
          <t>Большая Пороховская ул, 47</t>
        </is>
      </c>
      <c r="C101" t="inlineStr">
        <is>
          <t>sale</t>
        </is>
      </c>
      <c r="D101" t="inlineStr"/>
      <c r="E101" t="inlineStr">
        <is>
          <t>Да</t>
        </is>
      </c>
      <c r="F101" t="inlineStr"/>
      <c r="G101" t="inlineStr"/>
      <c r="H101" t="inlineStr">
        <is>
          <t>956.3</t>
        </is>
      </c>
      <c r="I101" t="inlineStr"/>
      <c r="J101" t="inlineStr"/>
      <c r="K101" t="inlineStr">
        <is>
          <t>160 000 000</t>
        </is>
      </c>
      <c r="L101" t="inlineStr"/>
      <c r="M101" t="inlineStr"/>
      <c r="N101" t="inlineStr">
        <is>
          <t>Нет у нас</t>
        </is>
      </c>
      <c r="O101" t="inlineStr"/>
      <c r="P101" t="inlineStr"/>
      <c r="Q101" t="inlineStr"/>
      <c r="R101">
        <f>HYPERLINK("https://nordwestinvest.ru/real-estates/prodaza-pomeshhenii-s-gab","ссылка")</f>
        <v/>
      </c>
      <c r="S101" t="inlineStr"/>
    </row>
    <row r="102">
      <c r="A102" t="inlineStr">
        <is>
          <t>Большая Охта</t>
        </is>
      </c>
      <c r="B102" t="inlineStr">
        <is>
          <t>Большая Пороховская ул, 47</t>
        </is>
      </c>
      <c r="C102" t="inlineStr">
        <is>
          <t>sale</t>
        </is>
      </c>
      <c r="D102" t="inlineStr"/>
      <c r="E102" t="inlineStr">
        <is>
          <t>Да</t>
        </is>
      </c>
      <c r="F102" t="inlineStr"/>
      <c r="G102" t="inlineStr"/>
      <c r="H102" t="inlineStr">
        <is>
          <t>524</t>
        </is>
      </c>
      <c r="I102" t="inlineStr"/>
      <c r="J102" t="inlineStr"/>
      <c r="K102" t="inlineStr">
        <is>
          <t>33 000 000</t>
        </is>
      </c>
      <c r="L102" t="inlineStr"/>
      <c r="M102" t="inlineStr"/>
      <c r="N102" t="inlineStr">
        <is>
          <t>Нет у нас</t>
        </is>
      </c>
      <c r="O102" t="inlineStr"/>
      <c r="P102" t="inlineStr"/>
      <c r="Q102" t="inlineStr"/>
      <c r="R102">
        <f>HYPERLINK("https://nordwestinvest.ru/real-estates/prodaza-pomeshheniia-s-arendatorom-524-m2","ссылка")</f>
        <v/>
      </c>
      <c r="S102" t="inlineStr"/>
    </row>
    <row r="103">
      <c r="A103" t="inlineStr">
        <is>
          <t>Бугры</t>
        </is>
      </c>
      <c r="B103" t="inlineStr">
        <is>
          <t>25-й км, 14А</t>
        </is>
      </c>
      <c r="C103" t="inlineStr">
        <is>
          <t>sale</t>
        </is>
      </c>
      <c r="D103" t="inlineStr">
        <is>
          <t>Да</t>
        </is>
      </c>
      <c r="E103" t="inlineStr"/>
      <c r="F103" t="inlineStr"/>
      <c r="G103" t="inlineStr">
        <is>
          <t>2300</t>
        </is>
      </c>
      <c r="H103" t="inlineStr"/>
      <c r="I103" t="inlineStr"/>
      <c r="J103" t="inlineStr">
        <is>
          <t>49 000 000</t>
        </is>
      </c>
      <c r="K103" t="inlineStr"/>
      <c r="L103" t="inlineStr"/>
      <c r="M103" t="inlineStr">
        <is>
          <t>Нет у нас</t>
        </is>
      </c>
      <c r="N103" t="inlineStr"/>
      <c r="O103" t="inlineStr"/>
      <c r="P103" t="inlineStr"/>
      <c r="Q103">
        <f>HYPERLINK("https://knru.ru/catalog/bugry-len-obl-vsevolozhskiy-r-n-u-peresecheniya-pr-engelsa-i-kad-naprotiv-tts-mega-parnas-vnutrennya/","ссылка")</f>
        <v/>
      </c>
      <c r="R103" t="inlineStr"/>
      <c r="S103" t="inlineStr"/>
    </row>
    <row r="104">
      <c r="A104" t="inlineStr">
        <is>
          <t>Василеостровский</t>
        </is>
      </c>
      <c r="B104" t="inlineStr">
        <is>
          <t>1-я В.О. линия, 32литераБ</t>
        </is>
      </c>
      <c r="C104" t="inlineStr">
        <is>
          <t>sale</t>
        </is>
      </c>
      <c r="D104" t="inlineStr">
        <is>
          <t>Да</t>
        </is>
      </c>
      <c r="E104" t="inlineStr"/>
      <c r="F104" t="inlineStr"/>
      <c r="G104" t="inlineStr">
        <is>
          <t>720</t>
        </is>
      </c>
      <c r="H104" t="inlineStr"/>
      <c r="I104" t="inlineStr"/>
      <c r="J104" t="inlineStr">
        <is>
          <t>145 000 000</t>
        </is>
      </c>
      <c r="K104" t="inlineStr"/>
      <c r="L104" t="inlineStr"/>
      <c r="M104" t="inlineStr">
        <is>
          <t>Нет у нас</t>
        </is>
      </c>
      <c r="N104" t="inlineStr"/>
      <c r="O104" t="inlineStr"/>
      <c r="P104" t="inlineStr"/>
      <c r="Q104">
        <f>HYPERLINK("https://knru.ru/catalog/1-ya-liniya-v-o-d-34/","ссылка")</f>
        <v/>
      </c>
      <c r="R104" t="inlineStr"/>
      <c r="S104" t="inlineStr"/>
    </row>
    <row r="105">
      <c r="A105" t="inlineStr">
        <is>
          <t>Василеостровский</t>
        </is>
      </c>
      <c r="B105" t="inlineStr">
        <is>
          <t>10-11-я линии В.О., 58</t>
        </is>
      </c>
      <c r="C105" t="inlineStr">
        <is>
          <t>sale</t>
        </is>
      </c>
      <c r="D105" t="inlineStr">
        <is>
          <t>Да</t>
        </is>
      </c>
      <c r="E105" t="inlineStr"/>
      <c r="F105" t="inlineStr"/>
      <c r="G105" t="inlineStr">
        <is>
          <t>117</t>
        </is>
      </c>
      <c r="H105" t="inlineStr"/>
      <c r="I105" t="inlineStr"/>
      <c r="J105" t="inlineStr">
        <is>
          <t>34 070 400</t>
        </is>
      </c>
      <c r="K105" t="inlineStr"/>
      <c r="L105" t="inlineStr"/>
      <c r="M105" t="inlineStr">
        <is>
          <t>Нет у нас</t>
        </is>
      </c>
      <c r="N105" t="inlineStr"/>
      <c r="O105" t="inlineStr"/>
      <c r="P105" t="inlineStr"/>
      <c r="Q105">
        <f>HYPERLINK("https://knru.ru/catalog/11-ya-liniya-vasilevskogo-ostrova-d-56-669473094/","ссылка")</f>
        <v/>
      </c>
      <c r="R105" t="inlineStr"/>
      <c r="S105" t="inlineStr"/>
    </row>
    <row r="106">
      <c r="A106" t="inlineStr">
        <is>
          <t>Василеостровский</t>
        </is>
      </c>
      <c r="B106" t="inlineStr">
        <is>
          <t>10-11-я линии В.О., 58</t>
        </is>
      </c>
      <c r="C106" t="inlineStr">
        <is>
          <t>sale</t>
        </is>
      </c>
      <c r="D106" t="inlineStr">
        <is>
          <t>Да</t>
        </is>
      </c>
      <c r="E106" t="inlineStr"/>
      <c r="F106" t="inlineStr"/>
      <c r="G106" t="inlineStr">
        <is>
          <t>77</t>
        </is>
      </c>
      <c r="H106" t="inlineStr"/>
      <c r="I106" t="inlineStr"/>
      <c r="J106" t="inlineStr">
        <is>
          <t>22 509 760</t>
        </is>
      </c>
      <c r="K106" t="inlineStr"/>
      <c r="L106" t="inlineStr"/>
      <c r="M106" t="inlineStr">
        <is>
          <t>Нет у нас</t>
        </is>
      </c>
      <c r="N106" t="inlineStr"/>
      <c r="O106" t="inlineStr"/>
      <c r="P106" t="inlineStr"/>
      <c r="Q106">
        <f>HYPERLINK("https://knru.ru/catalog/11-ya-liniya-vasilevskogo-ostrova-d-56/","ссылка")</f>
        <v/>
      </c>
      <c r="R106" t="inlineStr"/>
      <c r="S106" t="inlineStr"/>
    </row>
    <row r="107">
      <c r="A107" t="inlineStr">
        <is>
          <t>Василеостровский</t>
        </is>
      </c>
      <c r="B107" t="inlineStr">
        <is>
          <t>11-я В.О. линия, 56стр1</t>
        </is>
      </c>
      <c r="C107" t="inlineStr">
        <is>
          <t>sale</t>
        </is>
      </c>
      <c r="D107" t="inlineStr">
        <is>
          <t>Да</t>
        </is>
      </c>
      <c r="E107" t="inlineStr"/>
      <c r="F107" t="inlineStr"/>
      <c r="G107" t="inlineStr">
        <is>
          <t>98</t>
        </is>
      </c>
      <c r="H107" t="inlineStr"/>
      <c r="I107" t="inlineStr"/>
      <c r="J107" t="inlineStr">
        <is>
          <t>34 900 000</t>
        </is>
      </c>
      <c r="K107" t="inlineStr"/>
      <c r="L107" t="inlineStr"/>
      <c r="M107" t="inlineStr">
        <is>
          <t>Нет у нас</t>
        </is>
      </c>
      <c r="N107" t="inlineStr"/>
      <c r="O107" t="inlineStr"/>
      <c r="P107" t="inlineStr"/>
      <c r="Q107">
        <f>HYPERLINK("https://knru.ru/catalog/11-ya-liniya-vasilevskogo-ostrova-d-56-967835409/","ссылка")</f>
        <v/>
      </c>
      <c r="R107" t="inlineStr"/>
      <c r="S107" t="inlineStr"/>
    </row>
    <row r="108">
      <c r="A108" t="inlineStr">
        <is>
          <t>Василеостровский</t>
        </is>
      </c>
      <c r="B108" t="inlineStr">
        <is>
          <t>12-я В.О. линия, 41-43</t>
        </is>
      </c>
      <c r="C108" t="inlineStr">
        <is>
          <t>sale</t>
        </is>
      </c>
      <c r="D108" t="inlineStr">
        <is>
          <t>Да</t>
        </is>
      </c>
      <c r="E108" t="inlineStr"/>
      <c r="F108" t="inlineStr"/>
      <c r="G108" t="inlineStr">
        <is>
          <t>227.7</t>
        </is>
      </c>
      <c r="H108" t="inlineStr"/>
      <c r="I108" t="inlineStr"/>
      <c r="J108" t="inlineStr">
        <is>
          <t>86 000 000</t>
        </is>
      </c>
      <c r="K108" t="inlineStr"/>
      <c r="L108" t="inlineStr"/>
      <c r="M108" t="inlineStr">
        <is>
          <t>Нет у нас</t>
        </is>
      </c>
      <c r="N108" t="inlineStr"/>
      <c r="O108" t="inlineStr"/>
      <c r="P108" t="inlineStr"/>
      <c r="Q108">
        <f>HYPERLINK("https://knru.ru/catalog/12-ya-liniya-v-o-d-41-43-1671835473/","ссылка")</f>
        <v/>
      </c>
      <c r="R108" t="inlineStr"/>
      <c r="S108" t="inlineStr"/>
    </row>
    <row r="109">
      <c r="A109" t="inlineStr">
        <is>
          <t>Василеостровский</t>
        </is>
      </c>
      <c r="B109" t="inlineStr">
        <is>
          <t>12-я В.О. линия, 41-43</t>
        </is>
      </c>
      <c r="C109" t="inlineStr">
        <is>
          <t>sale</t>
        </is>
      </c>
      <c r="D109" t="inlineStr">
        <is>
          <t>Да</t>
        </is>
      </c>
      <c r="E109" t="inlineStr"/>
      <c r="F109" t="inlineStr"/>
      <c r="G109" t="inlineStr">
        <is>
          <t>95.8</t>
        </is>
      </c>
      <c r="H109" t="inlineStr"/>
      <c r="I109" t="inlineStr"/>
      <c r="J109" t="inlineStr">
        <is>
          <t>32 845 000</t>
        </is>
      </c>
      <c r="K109" t="inlineStr"/>
      <c r="L109" t="inlineStr"/>
      <c r="M109" t="inlineStr">
        <is>
          <t>Нет у нас</t>
        </is>
      </c>
      <c r="N109" t="inlineStr"/>
      <c r="O109" t="inlineStr"/>
      <c r="P109" t="inlineStr"/>
      <c r="Q109">
        <f>HYPERLINK("https://knru.ru/catalog/12-ya-liniya-v-o-d-41-43-298371952/","ссылка")</f>
        <v/>
      </c>
      <c r="R109" t="inlineStr"/>
      <c r="S109" t="inlineStr"/>
    </row>
    <row r="110">
      <c r="A110" t="inlineStr">
        <is>
          <t>Василеостровский</t>
        </is>
      </c>
      <c r="B110" t="inlineStr">
        <is>
          <t>12-я В.О. линия, 41-43</t>
        </is>
      </c>
      <c r="C110" t="inlineStr">
        <is>
          <t>sale</t>
        </is>
      </c>
      <c r="D110" t="inlineStr">
        <is>
          <t>Да</t>
        </is>
      </c>
      <c r="E110" t="inlineStr"/>
      <c r="F110" t="inlineStr"/>
      <c r="G110" t="inlineStr">
        <is>
          <t>261.3</t>
        </is>
      </c>
      <c r="H110" t="inlineStr"/>
      <c r="I110" t="inlineStr"/>
      <c r="J110" t="inlineStr">
        <is>
          <t>102 146 798</t>
        </is>
      </c>
      <c r="K110" t="inlineStr"/>
      <c r="L110" t="inlineStr"/>
      <c r="M110" t="inlineStr">
        <is>
          <t>Нет у нас</t>
        </is>
      </c>
      <c r="N110" t="inlineStr"/>
      <c r="O110" t="inlineStr"/>
      <c r="P110" t="inlineStr"/>
      <c r="Q110">
        <f>HYPERLINK("https://knru.ru/catalog/12-ya-liniya-v-o-d-41-43/","ссылка")</f>
        <v/>
      </c>
      <c r="R110" t="inlineStr"/>
      <c r="S110" t="inlineStr"/>
    </row>
    <row r="111">
      <c r="A111" t="inlineStr">
        <is>
          <t>Василеостровский</t>
        </is>
      </c>
      <c r="B111" t="inlineStr">
        <is>
          <t>12-я В.О. линия, 41к1 Ж</t>
        </is>
      </c>
      <c r="C111" t="inlineStr">
        <is>
          <t>sale</t>
        </is>
      </c>
      <c r="D111" t="inlineStr">
        <is>
          <t>Да</t>
        </is>
      </c>
      <c r="E111" t="inlineStr"/>
      <c r="F111" t="inlineStr"/>
      <c r="G111" t="inlineStr">
        <is>
          <t>413</t>
        </is>
      </c>
      <c r="H111" t="inlineStr"/>
      <c r="I111" t="inlineStr"/>
      <c r="J111" t="inlineStr">
        <is>
          <t>144 550 000</t>
        </is>
      </c>
      <c r="K111" t="inlineStr"/>
      <c r="L111" t="inlineStr"/>
      <c r="M111" t="inlineStr">
        <is>
          <t>Нет у нас</t>
        </is>
      </c>
      <c r="N111" t="inlineStr"/>
      <c r="O111" t="inlineStr"/>
      <c r="P111" t="inlineStr"/>
      <c r="Q111">
        <f>HYPERLINK("https://knru.ru/catalog/12-ya-liniya-v-o-d-41-k-1/","ссылка")</f>
        <v/>
      </c>
      <c r="R111" t="inlineStr"/>
      <c r="S111" t="inlineStr"/>
    </row>
    <row r="112">
      <c r="A112" t="inlineStr">
        <is>
          <t>Василеостровский</t>
        </is>
      </c>
      <c r="B112" t="inlineStr">
        <is>
          <t>12-я В.О. линия, 41к2</t>
        </is>
      </c>
      <c r="C112" t="inlineStr">
        <is>
          <t>sale</t>
        </is>
      </c>
      <c r="D112" t="inlineStr"/>
      <c r="E112" t="inlineStr">
        <is>
          <t>Да</t>
        </is>
      </c>
      <c r="F112" t="inlineStr"/>
      <c r="G112" t="inlineStr"/>
      <c r="H112" t="inlineStr">
        <is>
          <t>133.3</t>
        </is>
      </c>
      <c r="I112" t="inlineStr"/>
      <c r="J112" t="inlineStr"/>
      <c r="K112" t="inlineStr">
        <is>
          <t>55 500 000</t>
        </is>
      </c>
      <c r="L112" t="inlineStr"/>
      <c r="M112" t="inlineStr"/>
      <c r="N112" t="inlineStr">
        <is>
          <t>Нет у нас</t>
        </is>
      </c>
      <c r="O112" t="inlineStr"/>
      <c r="P112" t="inlineStr"/>
      <c r="Q112" t="inlineStr"/>
      <c r="R112">
        <f>HYPERLINK("https://nordwestinvest.ru/real-estates/pomeshhenie-v-osobniake-bremme-1333m","ссылка")</f>
        <v/>
      </c>
      <c r="S112" t="inlineStr"/>
    </row>
    <row r="113">
      <c r="A113" t="inlineStr">
        <is>
          <t>Василеостровский</t>
        </is>
      </c>
      <c r="B113" t="inlineStr">
        <is>
          <t>13-я В.О. линия, 50</t>
        </is>
      </c>
      <c r="C113" t="inlineStr">
        <is>
          <t>sale</t>
        </is>
      </c>
      <c r="D113" t="inlineStr">
        <is>
          <t>Да</t>
        </is>
      </c>
      <c r="E113" t="inlineStr"/>
      <c r="F113" t="inlineStr"/>
      <c r="G113" t="inlineStr">
        <is>
          <t>1000</t>
        </is>
      </c>
      <c r="H113" t="inlineStr"/>
      <c r="I113" t="inlineStr"/>
      <c r="J113" t="inlineStr">
        <is>
          <t>482 196 523</t>
        </is>
      </c>
      <c r="K113" t="inlineStr"/>
      <c r="L113" t="inlineStr"/>
      <c r="M113" t="inlineStr">
        <is>
          <t>Нет у нас</t>
        </is>
      </c>
      <c r="N113" t="inlineStr"/>
      <c r="O113" t="inlineStr"/>
      <c r="P113" t="inlineStr"/>
      <c r="Q113">
        <f>HYPERLINK("https://knru.ru/catalog/13-ya-v-o-liniya-50/","ссылка")</f>
        <v/>
      </c>
      <c r="R113" t="inlineStr"/>
      <c r="S113" t="inlineStr"/>
    </row>
    <row r="114">
      <c r="A114" t="inlineStr">
        <is>
          <t>Василеостровский</t>
        </is>
      </c>
      <c r="B114" t="inlineStr">
        <is>
          <t>17-я В.О. линия, 46</t>
        </is>
      </c>
      <c r="C114" t="inlineStr">
        <is>
          <t>sale</t>
        </is>
      </c>
      <c r="D114" t="inlineStr"/>
      <c r="E114" t="inlineStr">
        <is>
          <t>Да</t>
        </is>
      </c>
      <c r="F114" t="inlineStr"/>
      <c r="G114" t="inlineStr"/>
      <c r="H114" t="inlineStr">
        <is>
          <t>557.8</t>
        </is>
      </c>
      <c r="I114" t="inlineStr"/>
      <c r="J114" t="inlineStr"/>
      <c r="K114" t="inlineStr">
        <is>
          <t>122 000 000</t>
        </is>
      </c>
      <c r="L114" t="inlineStr"/>
      <c r="M114" t="inlineStr"/>
      <c r="N114" t="inlineStr">
        <is>
          <t>Нет у нас</t>
        </is>
      </c>
      <c r="O114" t="inlineStr"/>
      <c r="P114" t="inlineStr"/>
      <c r="Q114" t="inlineStr"/>
      <c r="R114">
        <f>HYPERLINK("https://nordwestinvest.ru/real-estates/gostinica-na-vasilevskom-ostrove","ссылка")</f>
        <v/>
      </c>
      <c r="S114" t="inlineStr"/>
    </row>
    <row r="115">
      <c r="A115" t="inlineStr">
        <is>
          <t>Василеостровский</t>
        </is>
      </c>
      <c r="B115" t="inlineStr">
        <is>
          <t>17-я В.О. линия, 52</t>
        </is>
      </c>
      <c r="C115" t="inlineStr">
        <is>
          <t>sale</t>
        </is>
      </c>
      <c r="D115" t="inlineStr">
        <is>
          <t>Да</t>
        </is>
      </c>
      <c r="E115" t="inlineStr"/>
      <c r="F115" t="inlineStr"/>
      <c r="G115" t="inlineStr">
        <is>
          <t>246.2</t>
        </is>
      </c>
      <c r="H115" t="inlineStr"/>
      <c r="I115" t="inlineStr"/>
      <c r="J115" t="inlineStr">
        <is>
          <t>130 000 000</t>
        </is>
      </c>
      <c r="K115" t="inlineStr"/>
      <c r="L115" t="inlineStr"/>
      <c r="M115" t="inlineStr">
        <is>
          <t>Нет у нас</t>
        </is>
      </c>
      <c r="N115" t="inlineStr"/>
      <c r="O115" t="inlineStr"/>
      <c r="P115" t="inlineStr"/>
      <c r="Q115">
        <f>HYPERLINK("https://knru.ru/catalog/17-ya-liniya-vasilevskogo-ostrova-d-52-k-1/","ссылка")</f>
        <v/>
      </c>
      <c r="R115" t="inlineStr"/>
      <c r="S115" t="inlineStr"/>
    </row>
    <row r="116">
      <c r="A116" t="inlineStr">
        <is>
          <t>Василеостровский</t>
        </is>
      </c>
      <c r="B116" t="inlineStr">
        <is>
          <t>17-я В.О. линия, 52к1</t>
        </is>
      </c>
      <c r="C116" t="inlineStr">
        <is>
          <t>sale</t>
        </is>
      </c>
      <c r="D116" t="inlineStr">
        <is>
          <t>Да</t>
        </is>
      </c>
      <c r="E116" t="inlineStr"/>
      <c r="F116" t="inlineStr"/>
      <c r="G116" t="inlineStr">
        <is>
          <t>271</t>
        </is>
      </c>
      <c r="H116" t="inlineStr"/>
      <c r="I116" t="inlineStr"/>
      <c r="J116" t="inlineStr">
        <is>
          <t>130 000 000</t>
        </is>
      </c>
      <c r="K116" t="inlineStr"/>
      <c r="L116" t="inlineStr"/>
      <c r="M116" t="inlineStr">
        <is>
          <t>Нет у нас</t>
        </is>
      </c>
      <c r="N116" t="inlineStr"/>
      <c r="O116" t="inlineStr"/>
      <c r="P116" t="inlineStr"/>
      <c r="Q116">
        <f>HYPERLINK("https://knru.ru/catalog/17-ya-liniya-v-o-k-1/","ссылка")</f>
        <v/>
      </c>
      <c r="R116" t="inlineStr"/>
      <c r="S116" t="inlineStr"/>
    </row>
    <row r="117">
      <c r="A117" t="inlineStr">
        <is>
          <t>Василеостровский</t>
        </is>
      </c>
      <c r="B117" t="inlineStr">
        <is>
          <t>4-я В.О. линия, 19</t>
        </is>
      </c>
      <c r="C117" t="inlineStr">
        <is>
          <t>sale</t>
        </is>
      </c>
      <c r="D117" t="inlineStr">
        <is>
          <t>Да</t>
        </is>
      </c>
      <c r="E117" t="inlineStr"/>
      <c r="F117" t="inlineStr"/>
      <c r="G117" t="inlineStr">
        <is>
          <t>229</t>
        </is>
      </c>
      <c r="H117" t="inlineStr"/>
      <c r="I117" t="inlineStr"/>
      <c r="J117" t="inlineStr">
        <is>
          <t>30 000 000</t>
        </is>
      </c>
      <c r="K117" t="inlineStr"/>
      <c r="L117" t="inlineStr"/>
      <c r="M117" t="inlineStr">
        <is>
          <t>Совпало</t>
        </is>
      </c>
      <c r="N117" t="inlineStr"/>
      <c r="O117" t="inlineStr"/>
      <c r="P117" t="inlineStr"/>
      <c r="Q117">
        <f>HYPERLINK("https://knru.ru/catalog/4-ya-liniya-v-o-d-19/","ссылка")</f>
        <v/>
      </c>
      <c r="R117" t="inlineStr"/>
      <c r="S117" t="inlineStr"/>
    </row>
    <row r="118">
      <c r="A118" t="inlineStr">
        <is>
          <t>Василеостровский</t>
        </is>
      </c>
      <c r="B118" t="inlineStr">
        <is>
          <t>8-я линия Васильевского острова, 16 А</t>
        </is>
      </c>
      <c r="C118" t="inlineStr">
        <is>
          <t>sale</t>
        </is>
      </c>
      <c r="D118" t="inlineStr">
        <is>
          <t>Да</t>
        </is>
      </c>
      <c r="E118" t="inlineStr"/>
      <c r="F118" t="inlineStr"/>
      <c r="G118" t="inlineStr">
        <is>
          <t>166</t>
        </is>
      </c>
      <c r="H118" t="inlineStr"/>
      <c r="I118" t="inlineStr"/>
      <c r="J118" t="inlineStr">
        <is>
          <t>39 000 000</t>
        </is>
      </c>
      <c r="K118" t="inlineStr"/>
      <c r="L118" t="inlineStr"/>
      <c r="M118" t="inlineStr">
        <is>
          <t>По адресу есть, но площадь другая</t>
        </is>
      </c>
      <c r="N118" t="inlineStr"/>
      <c r="O118" t="inlineStr"/>
      <c r="P118" t="inlineStr"/>
      <c r="Q118">
        <f>HYPERLINK("https://knru.ru/catalog/9-ya-liniya-d-16/","ссылка")</f>
        <v/>
      </c>
      <c r="R118" t="inlineStr"/>
      <c r="S118" t="inlineStr"/>
    </row>
    <row r="119">
      <c r="A119" t="inlineStr">
        <is>
          <t>Василеостровский</t>
        </is>
      </c>
      <c r="B119" t="inlineStr">
        <is>
          <t>9-я В.О. линия, 32</t>
        </is>
      </c>
      <c r="C119" t="inlineStr">
        <is>
          <t>sale</t>
        </is>
      </c>
      <c r="D119" t="inlineStr">
        <is>
          <t>Да</t>
        </is>
      </c>
      <c r="E119" t="inlineStr"/>
      <c r="F119" t="inlineStr"/>
      <c r="G119" t="inlineStr">
        <is>
          <t>190</t>
        </is>
      </c>
      <c r="H119" t="inlineStr"/>
      <c r="I119" t="inlineStr"/>
      <c r="J119" t="inlineStr">
        <is>
          <t>95 000 000</t>
        </is>
      </c>
      <c r="K119" t="inlineStr"/>
      <c r="L119" t="inlineStr"/>
      <c r="M119" t="inlineStr">
        <is>
          <t>Нет у нас</t>
        </is>
      </c>
      <c r="N119" t="inlineStr"/>
      <c r="O119" t="inlineStr"/>
      <c r="P119" t="inlineStr"/>
      <c r="Q119">
        <f>HYPERLINK("https://knru.ru/catalog/9-ya-v-o-liniya-32-1718420734/","ссылка")</f>
        <v/>
      </c>
      <c r="R119" t="inlineStr"/>
      <c r="S119" t="inlineStr"/>
    </row>
    <row r="120">
      <c r="A120" t="inlineStr">
        <is>
          <t>Василеостровский</t>
        </is>
      </c>
      <c r="B120" t="inlineStr">
        <is>
          <t>Александра Грина б-р, 3</t>
        </is>
      </c>
      <c r="C120" t="inlineStr">
        <is>
          <t>sale</t>
        </is>
      </c>
      <c r="D120" t="inlineStr">
        <is>
          <t>Да</t>
        </is>
      </c>
      <c r="E120" t="inlineStr"/>
      <c r="F120" t="inlineStr"/>
      <c r="G120" t="inlineStr">
        <is>
          <t>23</t>
        </is>
      </c>
      <c r="H120" t="inlineStr"/>
      <c r="I120" t="inlineStr"/>
      <c r="J120" t="inlineStr">
        <is>
          <t>18 920 000</t>
        </is>
      </c>
      <c r="K120" t="inlineStr"/>
      <c r="L120" t="inlineStr"/>
      <c r="M120" t="inlineStr">
        <is>
          <t>Нет у нас</t>
        </is>
      </c>
      <c r="N120" t="inlineStr"/>
      <c r="O120" t="inlineStr"/>
      <c r="P120" t="inlineStr"/>
      <c r="Q120">
        <f>HYPERLINK("https://knru.ru/catalog/aleksandra-grina-b-r-3/","ссылка")</f>
        <v/>
      </c>
      <c r="R120" t="inlineStr"/>
      <c r="S120" t="inlineStr"/>
    </row>
    <row r="121">
      <c r="A121" t="inlineStr">
        <is>
          <t>Василеостровский</t>
        </is>
      </c>
      <c r="B121" t="inlineStr">
        <is>
          <t>Большой В.О. пр-кт, 53/10 А</t>
        </is>
      </c>
      <c r="C121" t="inlineStr">
        <is>
          <t>sale</t>
        </is>
      </c>
      <c r="D121" t="inlineStr">
        <is>
          <t>Да</t>
        </is>
      </c>
      <c r="E121" t="inlineStr"/>
      <c r="F121" t="inlineStr"/>
      <c r="G121" t="inlineStr">
        <is>
          <t>244</t>
        </is>
      </c>
      <c r="H121" t="inlineStr"/>
      <c r="I121" t="inlineStr"/>
      <c r="J121" t="inlineStr">
        <is>
          <t>87 000 000</t>
        </is>
      </c>
      <c r="K121" t="inlineStr"/>
      <c r="L121" t="inlineStr"/>
      <c r="M121" t="inlineStr">
        <is>
          <t>Нет у нас</t>
        </is>
      </c>
      <c r="N121" t="inlineStr"/>
      <c r="O121" t="inlineStr"/>
      <c r="P121" t="inlineStr"/>
      <c r="Q121">
        <f>HYPERLINK("https://knru.ru/catalog/bolshoj-pr-t-vasilevskogo-ostrova-53-10/","ссылка")</f>
        <v/>
      </c>
      <c r="R121" t="inlineStr"/>
      <c r="S121" t="inlineStr"/>
    </row>
    <row r="122">
      <c r="A122" t="inlineStr">
        <is>
          <t>Василеостровский</t>
        </is>
      </c>
      <c r="B122" t="inlineStr">
        <is>
          <t>Большой В.О. пр-кт, 67 А</t>
        </is>
      </c>
      <c r="C122" t="inlineStr">
        <is>
          <t>sale</t>
        </is>
      </c>
      <c r="D122" t="inlineStr">
        <is>
          <t>Да</t>
        </is>
      </c>
      <c r="E122" t="inlineStr"/>
      <c r="F122" t="inlineStr"/>
      <c r="G122" t="inlineStr">
        <is>
          <t>102.7</t>
        </is>
      </c>
      <c r="H122" t="inlineStr"/>
      <c r="I122" t="inlineStr"/>
      <c r="J122" t="inlineStr">
        <is>
          <t>39 029 800</t>
        </is>
      </c>
      <c r="K122" t="inlineStr"/>
      <c r="L122" t="inlineStr"/>
      <c r="M122" t="inlineStr">
        <is>
          <t>Нет у нас</t>
        </is>
      </c>
      <c r="N122" t="inlineStr"/>
      <c r="O122" t="inlineStr"/>
      <c r="P122" t="inlineStr"/>
      <c r="Q122">
        <f>HYPERLINK("https://knru.ru/catalog/bolshoj-pr-t-vasilevskogo-ostrova-d-67/","ссылка")</f>
        <v/>
      </c>
      <c r="R122" t="inlineStr"/>
      <c r="S122" t="inlineStr"/>
    </row>
    <row r="123">
      <c r="A123" t="inlineStr">
        <is>
          <t>Василеостровский</t>
        </is>
      </c>
      <c r="B123" t="inlineStr">
        <is>
          <t>Большой В.О. пр-кт, 78</t>
        </is>
      </c>
      <c r="C123" t="inlineStr">
        <is>
          <t>sale</t>
        </is>
      </c>
      <c r="D123" t="inlineStr">
        <is>
          <t>Да</t>
        </is>
      </c>
      <c r="E123" t="inlineStr"/>
      <c r="F123" t="inlineStr"/>
      <c r="G123" t="inlineStr">
        <is>
          <t>1563</t>
        </is>
      </c>
      <c r="H123" t="inlineStr"/>
      <c r="I123" t="inlineStr"/>
      <c r="J123" t="inlineStr">
        <is>
          <t>249 000 000</t>
        </is>
      </c>
      <c r="K123" t="inlineStr"/>
      <c r="L123" t="inlineStr"/>
      <c r="M123" t="inlineStr">
        <is>
          <t>Нет у нас</t>
        </is>
      </c>
      <c r="N123" t="inlineStr"/>
      <c r="O123" t="inlineStr"/>
      <c r="P123" t="inlineStr"/>
      <c r="Q123">
        <f>HYPERLINK("https://knru.ru/catalog/sankt-peterburg-bolshoy-pr-t-vasilevskogo-ostrova-78/","ссылка")</f>
        <v/>
      </c>
      <c r="R123" t="inlineStr"/>
      <c r="S123" t="inlineStr"/>
    </row>
    <row r="124">
      <c r="A124" t="inlineStr">
        <is>
          <t>Василеостровский</t>
        </is>
      </c>
      <c r="B124" t="inlineStr">
        <is>
          <t>Вилькицкий б-р, 7стр1</t>
        </is>
      </c>
      <c r="C124" t="inlineStr">
        <is>
          <t>sale</t>
        </is>
      </c>
      <c r="D124" t="inlineStr">
        <is>
          <t>Да</t>
        </is>
      </c>
      <c r="E124" t="inlineStr"/>
      <c r="F124" t="inlineStr"/>
      <c r="G124" t="inlineStr">
        <is>
          <t>539.5</t>
        </is>
      </c>
      <c r="H124" t="inlineStr"/>
      <c r="I124" t="inlineStr"/>
      <c r="J124" t="inlineStr">
        <is>
          <t>145 665 000</t>
        </is>
      </c>
      <c r="K124" t="inlineStr"/>
      <c r="L124" t="inlineStr"/>
      <c r="M124" t="inlineStr">
        <is>
          <t>Нет у нас</t>
        </is>
      </c>
      <c r="N124" t="inlineStr"/>
      <c r="O124" t="inlineStr"/>
      <c r="P124" t="inlineStr"/>
      <c r="Q124">
        <f>HYPERLINK("https://knru.ru/catalog/vilkitskiy-b-r-d-7-1642856549/","ссылка")</f>
        <v/>
      </c>
      <c r="R124" t="inlineStr"/>
      <c r="S124" t="inlineStr"/>
    </row>
    <row r="125">
      <c r="A125" t="inlineStr">
        <is>
          <t>Василеостровский</t>
        </is>
      </c>
      <c r="B125" t="inlineStr">
        <is>
          <t>Вилькицкий б-р, 7стр1</t>
        </is>
      </c>
      <c r="C125" t="inlineStr">
        <is>
          <t>sale</t>
        </is>
      </c>
      <c r="D125" t="inlineStr">
        <is>
          <t>Да</t>
        </is>
      </c>
      <c r="E125" t="inlineStr"/>
      <c r="F125" t="inlineStr"/>
      <c r="G125" t="inlineStr">
        <is>
          <t>178.1</t>
        </is>
      </c>
      <c r="H125" t="inlineStr"/>
      <c r="I125" t="inlineStr"/>
      <c r="J125" t="inlineStr">
        <is>
          <t>48 087 000</t>
        </is>
      </c>
      <c r="K125" t="inlineStr"/>
      <c r="L125" t="inlineStr"/>
      <c r="M125" t="inlineStr">
        <is>
          <t>Нет у нас</t>
        </is>
      </c>
      <c r="N125" t="inlineStr"/>
      <c r="O125" t="inlineStr"/>
      <c r="P125" t="inlineStr"/>
      <c r="Q125">
        <f>HYPERLINK("https://knru.ru/catalog/vilkitskiy-b-r-d-7/","ссылка")</f>
        <v/>
      </c>
      <c r="R125" t="inlineStr"/>
      <c r="S125" t="inlineStr"/>
    </row>
    <row r="126">
      <c r="A126" t="inlineStr">
        <is>
          <t>Василеостровский</t>
        </is>
      </c>
      <c r="B126" t="inlineStr">
        <is>
          <t>Вилькицкий б-р, 7стр1</t>
        </is>
      </c>
      <c r="C126" t="inlineStr">
        <is>
          <t>sale</t>
        </is>
      </c>
      <c r="D126" t="inlineStr">
        <is>
          <t>Да</t>
        </is>
      </c>
      <c r="E126" t="inlineStr"/>
      <c r="F126" t="inlineStr"/>
      <c r="G126" t="inlineStr">
        <is>
          <t>361.4</t>
        </is>
      </c>
      <c r="H126" t="inlineStr"/>
      <c r="I126" t="inlineStr"/>
      <c r="J126" t="inlineStr">
        <is>
          <t>97 578 000</t>
        </is>
      </c>
      <c r="K126" t="inlineStr"/>
      <c r="L126" t="inlineStr"/>
      <c r="M126" t="inlineStr">
        <is>
          <t>Нет у нас</t>
        </is>
      </c>
      <c r="N126" t="inlineStr"/>
      <c r="O126" t="inlineStr"/>
      <c r="P126" t="inlineStr"/>
      <c r="Q126">
        <f>HYPERLINK("https://knru.ru/catalog/vilkitskij-b-r-d-7-561043/","ссылка")</f>
        <v/>
      </c>
      <c r="R126" t="inlineStr"/>
      <c r="S126" t="inlineStr"/>
    </row>
    <row r="127">
      <c r="A127" t="inlineStr">
        <is>
          <t>Василеостровский</t>
        </is>
      </c>
      <c r="B127" t="inlineStr">
        <is>
          <t>Вилькицкий б-р, 7стр1</t>
        </is>
      </c>
      <c r="C127" t="inlineStr">
        <is>
          <t>sale</t>
        </is>
      </c>
      <c r="D127" t="inlineStr">
        <is>
          <t>Да</t>
        </is>
      </c>
      <c r="E127" t="inlineStr"/>
      <c r="F127" t="inlineStr"/>
      <c r="G127" t="inlineStr">
        <is>
          <t>173.5</t>
        </is>
      </c>
      <c r="H127" t="inlineStr"/>
      <c r="I127" t="inlineStr"/>
      <c r="J127" t="inlineStr">
        <is>
          <t>46 845 000</t>
        </is>
      </c>
      <c r="K127" t="inlineStr"/>
      <c r="L127" t="inlineStr"/>
      <c r="M127" t="inlineStr">
        <is>
          <t>Нет у нас</t>
        </is>
      </c>
      <c r="N127" t="inlineStr"/>
      <c r="O127" t="inlineStr"/>
      <c r="P127" t="inlineStr"/>
      <c r="Q127">
        <f>HYPERLINK("https://knru.ru/catalog/vilkitskij-b-r-d-7-561042/","ссылка")</f>
        <v/>
      </c>
      <c r="R127" t="inlineStr"/>
      <c r="S127" t="inlineStr"/>
    </row>
    <row r="128">
      <c r="A128" t="inlineStr">
        <is>
          <t>Василеостровский</t>
        </is>
      </c>
      <c r="B128" t="inlineStr">
        <is>
          <t>Вилькицкий б-р, 7стр1</t>
        </is>
      </c>
      <c r="C128" t="inlineStr">
        <is>
          <t>sale</t>
        </is>
      </c>
      <c r="D128" t="inlineStr">
        <is>
          <t>Да</t>
        </is>
      </c>
      <c r="E128" t="inlineStr"/>
      <c r="F128" t="inlineStr"/>
      <c r="G128" t="inlineStr">
        <is>
          <t>84</t>
        </is>
      </c>
      <c r="H128" t="inlineStr"/>
      <c r="I128" t="inlineStr"/>
      <c r="J128" t="inlineStr">
        <is>
          <t>23 520 000</t>
        </is>
      </c>
      <c r="K128" t="inlineStr"/>
      <c r="L128" t="inlineStr"/>
      <c r="M128" t="inlineStr">
        <is>
          <t>Нет у нас</t>
        </is>
      </c>
      <c r="N128" t="inlineStr"/>
      <c r="O128" t="inlineStr"/>
      <c r="P128" t="inlineStr"/>
      <c r="Q128">
        <f>HYPERLINK("https://knru.ru/catalog/vilkitskij-b-r-d-7/","ссылка")</f>
        <v/>
      </c>
      <c r="R128" t="inlineStr"/>
      <c r="S128" t="inlineStr"/>
    </row>
    <row r="129">
      <c r="A129" t="inlineStr">
        <is>
          <t>Василеостровский</t>
        </is>
      </c>
      <c r="B129" t="inlineStr">
        <is>
          <t>Головнина б-р, 4</t>
        </is>
      </c>
      <c r="C129" t="inlineStr">
        <is>
          <t>sale</t>
        </is>
      </c>
      <c r="D129" t="inlineStr">
        <is>
          <t>Да</t>
        </is>
      </c>
      <c r="E129" t="inlineStr"/>
      <c r="F129" t="inlineStr"/>
      <c r="G129" t="inlineStr">
        <is>
          <t>112.2</t>
        </is>
      </c>
      <c r="H129" t="inlineStr"/>
      <c r="I129" t="inlineStr"/>
      <c r="J129" t="inlineStr">
        <is>
          <t>32 509 054</t>
        </is>
      </c>
      <c r="K129" t="inlineStr"/>
      <c r="L129" t="inlineStr"/>
      <c r="M129" t="inlineStr">
        <is>
          <t>Нет у нас</t>
        </is>
      </c>
      <c r="N129" t="inlineStr"/>
      <c r="O129" t="inlineStr"/>
      <c r="P129" t="inlineStr"/>
      <c r="Q129">
        <f>HYPERLINK("https://knru.ru/catalog/bulvar-golovnina-d-4-1990318559/","ссылка")</f>
        <v/>
      </c>
      <c r="R129" t="inlineStr"/>
      <c r="S129" t="inlineStr"/>
    </row>
    <row r="130">
      <c r="A130" t="inlineStr">
        <is>
          <t>Василеостровский</t>
        </is>
      </c>
      <c r="B130" t="inlineStr">
        <is>
          <t>Головнина б-р, 4</t>
        </is>
      </c>
      <c r="C130" t="inlineStr">
        <is>
          <t>sale</t>
        </is>
      </c>
      <c r="D130" t="inlineStr">
        <is>
          <t>Да</t>
        </is>
      </c>
      <c r="E130" t="inlineStr"/>
      <c r="F130" t="inlineStr"/>
      <c r="G130" t="inlineStr">
        <is>
          <t>273</t>
        </is>
      </c>
      <c r="H130" t="inlineStr"/>
      <c r="I130" t="inlineStr"/>
      <c r="J130" t="inlineStr">
        <is>
          <t>95 795 000</t>
        </is>
      </c>
      <c r="K130" t="inlineStr"/>
      <c r="L130" t="inlineStr"/>
      <c r="M130" t="inlineStr">
        <is>
          <t>Нет у нас</t>
        </is>
      </c>
      <c r="N130" t="inlineStr"/>
      <c r="O130" t="inlineStr"/>
      <c r="P130" t="inlineStr"/>
      <c r="Q130">
        <f>HYPERLINK("https://knru.ru/catalog/bulvar-golovnina-d-4-1170051036/","ссылка")</f>
        <v/>
      </c>
      <c r="R130" t="inlineStr"/>
      <c r="S130" t="inlineStr"/>
    </row>
    <row r="131">
      <c r="A131" t="inlineStr">
        <is>
          <t>Василеостровский</t>
        </is>
      </c>
      <c r="B131" t="inlineStr">
        <is>
          <t>Головнина б-р, 4</t>
        </is>
      </c>
      <c r="C131" t="inlineStr">
        <is>
          <t>sale</t>
        </is>
      </c>
      <c r="D131" t="inlineStr">
        <is>
          <t>Да</t>
        </is>
      </c>
      <c r="E131" t="inlineStr"/>
      <c r="F131" t="inlineStr"/>
      <c r="G131" t="inlineStr">
        <is>
          <t>3296</t>
        </is>
      </c>
      <c r="H131" t="inlineStr"/>
      <c r="I131" t="inlineStr"/>
      <c r="J131" t="inlineStr">
        <is>
          <t>997 865 000</t>
        </is>
      </c>
      <c r="K131" t="inlineStr"/>
      <c r="L131" t="inlineStr"/>
      <c r="M131" t="inlineStr">
        <is>
          <t>Нет у нас</t>
        </is>
      </c>
      <c r="N131" t="inlineStr"/>
      <c r="O131" t="inlineStr"/>
      <c r="P131" t="inlineStr"/>
      <c r="Q131">
        <f>HYPERLINK("https://knru.ru/catalog/bulvar-golovnina-d-4/","ссылка")</f>
        <v/>
      </c>
      <c r="R131" t="inlineStr"/>
      <c r="S131" t="inlineStr"/>
    </row>
    <row r="132">
      <c r="A132" t="inlineStr">
        <is>
          <t>Василеостровский</t>
        </is>
      </c>
      <c r="B132" t="inlineStr">
        <is>
          <t>Кожевенная линия, 42</t>
        </is>
      </c>
      <c r="C132" t="inlineStr">
        <is>
          <t>sale</t>
        </is>
      </c>
      <c r="D132" t="inlineStr"/>
      <c r="E132" t="inlineStr">
        <is>
          <t>Да</t>
        </is>
      </c>
      <c r="F132" t="inlineStr"/>
      <c r="G132" t="inlineStr"/>
      <c r="H132" t="inlineStr">
        <is>
          <t>330</t>
        </is>
      </c>
      <c r="I132" t="inlineStr"/>
      <c r="J132" t="inlineStr"/>
      <c r="K132" t="inlineStr">
        <is>
          <t>99 000 000</t>
        </is>
      </c>
      <c r="L132" t="inlineStr"/>
      <c r="M132" t="inlineStr"/>
      <c r="N132" t="inlineStr">
        <is>
          <t>Нет у нас</t>
        </is>
      </c>
      <c r="O132" t="inlineStr"/>
      <c r="P132" t="inlineStr"/>
      <c r="Q132" t="inlineStr"/>
      <c r="R132">
        <f>HYPERLINK("https://nordwestinvest.ru/real-estates/pomeshhenie-pod-restoran-v-novom-otele-330m2-1","ссылка")</f>
        <v/>
      </c>
      <c r="S132" t="inlineStr"/>
    </row>
    <row r="133">
      <c r="A133" t="inlineStr">
        <is>
          <t>Василеостровский</t>
        </is>
      </c>
      <c r="B133" t="inlineStr">
        <is>
          <t>Кожевенная линия, к.5</t>
        </is>
      </c>
      <c r="C133" t="inlineStr">
        <is>
          <t>sale</t>
        </is>
      </c>
      <c r="D133" t="inlineStr">
        <is>
          <t>Да</t>
        </is>
      </c>
      <c r="E133" t="inlineStr"/>
      <c r="F133" t="inlineStr"/>
      <c r="G133" t="inlineStr">
        <is>
          <t>67.5</t>
        </is>
      </c>
      <c r="H133" t="inlineStr"/>
      <c r="I133" t="inlineStr"/>
      <c r="J133" t="inlineStr">
        <is>
          <t>37 777 600</t>
        </is>
      </c>
      <c r="K133" t="inlineStr"/>
      <c r="L133" t="inlineStr"/>
      <c r="M133" t="inlineStr">
        <is>
          <t>Нет у нас</t>
        </is>
      </c>
      <c r="N133" t="inlineStr"/>
      <c r="O133" t="inlineStr"/>
      <c r="P133" t="inlineStr"/>
      <c r="Q133">
        <f>HYPERLINK("https://knru.ru/catalog/kozhevennaya-liniya-k-5-1440873399/","ссылка")</f>
        <v/>
      </c>
      <c r="R133" t="inlineStr"/>
      <c r="S133" t="inlineStr"/>
    </row>
    <row r="134">
      <c r="A134" t="inlineStr">
        <is>
          <t>Василеостровский</t>
        </is>
      </c>
      <c r="B134" t="inlineStr">
        <is>
          <t>Кожевенная линия, к.5</t>
        </is>
      </c>
      <c r="C134" t="inlineStr">
        <is>
          <t>sale</t>
        </is>
      </c>
      <c r="D134" t="inlineStr">
        <is>
          <t>Да</t>
        </is>
      </c>
      <c r="E134" t="inlineStr"/>
      <c r="F134" t="inlineStr"/>
      <c r="G134" t="inlineStr">
        <is>
          <t>102.8</t>
        </is>
      </c>
      <c r="H134" t="inlineStr"/>
      <c r="I134" t="inlineStr"/>
      <c r="J134" t="inlineStr">
        <is>
          <t>39 060 200</t>
        </is>
      </c>
      <c r="K134" t="inlineStr"/>
      <c r="L134" t="inlineStr"/>
      <c r="M134" t="inlineStr">
        <is>
          <t>Нет у нас</t>
        </is>
      </c>
      <c r="N134" t="inlineStr"/>
      <c r="O134" t="inlineStr"/>
      <c r="P134" t="inlineStr"/>
      <c r="Q134">
        <f>HYPERLINK("https://knru.ru/catalog/kozhevennaya-liniya-k-5-796258372/","ссылка")</f>
        <v/>
      </c>
      <c r="R134" t="inlineStr"/>
      <c r="S134" t="inlineStr"/>
    </row>
    <row r="135">
      <c r="A135" t="inlineStr">
        <is>
          <t>Василеостровский</t>
        </is>
      </c>
      <c r="B135" t="inlineStr">
        <is>
          <t>Кожевенная линия, к.6</t>
        </is>
      </c>
      <c r="C135" t="inlineStr">
        <is>
          <t>sale</t>
        </is>
      </c>
      <c r="D135" t="inlineStr">
        <is>
          <t>Да</t>
        </is>
      </c>
      <c r="E135" t="inlineStr"/>
      <c r="F135" t="inlineStr"/>
      <c r="G135" t="inlineStr">
        <is>
          <t>144.8</t>
        </is>
      </c>
      <c r="H135" t="inlineStr"/>
      <c r="I135" t="inlineStr"/>
      <c r="J135" t="inlineStr">
        <is>
          <t>37 650 600</t>
        </is>
      </c>
      <c r="K135" t="inlineStr"/>
      <c r="L135" t="inlineStr"/>
      <c r="M135" t="inlineStr">
        <is>
          <t>Нет у нас</t>
        </is>
      </c>
      <c r="N135" t="inlineStr"/>
      <c r="O135" t="inlineStr"/>
      <c r="P135" t="inlineStr"/>
      <c r="Q135">
        <f>HYPERLINK("https://knru.ru/catalog/kozhevennaya-liniya-k-5-560421/","ссылка")</f>
        <v/>
      </c>
      <c r="R135" t="inlineStr"/>
      <c r="S135" t="inlineStr"/>
    </row>
    <row r="136">
      <c r="A136" t="inlineStr">
        <is>
          <t>Василеостровский</t>
        </is>
      </c>
      <c r="B136" t="inlineStr">
        <is>
          <t>Кожевенная линия, к.6</t>
        </is>
      </c>
      <c r="C136" t="inlineStr">
        <is>
          <t>sale</t>
        </is>
      </c>
      <c r="D136" t="inlineStr">
        <is>
          <t>Да</t>
        </is>
      </c>
      <c r="E136" t="inlineStr"/>
      <c r="F136" t="inlineStr"/>
      <c r="G136" t="inlineStr">
        <is>
          <t>96.5</t>
        </is>
      </c>
      <c r="H136" t="inlineStr"/>
      <c r="I136" t="inlineStr"/>
      <c r="J136" t="inlineStr">
        <is>
          <t>35 693 900</t>
        </is>
      </c>
      <c r="K136" t="inlineStr"/>
      <c r="L136" t="inlineStr"/>
      <c r="M136" t="inlineStr">
        <is>
          <t>Нет у нас</t>
        </is>
      </c>
      <c r="N136" t="inlineStr"/>
      <c r="O136" t="inlineStr"/>
      <c r="P136" t="inlineStr"/>
      <c r="Q136">
        <f>HYPERLINK("https://knru.ru/catalog/kozhevennaya-liniya-k-5-560420/","ссылка")</f>
        <v/>
      </c>
      <c r="R136" t="inlineStr"/>
      <c r="S136" t="inlineStr"/>
    </row>
    <row r="137">
      <c r="A137" t="inlineStr">
        <is>
          <t>Василеостровский</t>
        </is>
      </c>
      <c r="B137" t="inlineStr">
        <is>
          <t>Кожевенная линия, к.6</t>
        </is>
      </c>
      <c r="C137" t="inlineStr">
        <is>
          <t>sale</t>
        </is>
      </c>
      <c r="D137" t="inlineStr">
        <is>
          <t>Да</t>
        </is>
      </c>
      <c r="E137" t="inlineStr"/>
      <c r="F137" t="inlineStr"/>
      <c r="G137" t="inlineStr">
        <is>
          <t>86.5</t>
        </is>
      </c>
      <c r="H137" t="inlineStr"/>
      <c r="I137" t="inlineStr"/>
      <c r="J137" t="inlineStr">
        <is>
          <t>23 352 300</t>
        </is>
      </c>
      <c r="K137" t="inlineStr"/>
      <c r="L137" t="inlineStr"/>
      <c r="M137" t="inlineStr">
        <is>
          <t>Нет у нас</t>
        </is>
      </c>
      <c r="N137" t="inlineStr"/>
      <c r="O137" t="inlineStr"/>
      <c r="P137" t="inlineStr"/>
      <c r="Q137">
        <f>HYPERLINK("https://knru.ru/catalog/kozhevennaya-liniya-k-5/","ссылка")</f>
        <v/>
      </c>
      <c r="R137" t="inlineStr"/>
      <c r="S137" t="inlineStr"/>
    </row>
    <row r="138">
      <c r="A138" t="inlineStr">
        <is>
          <t>Василеостровский</t>
        </is>
      </c>
      <c r="B138" t="inlineStr">
        <is>
          <t>Кожевенная линия, к.6</t>
        </is>
      </c>
      <c r="C138" t="inlineStr">
        <is>
          <t>sale</t>
        </is>
      </c>
      <c r="D138" t="inlineStr">
        <is>
          <t>Да</t>
        </is>
      </c>
      <c r="E138" t="inlineStr"/>
      <c r="F138" t="inlineStr"/>
      <c r="G138" t="inlineStr">
        <is>
          <t>77.8</t>
        </is>
      </c>
      <c r="H138" t="inlineStr"/>
      <c r="I138" t="inlineStr"/>
      <c r="J138" t="inlineStr">
        <is>
          <t>25 687 200</t>
        </is>
      </c>
      <c r="K138" t="inlineStr"/>
      <c r="L138" t="inlineStr"/>
      <c r="M138" t="inlineStr">
        <is>
          <t>Нет у нас</t>
        </is>
      </c>
      <c r="N138" t="inlineStr"/>
      <c r="O138" t="inlineStr"/>
      <c r="P138" t="inlineStr"/>
      <c r="Q138">
        <f>HYPERLINK("https://knru.ru/catalog/kozhevennaya-liniya-k-6-560417/","ссылка")</f>
        <v/>
      </c>
      <c r="R138" t="inlineStr"/>
      <c r="S138" t="inlineStr"/>
    </row>
    <row r="139">
      <c r="A139" t="inlineStr">
        <is>
          <t>Василеостровский</t>
        </is>
      </c>
      <c r="B139" t="inlineStr">
        <is>
          <t>Кожевенная линия, к.6</t>
        </is>
      </c>
      <c r="C139" t="inlineStr">
        <is>
          <t>sale</t>
        </is>
      </c>
      <c r="D139" t="inlineStr">
        <is>
          <t>Да</t>
        </is>
      </c>
      <c r="E139" t="inlineStr"/>
      <c r="F139" t="inlineStr"/>
      <c r="G139" t="inlineStr">
        <is>
          <t>42.5</t>
        </is>
      </c>
      <c r="H139" t="inlineStr"/>
      <c r="I139" t="inlineStr"/>
      <c r="J139" t="inlineStr">
        <is>
          <t>15 292 800</t>
        </is>
      </c>
      <c r="K139" t="inlineStr"/>
      <c r="L139" t="inlineStr"/>
      <c r="M139" t="inlineStr">
        <is>
          <t>Нет у нас</t>
        </is>
      </c>
      <c r="N139" t="inlineStr"/>
      <c r="O139" t="inlineStr"/>
      <c r="P139" t="inlineStr"/>
      <c r="Q139">
        <f>HYPERLINK("https://knru.ru/catalog/kozhevennaya-liniya-k-6/","ссылка")</f>
        <v/>
      </c>
      <c r="R139" t="inlineStr"/>
      <c r="S139" t="inlineStr"/>
    </row>
    <row r="140">
      <c r="A140" t="inlineStr">
        <is>
          <t>Василеостровский</t>
        </is>
      </c>
      <c r="B140" t="inlineStr">
        <is>
          <t>Кронштадт г, Тулонская ал, 10стр1</t>
        </is>
      </c>
      <c r="C140" t="inlineStr">
        <is>
          <t>sale</t>
        </is>
      </c>
      <c r="D140" t="inlineStr"/>
      <c r="E140" t="inlineStr">
        <is>
          <t>Да</t>
        </is>
      </c>
      <c r="F140" t="inlineStr"/>
      <c r="G140" t="inlineStr"/>
      <c r="H140" t="inlineStr">
        <is>
          <t>64.9</t>
        </is>
      </c>
      <c r="I140" t="inlineStr"/>
      <c r="J140" t="inlineStr"/>
      <c r="K140" t="inlineStr">
        <is>
          <t>22 000 000</t>
        </is>
      </c>
      <c r="L140" t="inlineStr"/>
      <c r="M140" t="inlineStr"/>
      <c r="N140" t="inlineStr">
        <is>
          <t>Нет у нас</t>
        </is>
      </c>
      <c r="O140" t="inlineStr"/>
      <c r="P140" t="inlineStr"/>
      <c r="Q140" t="inlineStr"/>
      <c r="R140">
        <f>HYPERLINK("https://nordwestinvest.ru/real-estates/prodaza-pomeshheniia-s-saverlend","ссылка")</f>
        <v/>
      </c>
      <c r="S140" t="inlineStr"/>
    </row>
    <row r="141">
      <c r="A141" t="inlineStr">
        <is>
          <t>Василеостровский</t>
        </is>
      </c>
      <c r="B141" t="inlineStr">
        <is>
          <t>Маршака пр-кт, 10стр1</t>
        </is>
      </c>
      <c r="C141" t="inlineStr">
        <is>
          <t>sale</t>
        </is>
      </c>
      <c r="D141" t="inlineStr"/>
      <c r="E141" t="inlineStr">
        <is>
          <t>Да</t>
        </is>
      </c>
      <c r="F141" t="inlineStr"/>
      <c r="G141" t="inlineStr"/>
      <c r="H141" t="inlineStr">
        <is>
          <t>1358</t>
        </is>
      </c>
      <c r="I141" t="inlineStr"/>
      <c r="J141" t="inlineStr"/>
      <c r="K141" t="inlineStr">
        <is>
          <t>60 000 000</t>
        </is>
      </c>
      <c r="L141" t="inlineStr"/>
      <c r="M141" t="inlineStr"/>
      <c r="N141" t="inlineStr">
        <is>
          <t>Нет у нас</t>
        </is>
      </c>
      <c r="O141" t="inlineStr"/>
      <c r="P141" t="inlineStr"/>
      <c r="Q141" t="inlineStr"/>
      <c r="R141">
        <f>HYPERLINK("https://nordwestinvest.ru/real-estates/prodaetsia-pomeshhenie-pod-avtoservis-deteling","ссылка")</f>
        <v/>
      </c>
      <c r="S141" t="inlineStr"/>
    </row>
    <row r="142">
      <c r="A142" t="inlineStr">
        <is>
          <t>Василеостровский</t>
        </is>
      </c>
      <c r="B142" t="inlineStr">
        <is>
          <t>Масляный канал ул, 2</t>
        </is>
      </c>
      <c r="C142" t="inlineStr">
        <is>
          <t>sale</t>
        </is>
      </c>
      <c r="D142" t="inlineStr">
        <is>
          <t>Да</t>
        </is>
      </c>
      <c r="E142" t="inlineStr"/>
      <c r="F142" t="inlineStr"/>
      <c r="G142" t="inlineStr">
        <is>
          <t>2257.2</t>
        </is>
      </c>
      <c r="H142" t="inlineStr"/>
      <c r="I142" t="inlineStr"/>
      <c r="J142" t="inlineStr">
        <is>
          <t>225 000 000</t>
        </is>
      </c>
      <c r="K142" t="inlineStr"/>
      <c r="L142" t="inlineStr"/>
      <c r="M142" t="inlineStr">
        <is>
          <t>Нет у нас</t>
        </is>
      </c>
      <c r="N142" t="inlineStr"/>
      <c r="O142" t="inlineStr"/>
      <c r="P142" t="inlineStr"/>
      <c r="Q142">
        <f>HYPERLINK("https://knru.ru/catalog/maslyanyy-kanal-1203216106/","ссылка")</f>
        <v/>
      </c>
      <c r="R142" t="inlineStr"/>
      <c r="S142" t="inlineStr"/>
    </row>
    <row r="143">
      <c r="A143" t="inlineStr">
        <is>
          <t>Василеостровский</t>
        </is>
      </c>
      <c r="B143" t="inlineStr">
        <is>
          <t>Масляный канал ул, 2</t>
        </is>
      </c>
      <c r="C143" t="inlineStr">
        <is>
          <t>sale</t>
        </is>
      </c>
      <c r="D143" t="inlineStr">
        <is>
          <t>Да</t>
        </is>
      </c>
      <c r="E143" t="inlineStr"/>
      <c r="F143" t="inlineStr"/>
      <c r="G143" t="inlineStr">
        <is>
          <t>46.4</t>
        </is>
      </c>
      <c r="H143" t="inlineStr"/>
      <c r="I143" t="inlineStr"/>
      <c r="J143" t="inlineStr">
        <is>
          <t>22 142 340</t>
        </is>
      </c>
      <c r="K143" t="inlineStr"/>
      <c r="L143" t="inlineStr"/>
      <c r="M143" t="inlineStr">
        <is>
          <t>Нет у нас</t>
        </is>
      </c>
      <c r="N143" t="inlineStr"/>
      <c r="O143" t="inlineStr"/>
      <c r="P143" t="inlineStr"/>
      <c r="Q143">
        <f>HYPERLINK("https://knru.ru/catalog/maslyanyy-kanal-820668287/","ссылка")</f>
        <v/>
      </c>
      <c r="R143" t="inlineStr"/>
      <c r="S143" t="inlineStr"/>
    </row>
    <row r="144">
      <c r="A144" t="inlineStr">
        <is>
          <t>Василеостровский</t>
        </is>
      </c>
      <c r="B144" t="inlineStr">
        <is>
          <t>Масляный канал ул, 2</t>
        </is>
      </c>
      <c r="C144" t="inlineStr">
        <is>
          <t>sale</t>
        </is>
      </c>
      <c r="D144" t="inlineStr">
        <is>
          <t>Да</t>
        </is>
      </c>
      <c r="E144" t="inlineStr"/>
      <c r="F144" t="inlineStr"/>
      <c r="G144" t="inlineStr">
        <is>
          <t>43.2</t>
        </is>
      </c>
      <c r="H144" t="inlineStr"/>
      <c r="I144" t="inlineStr"/>
      <c r="J144" t="inlineStr">
        <is>
          <t>20 601 630</t>
        </is>
      </c>
      <c r="K144" t="inlineStr"/>
      <c r="L144" t="inlineStr"/>
      <c r="M144" t="inlineStr">
        <is>
          <t>Нет у нас</t>
        </is>
      </c>
      <c r="N144" t="inlineStr"/>
      <c r="O144" t="inlineStr"/>
      <c r="P144" t="inlineStr"/>
      <c r="Q144">
        <f>HYPERLINK("https://knru.ru/catalog/maslyanyy-kanal-1852710681/","ссылка")</f>
        <v/>
      </c>
      <c r="R144" t="inlineStr"/>
      <c r="S144" t="inlineStr"/>
    </row>
    <row r="145">
      <c r="A145" t="inlineStr">
        <is>
          <t>Василеостровский</t>
        </is>
      </c>
      <c r="B145" t="inlineStr">
        <is>
          <t>Масляный канал ул, 2</t>
        </is>
      </c>
      <c r="C145" t="inlineStr">
        <is>
          <t>sale</t>
        </is>
      </c>
      <c r="D145" t="inlineStr">
        <is>
          <t>Да</t>
        </is>
      </c>
      <c r="E145" t="inlineStr"/>
      <c r="F145" t="inlineStr"/>
      <c r="G145" t="inlineStr">
        <is>
          <t>75</t>
        </is>
      </c>
      <c r="H145" t="inlineStr"/>
      <c r="I145" t="inlineStr"/>
      <c r="J145" t="inlineStr">
        <is>
          <t>35 217 000</t>
        </is>
      </c>
      <c r="K145" t="inlineStr"/>
      <c r="L145" t="inlineStr"/>
      <c r="M145" t="inlineStr">
        <is>
          <t>Нет у нас</t>
        </is>
      </c>
      <c r="N145" t="inlineStr"/>
      <c r="O145" t="inlineStr"/>
      <c r="P145" t="inlineStr"/>
      <c r="Q145">
        <f>HYPERLINK("https://knru.ru/catalog/maslyanyj-kanal/","ссылка")</f>
        <v/>
      </c>
      <c r="R145" t="inlineStr"/>
      <c r="S145" t="inlineStr"/>
    </row>
    <row r="146">
      <c r="A146" t="inlineStr">
        <is>
          <t>Василеостровский</t>
        </is>
      </c>
      <c r="B146" t="inlineStr">
        <is>
          <t>Морская наб, 21к1</t>
        </is>
      </c>
      <c r="C146" t="inlineStr">
        <is>
          <t>sale</t>
        </is>
      </c>
      <c r="D146" t="inlineStr">
        <is>
          <t>Да</t>
        </is>
      </c>
      <c r="E146" t="inlineStr"/>
      <c r="F146" t="inlineStr"/>
      <c r="G146" t="inlineStr">
        <is>
          <t>246</t>
        </is>
      </c>
      <c r="H146" t="inlineStr"/>
      <c r="I146" t="inlineStr"/>
      <c r="J146" t="inlineStr">
        <is>
          <t>50 000 000</t>
        </is>
      </c>
      <c r="K146" t="inlineStr"/>
      <c r="L146" t="inlineStr"/>
      <c r="M146" t="inlineStr">
        <is>
          <t>Корпус/строение не совпало</t>
        </is>
      </c>
      <c r="N146" t="inlineStr"/>
      <c r="O146" t="inlineStr"/>
      <c r="P146" t="inlineStr"/>
      <c r="Q146">
        <f>HYPERLINK("https://knru.ru/catalog/morskaya-nab-21k1/","ссылка")</f>
        <v/>
      </c>
      <c r="R146" t="inlineStr"/>
      <c r="S146" t="inlineStr"/>
    </row>
    <row r="147">
      <c r="A147" t="inlineStr">
        <is>
          <t>Василеостровский</t>
        </is>
      </c>
      <c r="B147" t="inlineStr">
        <is>
          <t>Морская наб, 9литераЕ</t>
        </is>
      </c>
      <c r="C147" t="inlineStr">
        <is>
          <t>sale</t>
        </is>
      </c>
      <c r="D147" t="inlineStr">
        <is>
          <t>Да</t>
        </is>
      </c>
      <c r="E147" t="inlineStr"/>
      <c r="F147" t="inlineStr"/>
      <c r="G147" t="inlineStr">
        <is>
          <t>3868</t>
        </is>
      </c>
      <c r="H147" t="inlineStr"/>
      <c r="I147" t="inlineStr"/>
      <c r="J147" t="inlineStr">
        <is>
          <t>450 000 000</t>
        </is>
      </c>
      <c r="K147" t="inlineStr"/>
      <c r="L147" t="inlineStr"/>
      <c r="M147" t="inlineStr">
        <is>
          <t>Нет у нас</t>
        </is>
      </c>
      <c r="N147" t="inlineStr"/>
      <c r="O147" t="inlineStr"/>
      <c r="P147" t="inlineStr"/>
      <c r="Q147">
        <f>HYPERLINK("https://knru.ru/catalog/morskaya-naberezhnaya-d-9-500136607/","ссылка")</f>
        <v/>
      </c>
      <c r="R147" t="inlineStr"/>
      <c r="S147" t="inlineStr"/>
    </row>
    <row r="148">
      <c r="A148" t="inlineStr">
        <is>
          <t>Василеостровский</t>
        </is>
      </c>
      <c r="B148" t="inlineStr">
        <is>
          <t>Наличная 44</t>
        </is>
      </c>
      <c r="C148" t="inlineStr">
        <is>
          <t>sale</t>
        </is>
      </c>
      <c r="D148" t="inlineStr"/>
      <c r="E148" t="inlineStr"/>
      <c r="F148" t="inlineStr">
        <is>
          <t>Да</t>
        </is>
      </c>
      <c r="G148" t="inlineStr"/>
      <c r="H148" t="inlineStr"/>
      <c r="I148" t="inlineStr">
        <is>
          <t>271</t>
        </is>
      </c>
      <c r="J148" t="inlineStr"/>
      <c r="K148" t="inlineStr"/>
      <c r="L148" t="inlineStr">
        <is>
          <t>120 000 000</t>
        </is>
      </c>
      <c r="M148" t="inlineStr"/>
      <c r="N148" t="inlineStr"/>
      <c r="O148" t="inlineStr">
        <is>
          <t>Совпало</t>
        </is>
      </c>
      <c r="P148" t="inlineStr"/>
      <c r="Q148" t="inlineStr"/>
      <c r="R148" t="inlineStr"/>
      <c r="S148">
        <f>HYPERLINK("https://rest2rent.yucrm.ru/s/v14f80og","ссылка")</f>
        <v/>
      </c>
    </row>
    <row r="149">
      <c r="A149" t="inlineStr">
        <is>
          <t>Василеостровский</t>
        </is>
      </c>
      <c r="B149" t="inlineStr">
        <is>
          <t>Наличная ул, 44к2</t>
        </is>
      </c>
      <c r="C149" t="inlineStr">
        <is>
          <t>sale</t>
        </is>
      </c>
      <c r="D149" t="inlineStr">
        <is>
          <t>Да</t>
        </is>
      </c>
      <c r="E149" t="inlineStr"/>
      <c r="F149" t="inlineStr"/>
      <c r="G149" t="inlineStr">
        <is>
          <t>431</t>
        </is>
      </c>
      <c r="H149" t="inlineStr"/>
      <c r="I149" t="inlineStr"/>
      <c r="J149" t="inlineStr">
        <is>
          <t>86 000 000</t>
        </is>
      </c>
      <c r="K149" t="inlineStr"/>
      <c r="L149" t="inlineStr"/>
      <c r="M149" t="inlineStr">
        <is>
          <t>По адресу есть, но площадь другая</t>
        </is>
      </c>
      <c r="N149" t="inlineStr"/>
      <c r="O149" t="inlineStr"/>
      <c r="P149" t="inlineStr"/>
      <c r="Q149">
        <f>HYPERLINK("https://knru.ru/catalog/ul-nalichnaya-d-44-kor-2/","ссылка")</f>
        <v/>
      </c>
      <c r="R149" t="inlineStr"/>
      <c r="S149" t="inlineStr"/>
    </row>
    <row r="150">
      <c r="A150" t="inlineStr">
        <is>
          <t>Василеостровский</t>
        </is>
      </c>
      <c r="B150" t="inlineStr">
        <is>
          <t>Наличная ул, 49</t>
        </is>
      </c>
      <c r="C150" t="inlineStr">
        <is>
          <t>sale</t>
        </is>
      </c>
      <c r="D150" t="inlineStr">
        <is>
          <t>Да</t>
        </is>
      </c>
      <c r="E150" t="inlineStr"/>
      <c r="F150" t="inlineStr"/>
      <c r="G150" t="inlineStr">
        <is>
          <t>80</t>
        </is>
      </c>
      <c r="H150" t="inlineStr"/>
      <c r="I150" t="inlineStr"/>
      <c r="J150" t="inlineStr">
        <is>
          <t>33 500 000</t>
        </is>
      </c>
      <c r="K150" t="inlineStr"/>
      <c r="L150" t="inlineStr"/>
      <c r="M150" t="inlineStr">
        <is>
          <t>Нет у нас</t>
        </is>
      </c>
      <c r="N150" t="inlineStr"/>
      <c r="O150" t="inlineStr"/>
      <c r="P150" t="inlineStr"/>
      <c r="Q150">
        <f>HYPERLINK("https://knru.ru/catalog/nalichnaya-ul-49/","ссылка")</f>
        <v/>
      </c>
      <c r="R150" t="inlineStr"/>
      <c r="S150" t="inlineStr"/>
    </row>
    <row r="151">
      <c r="A151" t="inlineStr">
        <is>
          <t>Василеостровский</t>
        </is>
      </c>
      <c r="B151" t="inlineStr">
        <is>
          <t>Наличная ул, 9</t>
        </is>
      </c>
      <c r="C151" t="inlineStr">
        <is>
          <t>sale</t>
        </is>
      </c>
      <c r="D151" t="inlineStr">
        <is>
          <t>Да</t>
        </is>
      </c>
      <c r="E151" t="inlineStr"/>
      <c r="F151" t="inlineStr"/>
      <c r="G151" t="inlineStr">
        <is>
          <t>108.9</t>
        </is>
      </c>
      <c r="H151" t="inlineStr"/>
      <c r="I151" t="inlineStr"/>
      <c r="J151" t="inlineStr">
        <is>
          <t>27 500 000</t>
        </is>
      </c>
      <c r="K151" t="inlineStr"/>
      <c r="L151" t="inlineStr"/>
      <c r="M151" t="inlineStr">
        <is>
          <t>Нет у нас</t>
        </is>
      </c>
      <c r="N151" t="inlineStr"/>
      <c r="O151" t="inlineStr"/>
      <c r="P151" t="inlineStr"/>
      <c r="Q151">
        <f>HYPERLINK("https://knru.ru/catalog/nalichnaya-ul-d-9-712802815/","ссылка")</f>
        <v/>
      </c>
      <c r="R151" t="inlineStr"/>
      <c r="S151" t="inlineStr"/>
    </row>
    <row r="152">
      <c r="A152" t="inlineStr">
        <is>
          <t>Василеостровский</t>
        </is>
      </c>
      <c r="B152" t="inlineStr">
        <is>
          <t>Наличная, 44</t>
        </is>
      </c>
      <c r="C152" t="inlineStr">
        <is>
          <t>sale</t>
        </is>
      </c>
      <c r="D152" t="inlineStr">
        <is>
          <t>Да</t>
        </is>
      </c>
      <c r="E152" t="inlineStr"/>
      <c r="F152" t="inlineStr"/>
      <c r="G152" t="inlineStr">
        <is>
          <t>1052</t>
        </is>
      </c>
      <c r="H152" t="inlineStr"/>
      <c r="I152" t="inlineStr"/>
      <c r="J152" t="inlineStr">
        <is>
          <t>185 000 000</t>
        </is>
      </c>
      <c r="K152" t="inlineStr"/>
      <c r="L152" t="inlineStr"/>
      <c r="M152" t="inlineStr">
        <is>
          <t>По адресу есть, но площадь другая</t>
        </is>
      </c>
      <c r="N152" t="inlineStr"/>
      <c r="O152" t="inlineStr"/>
      <c r="P152" t="inlineStr"/>
      <c r="Q152">
        <f>HYPERLINK("https://knru.ru/catalog/nalichnaya-ul-d-44/","ссылка")</f>
        <v/>
      </c>
      <c r="R152" t="inlineStr"/>
      <c r="S152" t="inlineStr"/>
    </row>
    <row r="153">
      <c r="A153" t="inlineStr">
        <is>
          <t>Василеостровский</t>
        </is>
      </c>
      <c r="B153" t="inlineStr">
        <is>
          <t>Новочеркасский пр-кт, 29/10 А</t>
        </is>
      </c>
      <c r="C153" t="inlineStr">
        <is>
          <t>sale</t>
        </is>
      </c>
      <c r="D153" t="inlineStr"/>
      <c r="E153" t="inlineStr">
        <is>
          <t>Да</t>
        </is>
      </c>
      <c r="F153" t="inlineStr"/>
      <c r="G153" t="inlineStr"/>
      <c r="H153" t="inlineStr">
        <is>
          <t>540</t>
        </is>
      </c>
      <c r="I153" t="inlineStr"/>
      <c r="J153" t="inlineStr"/>
      <c r="K153" t="inlineStr">
        <is>
          <t>42 000 000</t>
        </is>
      </c>
      <c r="L153" t="inlineStr"/>
      <c r="M153" t="inlineStr"/>
      <c r="N153" t="inlineStr">
        <is>
          <t>Нет у нас</t>
        </is>
      </c>
      <c r="O153" t="inlineStr"/>
      <c r="P153" t="inlineStr"/>
      <c r="Q153" t="inlineStr"/>
      <c r="R153">
        <f>HYPERLINK("https://nordwestinvest.ru/real-estates/prodaza-540-m2-na-1-linii-2","ссылка")</f>
        <v/>
      </c>
      <c r="S153" t="inlineStr"/>
    </row>
    <row r="154">
      <c r="A154" t="inlineStr">
        <is>
          <t>Василеостровский</t>
        </is>
      </c>
      <c r="B154" t="inlineStr">
        <is>
          <t>Парусная ул, к.4.1</t>
        </is>
      </c>
      <c r="C154" t="inlineStr">
        <is>
          <t>sale</t>
        </is>
      </c>
      <c r="D154" t="inlineStr">
        <is>
          <t>Да</t>
        </is>
      </c>
      <c r="E154" t="inlineStr"/>
      <c r="F154" t="inlineStr"/>
      <c r="G154" t="inlineStr">
        <is>
          <t>97.6</t>
        </is>
      </c>
      <c r="H154" t="inlineStr"/>
      <c r="I154" t="inlineStr"/>
      <c r="J154" t="inlineStr">
        <is>
          <t>39 040 000</t>
        </is>
      </c>
      <c r="K154" t="inlineStr"/>
      <c r="L154" t="inlineStr"/>
      <c r="M154" t="inlineStr">
        <is>
          <t>Нет у нас</t>
        </is>
      </c>
      <c r="N154" t="inlineStr"/>
      <c r="O154" t="inlineStr"/>
      <c r="P154" t="inlineStr"/>
      <c r="Q154">
        <f>HYPERLINK("https://knru.ru/catalog/ul-parusnaya-k-4-1-1648097461/","ссылка")</f>
        <v/>
      </c>
      <c r="R154" t="inlineStr"/>
      <c r="S154" t="inlineStr"/>
    </row>
    <row r="155">
      <c r="A155" t="inlineStr">
        <is>
          <t>Василеостровский</t>
        </is>
      </c>
      <c r="B155" t="inlineStr">
        <is>
          <t>Парусная ул, к.4.1</t>
        </is>
      </c>
      <c r="C155" t="inlineStr">
        <is>
          <t>sale</t>
        </is>
      </c>
      <c r="D155" t="inlineStr">
        <is>
          <t>Да</t>
        </is>
      </c>
      <c r="E155" t="inlineStr"/>
      <c r="F155" t="inlineStr"/>
      <c r="G155" t="inlineStr">
        <is>
          <t>78.9</t>
        </is>
      </c>
      <c r="H155" t="inlineStr"/>
      <c r="I155" t="inlineStr"/>
      <c r="J155" t="inlineStr">
        <is>
          <t>31 560 000</t>
        </is>
      </c>
      <c r="K155" t="inlineStr"/>
      <c r="L155" t="inlineStr"/>
      <c r="M155" t="inlineStr">
        <is>
          <t>Нет у нас</t>
        </is>
      </c>
      <c r="N155" t="inlineStr"/>
      <c r="O155" t="inlineStr"/>
      <c r="P155" t="inlineStr"/>
      <c r="Q155">
        <f>HYPERLINK("https://knru.ru/catalog/ul-parusnaya-k-4-1-1917940599/","ссылка")</f>
        <v/>
      </c>
      <c r="R155" t="inlineStr"/>
      <c r="S155" t="inlineStr"/>
    </row>
    <row r="156">
      <c r="A156" t="inlineStr">
        <is>
          <t>Василеостровский</t>
        </is>
      </c>
      <c r="B156" t="inlineStr">
        <is>
          <t>Петергоф г, Шахматова ул, 16 А</t>
        </is>
      </c>
      <c r="C156" t="inlineStr">
        <is>
          <t>sale</t>
        </is>
      </c>
      <c r="D156" t="inlineStr"/>
      <c r="E156" t="inlineStr">
        <is>
          <t>Да</t>
        </is>
      </c>
      <c r="F156" t="inlineStr"/>
      <c r="G156" t="inlineStr"/>
      <c r="H156" t="inlineStr">
        <is>
          <t>176000</t>
        </is>
      </c>
      <c r="I156" t="inlineStr"/>
      <c r="J156" t="inlineStr"/>
      <c r="K156" t="inlineStr">
        <is>
          <t>4 400 000 000</t>
        </is>
      </c>
      <c r="L156" t="inlineStr"/>
      <c r="M156" t="inlineStr"/>
      <c r="N156" t="inlineStr">
        <is>
          <t>По адресу есть, но площадь другая</t>
        </is>
      </c>
      <c r="O156" t="inlineStr"/>
      <c r="P156" t="inlineStr"/>
      <c r="Q156" t="inlineStr"/>
      <c r="R156">
        <f>HYPERLINK("https://nordwestinvest.ru/real-estates/prodazi-100-dolei-iur-lica-na-176-000m2-kvartir","ссылка")</f>
        <v/>
      </c>
      <c r="S156" t="inlineStr"/>
    </row>
    <row r="157">
      <c r="A157" t="inlineStr">
        <is>
          <t>Василеостровский</t>
        </is>
      </c>
      <c r="B157" t="inlineStr">
        <is>
          <t>Реки Смоленки, 3</t>
        </is>
      </c>
      <c r="C157" t="inlineStr">
        <is>
          <t>sale</t>
        </is>
      </c>
      <c r="D157" t="inlineStr">
        <is>
          <t>Да</t>
        </is>
      </c>
      <c r="E157" t="inlineStr"/>
      <c r="F157" t="inlineStr"/>
      <c r="G157" t="inlineStr">
        <is>
          <t>88.6</t>
        </is>
      </c>
      <c r="H157" t="inlineStr"/>
      <c r="I157" t="inlineStr"/>
      <c r="J157" t="inlineStr">
        <is>
          <t>23 000 000</t>
        </is>
      </c>
      <c r="K157" t="inlineStr"/>
      <c r="L157" t="inlineStr"/>
      <c r="M157" t="inlineStr">
        <is>
          <t>По адресу есть, но площадь другая</t>
        </is>
      </c>
      <c r="N157" t="inlineStr"/>
      <c r="O157" t="inlineStr"/>
      <c r="P157" t="inlineStr"/>
      <c r="Q157">
        <f>HYPERLINK("https://knru.ru/catalog/reki-smolenki-nab-d-3/","ссылка")</f>
        <v/>
      </c>
      <c r="R157" t="inlineStr"/>
      <c r="S157" t="inlineStr"/>
    </row>
    <row r="158">
      <c r="A158" t="inlineStr">
        <is>
          <t>Василеостровский</t>
        </is>
      </c>
      <c r="B158" t="inlineStr">
        <is>
          <t>Рентгена ул, 25стр1</t>
        </is>
      </c>
      <c r="C158" t="inlineStr">
        <is>
          <t>sale</t>
        </is>
      </c>
      <c r="D158" t="inlineStr"/>
      <c r="E158" t="inlineStr">
        <is>
          <t>Да</t>
        </is>
      </c>
      <c r="F158" t="inlineStr"/>
      <c r="G158" t="inlineStr"/>
      <c r="H158" t="inlineStr">
        <is>
          <t>326.8</t>
        </is>
      </c>
      <c r="I158" t="inlineStr"/>
      <c r="J158" t="inlineStr"/>
      <c r="K158" t="inlineStr">
        <is>
          <t>104 000 000</t>
        </is>
      </c>
      <c r="L158" t="inlineStr"/>
      <c r="M158" t="inlineStr"/>
      <c r="N158" t="inlineStr">
        <is>
          <t>Нет у нас</t>
        </is>
      </c>
      <c r="O158" t="inlineStr"/>
      <c r="P158" t="inlineStr"/>
      <c r="Q158" t="inlineStr"/>
      <c r="R158">
        <f>HYPERLINK("https://nordwestinvest.ru/real-estates/prodaza-pomeshheniia-v-elitnom-zk-3268m2","ссылка")</f>
        <v/>
      </c>
      <c r="S158" t="inlineStr"/>
    </row>
    <row r="159">
      <c r="A159" t="inlineStr">
        <is>
          <t>Василеостровский</t>
        </is>
      </c>
      <c r="B159" t="inlineStr">
        <is>
          <t>Средний В.О. пр-кт, 75Б</t>
        </is>
      </c>
      <c r="C159" t="inlineStr">
        <is>
          <t>sale</t>
        </is>
      </c>
      <c r="D159" t="inlineStr">
        <is>
          <t>Да</t>
        </is>
      </c>
      <c r="E159" t="inlineStr"/>
      <c r="F159" t="inlineStr"/>
      <c r="G159" t="inlineStr">
        <is>
          <t>475</t>
        </is>
      </c>
      <c r="H159" t="inlineStr"/>
      <c r="I159" t="inlineStr"/>
      <c r="J159" t="inlineStr">
        <is>
          <t>85 000 000</t>
        </is>
      </c>
      <c r="K159" t="inlineStr"/>
      <c r="L159" t="inlineStr"/>
      <c r="M159" t="inlineStr">
        <is>
          <t>Нет у нас</t>
        </is>
      </c>
      <c r="N159" t="inlineStr"/>
      <c r="O159" t="inlineStr"/>
      <c r="P159" t="inlineStr"/>
      <c r="Q159">
        <f>HYPERLINK("https://knru.ru/catalog/sredniy-pr-v-o-d-75b/","ссылка")</f>
        <v/>
      </c>
      <c r="R159" t="inlineStr"/>
      <c r="S159" t="inlineStr"/>
    </row>
    <row r="160">
      <c r="A160" t="inlineStr">
        <is>
          <t>Василеостровский</t>
        </is>
      </c>
      <c r="B160" t="inlineStr">
        <is>
          <t>Средний В.О. пр-кт, 99/18 А</t>
        </is>
      </c>
      <c r="C160" t="inlineStr">
        <is>
          <t>sale</t>
        </is>
      </c>
      <c r="D160" t="inlineStr">
        <is>
          <t>Да</t>
        </is>
      </c>
      <c r="E160" t="inlineStr"/>
      <c r="F160" t="inlineStr"/>
      <c r="G160" t="inlineStr">
        <is>
          <t>365</t>
        </is>
      </c>
      <c r="H160" t="inlineStr"/>
      <c r="I160" t="inlineStr"/>
      <c r="J160" t="inlineStr">
        <is>
          <t>79 000 000</t>
        </is>
      </c>
      <c r="K160" t="inlineStr"/>
      <c r="L160" t="inlineStr"/>
      <c r="M160" t="inlineStr">
        <is>
          <t>Нет у нас</t>
        </is>
      </c>
      <c r="N160" t="inlineStr"/>
      <c r="O160" t="inlineStr"/>
      <c r="P160" t="inlineStr"/>
      <c r="Q160">
        <f>HYPERLINK("https://knru.ru/catalog/sredniy-pr-vo-d-99/","ссылка")</f>
        <v/>
      </c>
      <c r="R160" t="inlineStr"/>
      <c r="S160" t="inlineStr"/>
    </row>
    <row r="161">
      <c r="A161" t="inlineStr">
        <is>
          <t>Василеостровский</t>
        </is>
      </c>
      <c r="B161" t="inlineStr">
        <is>
          <t>Уральская ул, 25стр1</t>
        </is>
      </c>
      <c r="C161" t="inlineStr">
        <is>
          <t>sale</t>
        </is>
      </c>
      <c r="D161" t="inlineStr">
        <is>
          <t>Да</t>
        </is>
      </c>
      <c r="E161" t="inlineStr"/>
      <c r="F161" t="inlineStr"/>
      <c r="G161" t="inlineStr">
        <is>
          <t>56.4</t>
        </is>
      </c>
      <c r="H161" t="inlineStr"/>
      <c r="I161" t="inlineStr"/>
      <c r="J161" t="inlineStr">
        <is>
          <t>13 695 480</t>
        </is>
      </c>
      <c r="K161" t="inlineStr"/>
      <c r="L161" t="inlineStr"/>
      <c r="M161" t="inlineStr">
        <is>
          <t>Нет у нас</t>
        </is>
      </c>
      <c r="N161" t="inlineStr"/>
      <c r="O161" t="inlineStr"/>
      <c r="P161" t="inlineStr"/>
      <c r="Q161">
        <f>HYPERLINK("https://knru.ru/catalog/ul-uralskaya-d-25-612752451/","ссылка")</f>
        <v/>
      </c>
      <c r="R161" t="inlineStr"/>
      <c r="S161" t="inlineStr"/>
    </row>
    <row r="162">
      <c r="A162" t="inlineStr">
        <is>
          <t>Василеостровский</t>
        </is>
      </c>
      <c r="B162" t="inlineStr">
        <is>
          <t>Уральская ул, 25стр1</t>
        </is>
      </c>
      <c r="C162" t="inlineStr">
        <is>
          <t>sale</t>
        </is>
      </c>
      <c r="D162" t="inlineStr">
        <is>
          <t>Да</t>
        </is>
      </c>
      <c r="E162" t="inlineStr"/>
      <c r="F162" t="inlineStr"/>
      <c r="G162" t="inlineStr">
        <is>
          <t>126.9</t>
        </is>
      </c>
      <c r="H162" t="inlineStr"/>
      <c r="I162" t="inlineStr"/>
      <c r="J162" t="inlineStr">
        <is>
          <t>25 132 140</t>
        </is>
      </c>
      <c r="K162" t="inlineStr"/>
      <c r="L162" t="inlineStr"/>
      <c r="M162" t="inlineStr">
        <is>
          <t>Нет у нас</t>
        </is>
      </c>
      <c r="N162" t="inlineStr"/>
      <c r="O162" t="inlineStr"/>
      <c r="P162" t="inlineStr"/>
      <c r="Q162">
        <f>HYPERLINK("https://knru.ru/catalog/ul-uralskaya-d-25-1396505181/","ссылка")</f>
        <v/>
      </c>
      <c r="R162" t="inlineStr"/>
      <c r="S162" t="inlineStr"/>
    </row>
    <row r="163">
      <c r="A163" t="inlineStr">
        <is>
          <t>Василеостровский</t>
        </is>
      </c>
      <c r="B163" t="inlineStr">
        <is>
          <t>Уральская ул, 25стр1</t>
        </is>
      </c>
      <c r="C163" t="inlineStr">
        <is>
          <t>sale</t>
        </is>
      </c>
      <c r="D163" t="inlineStr">
        <is>
          <t>Да</t>
        </is>
      </c>
      <c r="E163" t="inlineStr"/>
      <c r="F163" t="inlineStr"/>
      <c r="G163" t="inlineStr">
        <is>
          <t>47.2</t>
        </is>
      </c>
      <c r="H163" t="inlineStr"/>
      <c r="I163" t="inlineStr"/>
      <c r="J163" t="inlineStr">
        <is>
          <t>11 464 740</t>
        </is>
      </c>
      <c r="K163" t="inlineStr"/>
      <c r="L163" t="inlineStr"/>
      <c r="M163" t="inlineStr">
        <is>
          <t>Нет у нас</t>
        </is>
      </c>
      <c r="N163" t="inlineStr"/>
      <c r="O163" t="inlineStr"/>
      <c r="P163" t="inlineStr"/>
      <c r="Q163">
        <f>HYPERLINK("https://knru.ru/catalog/ul-uralskaya-d-25-1212426560/","ссылка")</f>
        <v/>
      </c>
      <c r="R163" t="inlineStr"/>
      <c r="S163" t="inlineStr"/>
    </row>
    <row r="164">
      <c r="A164" t="inlineStr">
        <is>
          <t>Василеостровский</t>
        </is>
      </c>
      <c r="B164" t="inlineStr">
        <is>
          <t>Уральская ул, 25стр1</t>
        </is>
      </c>
      <c r="C164" t="inlineStr">
        <is>
          <t>sale</t>
        </is>
      </c>
      <c r="D164" t="inlineStr">
        <is>
          <t>Да</t>
        </is>
      </c>
      <c r="E164" t="inlineStr"/>
      <c r="F164" t="inlineStr"/>
      <c r="G164" t="inlineStr">
        <is>
          <t>72.5</t>
        </is>
      </c>
      <c r="H164" t="inlineStr"/>
      <c r="I164" t="inlineStr"/>
      <c r="J164" t="inlineStr">
        <is>
          <t>15 653 520</t>
        </is>
      </c>
      <c r="K164" t="inlineStr"/>
      <c r="L164" t="inlineStr"/>
      <c r="M164" t="inlineStr">
        <is>
          <t>Нет у нас</t>
        </is>
      </c>
      <c r="N164" t="inlineStr"/>
      <c r="O164" t="inlineStr"/>
      <c r="P164" t="inlineStr"/>
      <c r="Q164">
        <f>HYPERLINK("https://knru.ru/catalog/ul-uralskaya-d-25-1654964067/","ссылка")</f>
        <v/>
      </c>
      <c r="R164" t="inlineStr"/>
      <c r="S164" t="inlineStr"/>
    </row>
    <row r="165">
      <c r="A165" t="inlineStr">
        <is>
          <t>Василеостровский</t>
        </is>
      </c>
      <c r="B165" t="inlineStr">
        <is>
          <t>Уральская ул, 25стр1</t>
        </is>
      </c>
      <c r="C165" t="inlineStr">
        <is>
          <t>sale</t>
        </is>
      </c>
      <c r="D165" t="inlineStr">
        <is>
          <t>Да</t>
        </is>
      </c>
      <c r="E165" t="inlineStr"/>
      <c r="F165" t="inlineStr"/>
      <c r="G165" t="inlineStr">
        <is>
          <t>60.6</t>
        </is>
      </c>
      <c r="H165" t="inlineStr"/>
      <c r="I165" t="inlineStr"/>
      <c r="J165" t="inlineStr">
        <is>
          <t>15 266 160</t>
        </is>
      </c>
      <c r="K165" t="inlineStr"/>
      <c r="L165" t="inlineStr"/>
      <c r="M165" t="inlineStr">
        <is>
          <t>Нет у нас</t>
        </is>
      </c>
      <c r="N165" t="inlineStr"/>
      <c r="O165" t="inlineStr"/>
      <c r="P165" t="inlineStr"/>
      <c r="Q165">
        <f>HYPERLINK("https://knru.ru/catalog/ul-uralskaya-d-25-1065584785/","ссылка")</f>
        <v/>
      </c>
      <c r="R165" t="inlineStr"/>
      <c r="S165" t="inlineStr"/>
    </row>
    <row r="166">
      <c r="A166" t="inlineStr">
        <is>
          <t>Василеостровский</t>
        </is>
      </c>
      <c r="B166" t="inlineStr">
        <is>
          <t>Уральская ул, 25стр1</t>
        </is>
      </c>
      <c r="C166" t="inlineStr">
        <is>
          <t>sale</t>
        </is>
      </c>
      <c r="D166" t="inlineStr">
        <is>
          <t>Да</t>
        </is>
      </c>
      <c r="E166" t="inlineStr"/>
      <c r="F166" t="inlineStr"/>
      <c r="G166" t="inlineStr">
        <is>
          <t>87.8</t>
        </is>
      </c>
      <c r="H166" t="inlineStr"/>
      <c r="I166" t="inlineStr"/>
      <c r="J166" t="inlineStr">
        <is>
          <t>19 759 500</t>
        </is>
      </c>
      <c r="K166" t="inlineStr"/>
      <c r="L166" t="inlineStr"/>
      <c r="M166" t="inlineStr">
        <is>
          <t>Нет у нас</t>
        </is>
      </c>
      <c r="N166" t="inlineStr"/>
      <c r="O166" t="inlineStr"/>
      <c r="P166" t="inlineStr"/>
      <c r="Q166">
        <f>HYPERLINK("https://knru.ru/catalog/ul-uralskaya-d-25-1223034522/","ссылка")</f>
        <v/>
      </c>
      <c r="R166" t="inlineStr"/>
      <c r="S166" t="inlineStr"/>
    </row>
    <row r="167">
      <c r="A167" t="inlineStr">
        <is>
          <t>Василеостровский</t>
        </is>
      </c>
      <c r="B167" t="inlineStr">
        <is>
          <t>Уральская ул, 25стр1</t>
        </is>
      </c>
      <c r="C167" t="inlineStr">
        <is>
          <t>sale</t>
        </is>
      </c>
      <c r="D167" t="inlineStr">
        <is>
          <t>Да</t>
        </is>
      </c>
      <c r="E167" t="inlineStr"/>
      <c r="F167" t="inlineStr"/>
      <c r="G167" t="inlineStr">
        <is>
          <t>50.6</t>
        </is>
      </c>
      <c r="H167" t="inlineStr"/>
      <c r="I167" t="inlineStr"/>
      <c r="J167" t="inlineStr">
        <is>
          <t>13 198 770</t>
        </is>
      </c>
      <c r="K167" t="inlineStr"/>
      <c r="L167" t="inlineStr"/>
      <c r="M167" t="inlineStr">
        <is>
          <t>Нет у нас</t>
        </is>
      </c>
      <c r="N167" t="inlineStr"/>
      <c r="O167" t="inlineStr"/>
      <c r="P167" t="inlineStr"/>
      <c r="Q167">
        <f>HYPERLINK("https://knru.ru/catalog/ul-uralskaya-d-25-1035865776/","ссылка")</f>
        <v/>
      </c>
      <c r="R167" t="inlineStr"/>
      <c r="S167" t="inlineStr"/>
    </row>
    <row r="168">
      <c r="A168" t="inlineStr">
        <is>
          <t>Василеостровский</t>
        </is>
      </c>
      <c r="B168" t="inlineStr">
        <is>
          <t>Уральская ул, 25стр1</t>
        </is>
      </c>
      <c r="C168" t="inlineStr">
        <is>
          <t>sale</t>
        </is>
      </c>
      <c r="D168" t="inlineStr">
        <is>
          <t>Да</t>
        </is>
      </c>
      <c r="E168" t="inlineStr"/>
      <c r="F168" t="inlineStr"/>
      <c r="G168" t="inlineStr">
        <is>
          <t>106.7</t>
        </is>
      </c>
      <c r="H168" t="inlineStr"/>
      <c r="I168" t="inlineStr"/>
      <c r="J168" t="inlineStr">
        <is>
          <t>22 086 900</t>
        </is>
      </c>
      <c r="K168" t="inlineStr"/>
      <c r="L168" t="inlineStr"/>
      <c r="M168" t="inlineStr">
        <is>
          <t>Нет у нас</t>
        </is>
      </c>
      <c r="N168" t="inlineStr"/>
      <c r="O168" t="inlineStr"/>
      <c r="P168" t="inlineStr"/>
      <c r="Q168">
        <f>HYPERLINK("https://knru.ru/catalog/ul-uralskaya-d-25-1716619624/","ссылка")</f>
        <v/>
      </c>
      <c r="R168" t="inlineStr"/>
      <c r="S168" t="inlineStr"/>
    </row>
    <row r="169">
      <c r="A169" t="inlineStr">
        <is>
          <t>Василеостровский</t>
        </is>
      </c>
      <c r="B169" t="inlineStr">
        <is>
          <t>Уральская ул, 25стр1</t>
        </is>
      </c>
      <c r="C169" t="inlineStr">
        <is>
          <t>sale</t>
        </is>
      </c>
      <c r="D169" t="inlineStr">
        <is>
          <t>Да</t>
        </is>
      </c>
      <c r="E169" t="inlineStr"/>
      <c r="F169" t="inlineStr"/>
      <c r="G169" t="inlineStr">
        <is>
          <t>26.4</t>
        </is>
      </c>
      <c r="H169" t="inlineStr"/>
      <c r="I169" t="inlineStr"/>
      <c r="J169" t="inlineStr">
        <is>
          <t>9 493 200</t>
        </is>
      </c>
      <c r="K169" t="inlineStr"/>
      <c r="L169" t="inlineStr"/>
      <c r="M169" t="inlineStr">
        <is>
          <t>Нет у нас</t>
        </is>
      </c>
      <c r="N169" t="inlineStr"/>
      <c r="O169" t="inlineStr"/>
      <c r="P169" t="inlineStr"/>
      <c r="Q169">
        <f>HYPERLINK("https://knru.ru/catalog/ul-uralskaya-d-25/","ссылка")</f>
        <v/>
      </c>
      <c r="R169" t="inlineStr"/>
      <c r="S169" t="inlineStr"/>
    </row>
    <row r="170">
      <c r="A170" t="inlineStr">
        <is>
          <t>Василеостровский</t>
        </is>
      </c>
      <c r="B170" t="inlineStr">
        <is>
          <t>Челюскина ул, 10стр1</t>
        </is>
      </c>
      <c r="C170" t="inlineStr">
        <is>
          <t>sale</t>
        </is>
      </c>
      <c r="D170" t="inlineStr">
        <is>
          <t>Да</t>
        </is>
      </c>
      <c r="E170" t="inlineStr"/>
      <c r="F170" t="inlineStr"/>
      <c r="G170" t="inlineStr">
        <is>
          <t>82.8</t>
        </is>
      </c>
      <c r="H170" t="inlineStr"/>
      <c r="I170" t="inlineStr"/>
      <c r="J170" t="inlineStr">
        <is>
          <t>30 629 999</t>
        </is>
      </c>
      <c r="K170" t="inlineStr"/>
      <c r="L170" t="inlineStr"/>
      <c r="M170" t="inlineStr">
        <is>
          <t>Нет у нас</t>
        </is>
      </c>
      <c r="N170" t="inlineStr"/>
      <c r="O170" t="inlineStr"/>
      <c r="P170" t="inlineStr"/>
      <c r="Q170">
        <f>HYPERLINK("https://knru.ru/catalog/ul-chelyuskina-d-10-1515135320/","ссылка")</f>
        <v/>
      </c>
      <c r="R170" t="inlineStr"/>
      <c r="S170" t="inlineStr"/>
    </row>
    <row r="171">
      <c r="A171" t="inlineStr">
        <is>
          <t>Василеостровский</t>
        </is>
      </c>
      <c r="B171" t="inlineStr">
        <is>
          <t>Челюскина ул, 10стр1</t>
        </is>
      </c>
      <c r="C171" t="inlineStr">
        <is>
          <t>sale</t>
        </is>
      </c>
      <c r="D171" t="inlineStr">
        <is>
          <t>Да</t>
        </is>
      </c>
      <c r="E171" t="inlineStr"/>
      <c r="F171" t="inlineStr"/>
      <c r="G171" t="inlineStr">
        <is>
          <t>116.1</t>
        </is>
      </c>
      <c r="H171" t="inlineStr"/>
      <c r="I171" t="inlineStr"/>
      <c r="J171" t="inlineStr">
        <is>
          <t>42 359 999</t>
        </is>
      </c>
      <c r="K171" t="inlineStr"/>
      <c r="L171" t="inlineStr"/>
      <c r="M171" t="inlineStr">
        <is>
          <t>Нет у нас</t>
        </is>
      </c>
      <c r="N171" t="inlineStr"/>
      <c r="O171" t="inlineStr"/>
      <c r="P171" t="inlineStr"/>
      <c r="Q171">
        <f>HYPERLINK("https://knru.ru/catalog/ul-chelyuskina-d-10-1570631734/","ссылка")</f>
        <v/>
      </c>
      <c r="R171" t="inlineStr"/>
      <c r="S171" t="inlineStr"/>
    </row>
    <row r="172">
      <c r="A172" t="inlineStr">
        <is>
          <t>Василеостровский</t>
        </is>
      </c>
      <c r="B172" t="inlineStr">
        <is>
          <t>Челюскина ул, 10стр1</t>
        </is>
      </c>
      <c r="C172" t="inlineStr">
        <is>
          <t>sale</t>
        </is>
      </c>
      <c r="D172" t="inlineStr">
        <is>
          <t>Да</t>
        </is>
      </c>
      <c r="E172" t="inlineStr"/>
      <c r="F172" t="inlineStr"/>
      <c r="G172" t="inlineStr">
        <is>
          <t>107.7</t>
        </is>
      </c>
      <c r="H172" t="inlineStr"/>
      <c r="I172" t="inlineStr"/>
      <c r="J172" t="inlineStr">
        <is>
          <t>39 309 999</t>
        </is>
      </c>
      <c r="K172" t="inlineStr"/>
      <c r="L172" t="inlineStr"/>
      <c r="M172" t="inlineStr">
        <is>
          <t>Нет у нас</t>
        </is>
      </c>
      <c r="N172" t="inlineStr"/>
      <c r="O172" t="inlineStr"/>
      <c r="P172" t="inlineStr"/>
      <c r="Q172">
        <f>HYPERLINK("https://knru.ru/catalog/ul-chelyuskina-d-10-396456243/","ссылка")</f>
        <v/>
      </c>
      <c r="R172" t="inlineStr"/>
      <c r="S172" t="inlineStr"/>
    </row>
    <row r="173">
      <c r="A173" t="inlineStr">
        <is>
          <t>Василеостровский</t>
        </is>
      </c>
      <c r="B173" t="inlineStr">
        <is>
          <t>Челюскина ул, 10стр1</t>
        </is>
      </c>
      <c r="C173" t="inlineStr">
        <is>
          <t>sale</t>
        </is>
      </c>
      <c r="D173" t="inlineStr">
        <is>
          <t>Да</t>
        </is>
      </c>
      <c r="E173" t="inlineStr"/>
      <c r="F173" t="inlineStr"/>
      <c r="G173" t="inlineStr">
        <is>
          <t>72.9</t>
        </is>
      </c>
      <c r="H173" t="inlineStr"/>
      <c r="I173" t="inlineStr"/>
      <c r="J173" t="inlineStr">
        <is>
          <t>26 680 000</t>
        </is>
      </c>
      <c r="K173" t="inlineStr"/>
      <c r="L173" t="inlineStr"/>
      <c r="M173" t="inlineStr">
        <is>
          <t>Нет у нас</t>
        </is>
      </c>
      <c r="N173" t="inlineStr"/>
      <c r="O173" t="inlineStr"/>
      <c r="P173" t="inlineStr"/>
      <c r="Q173">
        <f>HYPERLINK("https://knru.ru/catalog/ul-chelyuskina-d-10-1435987852/","ссылка")</f>
        <v/>
      </c>
      <c r="R173" t="inlineStr"/>
      <c r="S173" t="inlineStr"/>
    </row>
    <row r="174">
      <c r="A174" t="inlineStr">
        <is>
          <t>Василеостровский</t>
        </is>
      </c>
      <c r="B174" t="inlineStr">
        <is>
          <t>Челюскина ул, 10стр1</t>
        </is>
      </c>
      <c r="C174" t="inlineStr">
        <is>
          <t>sale</t>
        </is>
      </c>
      <c r="D174" t="inlineStr">
        <is>
          <t>Да</t>
        </is>
      </c>
      <c r="E174" t="inlineStr"/>
      <c r="F174" t="inlineStr"/>
      <c r="G174" t="inlineStr">
        <is>
          <t>81.7</t>
        </is>
      </c>
      <c r="H174" t="inlineStr"/>
      <c r="I174" t="inlineStr"/>
      <c r="J174" t="inlineStr">
        <is>
          <t>32 959 000</t>
        </is>
      </c>
      <c r="K174" t="inlineStr"/>
      <c r="L174" t="inlineStr"/>
      <c r="M174" t="inlineStr">
        <is>
          <t>Нет у нас</t>
        </is>
      </c>
      <c r="N174" t="inlineStr"/>
      <c r="O174" t="inlineStr"/>
      <c r="P174" t="inlineStr"/>
      <c r="Q174">
        <f>HYPERLINK("https://knru.ru/catalog/ul-chelyuskina-d-10-1593490177/","ссылка")</f>
        <v/>
      </c>
      <c r="R174" t="inlineStr"/>
      <c r="S174" t="inlineStr"/>
    </row>
    <row r="175">
      <c r="A175" t="inlineStr">
        <is>
          <t>Василеостровский</t>
        </is>
      </c>
      <c r="B175" t="inlineStr">
        <is>
          <t>Челюскина ул, 4 с1</t>
        </is>
      </c>
      <c r="C175" t="inlineStr">
        <is>
          <t>sale</t>
        </is>
      </c>
      <c r="D175" t="inlineStr">
        <is>
          <t>Да</t>
        </is>
      </c>
      <c r="E175" t="inlineStr"/>
      <c r="F175" t="inlineStr"/>
      <c r="G175" t="inlineStr">
        <is>
          <t>72.9</t>
        </is>
      </c>
      <c r="H175" t="inlineStr"/>
      <c r="I175" t="inlineStr"/>
      <c r="J175" t="inlineStr">
        <is>
          <t>27 399 999</t>
        </is>
      </c>
      <c r="K175" t="inlineStr"/>
      <c r="L175" t="inlineStr"/>
      <c r="M175" t="inlineStr">
        <is>
          <t>Нет у нас</t>
        </is>
      </c>
      <c r="N175" t="inlineStr"/>
      <c r="O175" t="inlineStr"/>
      <c r="P175" t="inlineStr"/>
      <c r="Q175">
        <f>HYPERLINK("https://knru.ru/catalog/nevskaya-guba-uch-5-557876/","ссылка")</f>
        <v/>
      </c>
      <c r="R175" t="inlineStr"/>
      <c r="S175" t="inlineStr"/>
    </row>
    <row r="176">
      <c r="A176" t="inlineStr">
        <is>
          <t>Василеостровский</t>
        </is>
      </c>
      <c r="B176" t="inlineStr">
        <is>
          <t>Челюскина ул, 4 с1</t>
        </is>
      </c>
      <c r="C176" t="inlineStr">
        <is>
          <t>sale</t>
        </is>
      </c>
      <c r="D176" t="inlineStr">
        <is>
          <t>Да</t>
        </is>
      </c>
      <c r="E176" t="inlineStr"/>
      <c r="F176" t="inlineStr"/>
      <c r="G176" t="inlineStr">
        <is>
          <t>37.9</t>
        </is>
      </c>
      <c r="H176" t="inlineStr"/>
      <c r="I176" t="inlineStr"/>
      <c r="J176" t="inlineStr">
        <is>
          <t>19 569 999</t>
        </is>
      </c>
      <c r="K176" t="inlineStr"/>
      <c r="L176" t="inlineStr"/>
      <c r="M176" t="inlineStr">
        <is>
          <t>Нет у нас</t>
        </is>
      </c>
      <c r="N176" t="inlineStr"/>
      <c r="O176" t="inlineStr"/>
      <c r="P176" t="inlineStr"/>
      <c r="Q176">
        <f>HYPERLINK("https://knru.ru/catalog/nevskaya-guba-uch-5/","ссылка")</f>
        <v/>
      </c>
      <c r="R176" t="inlineStr"/>
      <c r="S176" t="inlineStr"/>
    </row>
    <row r="177">
      <c r="A177" t="inlineStr">
        <is>
          <t>Васильевский округ</t>
        </is>
      </c>
      <c r="B177" t="inlineStr">
        <is>
          <t>Макарова наб, 16/2</t>
        </is>
      </c>
      <c r="C177" t="inlineStr">
        <is>
          <t>sale</t>
        </is>
      </c>
      <c r="D177" t="inlineStr"/>
      <c r="E177" t="inlineStr">
        <is>
          <t>Да</t>
        </is>
      </c>
      <c r="F177" t="inlineStr"/>
      <c r="G177" t="inlineStr"/>
      <c r="H177" t="inlineStr">
        <is>
          <t>394.9</t>
        </is>
      </c>
      <c r="I177" t="inlineStr"/>
      <c r="J177" t="inlineStr"/>
      <c r="K177" t="inlineStr">
        <is>
          <t>190 000 000</t>
        </is>
      </c>
      <c r="L177" t="inlineStr"/>
      <c r="M177" t="inlineStr"/>
      <c r="N177" t="inlineStr">
        <is>
          <t>Нет у нас</t>
        </is>
      </c>
      <c r="O177" t="inlineStr"/>
      <c r="P177" t="inlineStr"/>
      <c r="Q177" t="inlineStr"/>
      <c r="R177">
        <f>HYPERLINK("https://nordwestinvest.ru/real-estates/vidovoe-pomeshhenie-3949-m2-v-dome-iakovlevyx-1","ссылка")</f>
        <v/>
      </c>
      <c r="S177" t="inlineStr"/>
    </row>
    <row r="178">
      <c r="A178" t="inlineStr">
        <is>
          <t>Весёлый Посёлок</t>
        </is>
      </c>
      <c r="B178" t="inlineStr">
        <is>
          <t>Шотмана ул, 7</t>
        </is>
      </c>
      <c r="C178" t="inlineStr">
        <is>
          <t>sale</t>
        </is>
      </c>
      <c r="D178" t="inlineStr"/>
      <c r="E178" t="inlineStr">
        <is>
          <t>Да</t>
        </is>
      </c>
      <c r="F178" t="inlineStr"/>
      <c r="G178" t="inlineStr"/>
      <c r="H178" t="inlineStr">
        <is>
          <t>540</t>
        </is>
      </c>
      <c r="I178" t="inlineStr"/>
      <c r="J178" t="inlineStr"/>
      <c r="K178" t="inlineStr">
        <is>
          <t>54 000 000</t>
        </is>
      </c>
      <c r="L178" t="inlineStr"/>
      <c r="M178" t="inlineStr"/>
      <c r="N178" t="inlineStr">
        <is>
          <t>Нет у нас</t>
        </is>
      </c>
      <c r="O178" t="inlineStr"/>
      <c r="P178" t="inlineStr"/>
      <c r="Q178" t="inlineStr"/>
      <c r="R178">
        <f>HYPERLINK("https://nordwestinvest.ru/real-estates/prodaza-s-arendatorom-piaterocka-445m2","ссылка")</f>
        <v/>
      </c>
      <c r="S178" t="inlineStr"/>
    </row>
    <row r="179">
      <c r="A179" t="inlineStr">
        <is>
          <t>Владимирский округ</t>
        </is>
      </c>
      <c r="B179" t="inlineStr">
        <is>
          <t>Колокольная ул, 8 А</t>
        </is>
      </c>
      <c r="C179" t="inlineStr">
        <is>
          <t>sale</t>
        </is>
      </c>
      <c r="D179" t="inlineStr"/>
      <c r="E179" t="inlineStr">
        <is>
          <t>Да</t>
        </is>
      </c>
      <c r="F179" t="inlineStr"/>
      <c r="G179" t="inlineStr"/>
      <c r="H179" t="inlineStr">
        <is>
          <t>190</t>
        </is>
      </c>
      <c r="I179" t="inlineStr"/>
      <c r="J179" t="inlineStr"/>
      <c r="K179" t="inlineStr">
        <is>
          <t>72 000 000</t>
        </is>
      </c>
      <c r="L179" t="inlineStr"/>
      <c r="M179" t="inlineStr"/>
      <c r="N179" t="inlineStr">
        <is>
          <t>По адресу есть, но площадь другая</t>
        </is>
      </c>
      <c r="O179" t="inlineStr"/>
      <c r="P179" t="inlineStr"/>
      <c r="Q179" t="inlineStr"/>
      <c r="R179">
        <f>HYPERLINK("https://nordwestinvest.ru/real-estates/prodaza-s-gruzinskim-restoranom","ссылка")</f>
        <v/>
      </c>
      <c r="S179" t="inlineStr"/>
    </row>
    <row r="180">
      <c r="A180" t="inlineStr">
        <is>
          <t>Владимирский округ</t>
        </is>
      </c>
      <c r="B180" t="inlineStr">
        <is>
          <t>Правды ул, 12/12 А</t>
        </is>
      </c>
      <c r="C180" t="inlineStr">
        <is>
          <t>sale</t>
        </is>
      </c>
      <c r="D180" t="inlineStr"/>
      <c r="E180" t="inlineStr">
        <is>
          <t>Да</t>
        </is>
      </c>
      <c r="F180" t="inlineStr"/>
      <c r="G180" t="inlineStr"/>
      <c r="H180" t="inlineStr">
        <is>
          <t>267.8</t>
        </is>
      </c>
      <c r="I180" t="inlineStr"/>
      <c r="J180" t="inlineStr"/>
      <c r="K180" t="inlineStr">
        <is>
          <t>98 000 000</t>
        </is>
      </c>
      <c r="L180" t="inlineStr"/>
      <c r="M180" t="inlineStr"/>
      <c r="N180" t="inlineStr">
        <is>
          <t>Нет у нас</t>
        </is>
      </c>
      <c r="O180" t="inlineStr"/>
      <c r="P180" t="inlineStr"/>
      <c r="Q180" t="inlineStr"/>
      <c r="R180">
        <f>HYPERLINK("https://nordwestinvest.ru/real-estates/prodaza-pomeshheniia-v-centre-smart-ofis-1","ссылка")</f>
        <v/>
      </c>
      <c r="S180" t="inlineStr"/>
    </row>
    <row r="181">
      <c r="A181" t="inlineStr">
        <is>
          <t>Владимирский округ</t>
        </is>
      </c>
      <c r="B181" t="inlineStr">
        <is>
          <t>Социалистическая ул, 21стр1</t>
        </is>
      </c>
      <c r="C181" t="inlineStr">
        <is>
          <t>sale</t>
        </is>
      </c>
      <c r="D181" t="inlineStr"/>
      <c r="E181" t="inlineStr">
        <is>
          <t>Да</t>
        </is>
      </c>
      <c r="F181" t="inlineStr"/>
      <c r="G181" t="inlineStr"/>
      <c r="H181" t="inlineStr">
        <is>
          <t>313</t>
        </is>
      </c>
      <c r="I181" t="inlineStr"/>
      <c r="J181" t="inlineStr"/>
      <c r="K181" t="inlineStr">
        <is>
          <t>154 000 000</t>
        </is>
      </c>
      <c r="L181" t="inlineStr"/>
      <c r="M181" t="inlineStr"/>
      <c r="N181" t="inlineStr">
        <is>
          <t>Нет у нас</t>
        </is>
      </c>
      <c r="O181" t="inlineStr"/>
      <c r="P181" t="inlineStr"/>
      <c r="Q181" t="inlineStr"/>
      <c r="R181">
        <f>HYPERLINK("https://nordwestinvest.ru/real-estates/prodaza-s-arendatorom-lenta","ссылка")</f>
        <v/>
      </c>
      <c r="S181" t="inlineStr"/>
    </row>
    <row r="182">
      <c r="A182" t="inlineStr">
        <is>
          <t>Владимирский округ</t>
        </is>
      </c>
      <c r="B182" t="inlineStr">
        <is>
          <t>Тюшина ул, 9/7 А</t>
        </is>
      </c>
      <c r="C182" t="inlineStr">
        <is>
          <t>sale</t>
        </is>
      </c>
      <c r="D182" t="inlineStr"/>
      <c r="E182" t="inlineStr">
        <is>
          <t>Да</t>
        </is>
      </c>
      <c r="F182" t="inlineStr"/>
      <c r="G182" t="inlineStr"/>
      <c r="H182" t="inlineStr">
        <is>
          <t>3419</t>
        </is>
      </c>
      <c r="I182" t="inlineStr"/>
      <c r="J182" t="inlineStr"/>
      <c r="K182" t="inlineStr">
        <is>
          <t>800 000 000</t>
        </is>
      </c>
      <c r="L182" t="inlineStr"/>
      <c r="M182" t="inlineStr"/>
      <c r="N182" t="inlineStr">
        <is>
          <t>Нет у нас</t>
        </is>
      </c>
      <c r="O182" t="inlineStr"/>
      <c r="P182" t="inlineStr"/>
      <c r="Q182" t="inlineStr"/>
      <c r="R182">
        <f>HYPERLINK("https://nordwestinvest.ru/real-estates/prodaza-zdaniia-vozle-ligovskogo-pr-kta","ссылка")</f>
        <v/>
      </c>
      <c r="S182" t="inlineStr"/>
    </row>
    <row r="183">
      <c r="A183" t="inlineStr">
        <is>
          <t>Всеволожский</t>
        </is>
      </c>
      <c r="B183" t="inlineStr">
        <is>
          <t>Воронцовский б-р, 17</t>
        </is>
      </c>
      <c r="C183" t="inlineStr">
        <is>
          <t>sale</t>
        </is>
      </c>
      <c r="D183" t="inlineStr">
        <is>
          <t>Да</t>
        </is>
      </c>
      <c r="E183" t="inlineStr"/>
      <c r="F183" t="inlineStr"/>
      <c r="G183" t="inlineStr">
        <is>
          <t>149</t>
        </is>
      </c>
      <c r="H183" t="inlineStr"/>
      <c r="I183" t="inlineStr"/>
      <c r="J183" t="inlineStr">
        <is>
          <t>62 000 000</t>
        </is>
      </c>
      <c r="K183" t="inlineStr"/>
      <c r="L183" t="inlineStr"/>
      <c r="M183" t="inlineStr">
        <is>
          <t>Нет у нас</t>
        </is>
      </c>
      <c r="N183" t="inlineStr"/>
      <c r="O183" t="inlineStr"/>
      <c r="P183" t="inlineStr"/>
      <c r="Q183">
        <f>HYPERLINK("https://knru.ru/catalog/vorontsovskiy-b-r-17/","ссылка")</f>
        <v/>
      </c>
      <c r="R183" t="inlineStr"/>
      <c r="S183" t="inlineStr"/>
    </row>
    <row r="184">
      <c r="A184" t="inlineStr">
        <is>
          <t>Всеволожский</t>
        </is>
      </c>
      <c r="B184" t="inlineStr">
        <is>
          <t>Воронцовский б-р, 17</t>
        </is>
      </c>
      <c r="C184" t="inlineStr">
        <is>
          <t>sale</t>
        </is>
      </c>
      <c r="D184" t="inlineStr">
        <is>
          <t>Да</t>
        </is>
      </c>
      <c r="E184" t="inlineStr"/>
      <c r="F184" t="inlineStr"/>
      <c r="G184" t="inlineStr">
        <is>
          <t>89</t>
        </is>
      </c>
      <c r="H184" t="inlineStr"/>
      <c r="I184" t="inlineStr"/>
      <c r="J184" t="inlineStr">
        <is>
          <t>44 800 000</t>
        </is>
      </c>
      <c r="K184" t="inlineStr"/>
      <c r="L184" t="inlineStr"/>
      <c r="M184" t="inlineStr">
        <is>
          <t>Нет у нас</t>
        </is>
      </c>
      <c r="N184" t="inlineStr"/>
      <c r="O184" t="inlineStr"/>
      <c r="P184" t="inlineStr"/>
      <c r="Q184">
        <f>HYPERLINK("https://knru.ru/catalog/bul-vorontsovskiy-d-17/","ссылка")</f>
        <v/>
      </c>
      <c r="R184" t="inlineStr"/>
      <c r="S184" t="inlineStr"/>
    </row>
    <row r="185">
      <c r="A185" t="inlineStr">
        <is>
          <t>Всеволожский</t>
        </is>
      </c>
      <c r="B185" t="inlineStr">
        <is>
          <t>Воронцовский б-р, 21к3</t>
        </is>
      </c>
      <c r="C185" t="inlineStr">
        <is>
          <t>sale</t>
        </is>
      </c>
      <c r="D185" t="inlineStr">
        <is>
          <t>Да</t>
        </is>
      </c>
      <c r="E185" t="inlineStr"/>
      <c r="F185" t="inlineStr"/>
      <c r="G185" t="inlineStr">
        <is>
          <t>97.7</t>
        </is>
      </c>
      <c r="H185" t="inlineStr"/>
      <c r="I185" t="inlineStr"/>
      <c r="J185" t="inlineStr">
        <is>
          <t>29 952 000</t>
        </is>
      </c>
      <c r="K185" t="inlineStr"/>
      <c r="L185" t="inlineStr"/>
      <c r="M185" t="inlineStr">
        <is>
          <t>Нет у нас</t>
        </is>
      </c>
      <c r="N185" t="inlineStr"/>
      <c r="O185" t="inlineStr"/>
      <c r="P185" t="inlineStr"/>
      <c r="Q185">
        <f>HYPERLINK("https://knru.ru/catalog/g-murino-vorontsovskij-b-r-d-21-k-3/","ссылка")</f>
        <v/>
      </c>
      <c r="R185" t="inlineStr"/>
      <c r="S185" t="inlineStr"/>
    </row>
    <row r="186">
      <c r="A186" t="inlineStr">
        <is>
          <t>Всеволожский</t>
        </is>
      </c>
      <c r="B186" t="inlineStr">
        <is>
          <t>Главная ул, 54</t>
        </is>
      </c>
      <c r="C186" t="inlineStr">
        <is>
          <t>sale</t>
        </is>
      </c>
      <c r="D186" t="inlineStr">
        <is>
          <t>Да</t>
        </is>
      </c>
      <c r="E186" t="inlineStr"/>
      <c r="F186" t="inlineStr"/>
      <c r="G186" t="inlineStr">
        <is>
          <t>867</t>
        </is>
      </c>
      <c r="H186" t="inlineStr"/>
      <c r="I186" t="inlineStr"/>
      <c r="J186" t="inlineStr">
        <is>
          <t>125 000 000</t>
        </is>
      </c>
      <c r="K186" t="inlineStr"/>
      <c r="L186" t="inlineStr"/>
      <c r="M186" t="inlineStr">
        <is>
          <t>Нет у нас</t>
        </is>
      </c>
      <c r="N186" t="inlineStr"/>
      <c r="O186" t="inlineStr"/>
      <c r="P186" t="inlineStr"/>
      <c r="Q186">
        <f>HYPERLINK("https://knru.ru/catalog/d-novoe-devyatkino-ul-glavnaya-d-54a/","ссылка")</f>
        <v/>
      </c>
      <c r="R186" t="inlineStr"/>
      <c r="S186" t="inlineStr"/>
    </row>
    <row r="187">
      <c r="A187" t="inlineStr">
        <is>
          <t>Всеволожский</t>
        </is>
      </c>
      <c r="B187" t="inlineStr">
        <is>
          <t>Графская ул, 6</t>
        </is>
      </c>
      <c r="C187" t="inlineStr">
        <is>
          <t>sale</t>
        </is>
      </c>
      <c r="D187" t="inlineStr">
        <is>
          <t>Да</t>
        </is>
      </c>
      <c r="E187" t="inlineStr"/>
      <c r="F187" t="inlineStr"/>
      <c r="G187" t="inlineStr">
        <is>
          <t>7192</t>
        </is>
      </c>
      <c r="H187" t="inlineStr"/>
      <c r="I187" t="inlineStr"/>
      <c r="J187" t="inlineStr">
        <is>
          <t>29 500 000</t>
        </is>
      </c>
      <c r="K187" t="inlineStr"/>
      <c r="L187" t="inlineStr"/>
      <c r="M187" t="inlineStr">
        <is>
          <t>Нет у нас</t>
        </is>
      </c>
      <c r="N187" t="inlineStr"/>
      <c r="O187" t="inlineStr"/>
      <c r="P187" t="inlineStr"/>
      <c r="Q187">
        <f>HYPERLINK("https://knru.ru/catalog/grafskaya-ul-6/","ссылка")</f>
        <v/>
      </c>
      <c r="R187" t="inlineStr"/>
      <c r="S187" t="inlineStr"/>
    </row>
    <row r="188">
      <c r="A188" t="inlineStr">
        <is>
          <t>Всеволожский</t>
        </is>
      </c>
      <c r="B188" t="inlineStr">
        <is>
          <t>ЖК iD Murino III , 1</t>
        </is>
      </c>
      <c r="C188" t="inlineStr">
        <is>
          <t>sale</t>
        </is>
      </c>
      <c r="D188" t="inlineStr">
        <is>
          <t>Да</t>
        </is>
      </c>
      <c r="E188" t="inlineStr"/>
      <c r="F188" t="inlineStr"/>
      <c r="G188" t="inlineStr">
        <is>
          <t>92.7</t>
        </is>
      </c>
      <c r="H188" t="inlineStr"/>
      <c r="I188" t="inlineStr"/>
      <c r="J188" t="inlineStr">
        <is>
          <t>31 504 400</t>
        </is>
      </c>
      <c r="K188" t="inlineStr"/>
      <c r="L188" t="inlineStr"/>
      <c r="M188" t="inlineStr">
        <is>
          <t>Нет у нас</t>
        </is>
      </c>
      <c r="N188" t="inlineStr"/>
      <c r="O188" t="inlineStr"/>
      <c r="P188" t="inlineStr"/>
      <c r="Q188">
        <f>HYPERLINK("https://knru.ru/catalog/zhk-id-murino-iii-1-769548466/","ссылка")</f>
        <v/>
      </c>
      <c r="R188" t="inlineStr"/>
      <c r="S188" t="inlineStr"/>
    </row>
    <row r="189">
      <c r="A189" t="inlineStr">
        <is>
          <t>Всеволожский</t>
        </is>
      </c>
      <c r="B189" t="inlineStr">
        <is>
          <t>ЖК iD Murino III , 1</t>
        </is>
      </c>
      <c r="C189" t="inlineStr">
        <is>
          <t>sale</t>
        </is>
      </c>
      <c r="D189" t="inlineStr">
        <is>
          <t>Да</t>
        </is>
      </c>
      <c r="E189" t="inlineStr"/>
      <c r="F189" t="inlineStr"/>
      <c r="G189" t="inlineStr">
        <is>
          <t>45.8</t>
        </is>
      </c>
      <c r="H189" t="inlineStr"/>
      <c r="I189" t="inlineStr"/>
      <c r="J189" t="inlineStr">
        <is>
          <t>16 012 500</t>
        </is>
      </c>
      <c r="K189" t="inlineStr"/>
      <c r="L189" t="inlineStr"/>
      <c r="M189" t="inlineStr">
        <is>
          <t>Нет у нас</t>
        </is>
      </c>
      <c r="N189" t="inlineStr"/>
      <c r="O189" t="inlineStr"/>
      <c r="P189" t="inlineStr"/>
      <c r="Q189">
        <f>HYPERLINK("https://knru.ru/catalog/zhk-id-murino-iii-1-520868376/","ссылка")</f>
        <v/>
      </c>
      <c r="R189" t="inlineStr"/>
      <c r="S189" t="inlineStr"/>
    </row>
    <row r="190">
      <c r="A190" t="inlineStr">
        <is>
          <t>Всеволожский</t>
        </is>
      </c>
      <c r="B190" t="inlineStr">
        <is>
          <t>ЖК iD Murino III , 1</t>
        </is>
      </c>
      <c r="C190" t="inlineStr">
        <is>
          <t>sale</t>
        </is>
      </c>
      <c r="D190" t="inlineStr">
        <is>
          <t>Да</t>
        </is>
      </c>
      <c r="E190" t="inlineStr"/>
      <c r="F190" t="inlineStr"/>
      <c r="G190" t="inlineStr">
        <is>
          <t>25</t>
        </is>
      </c>
      <c r="H190" t="inlineStr"/>
      <c r="I190" t="inlineStr"/>
      <c r="J190" t="inlineStr">
        <is>
          <t>8 236 800</t>
        </is>
      </c>
      <c r="K190" t="inlineStr"/>
      <c r="L190" t="inlineStr"/>
      <c r="M190" t="inlineStr">
        <is>
          <t>Нет у нас</t>
        </is>
      </c>
      <c r="N190" t="inlineStr"/>
      <c r="O190" t="inlineStr"/>
      <c r="P190" t="inlineStr"/>
      <c r="Q190">
        <f>HYPERLINK("https://knru.ru/catalog/zhk-id-murino-iii-1/","ссылка")</f>
        <v/>
      </c>
      <c r="R190" t="inlineStr"/>
      <c r="S190" t="inlineStr"/>
    </row>
    <row r="191">
      <c r="A191" t="inlineStr">
        <is>
          <t>Всеволожский</t>
        </is>
      </c>
      <c r="B191" t="inlineStr">
        <is>
          <t>ЖК Мурино III, к. 1.1</t>
        </is>
      </c>
      <c r="C191" t="inlineStr">
        <is>
          <t>sale</t>
        </is>
      </c>
      <c r="D191" t="inlineStr">
        <is>
          <t>Да</t>
        </is>
      </c>
      <c r="E191" t="inlineStr"/>
      <c r="F191" t="inlineStr"/>
      <c r="G191" t="inlineStr">
        <is>
          <t>67</t>
        </is>
      </c>
      <c r="H191" t="inlineStr"/>
      <c r="I191" t="inlineStr"/>
      <c r="J191" t="inlineStr">
        <is>
          <t>24 138 000</t>
        </is>
      </c>
      <c r="K191" t="inlineStr"/>
      <c r="L191" t="inlineStr"/>
      <c r="M191" t="inlineStr">
        <is>
          <t>Нет у нас</t>
        </is>
      </c>
      <c r="N191" t="inlineStr"/>
      <c r="O191" t="inlineStr"/>
      <c r="P191" t="inlineStr"/>
      <c r="Q191">
        <f>HYPERLINK("https://knru.ru/catalog/zhk-murino-iii-k-2-2-425703499/","ссылка")</f>
        <v/>
      </c>
      <c r="R191" t="inlineStr"/>
      <c r="S191" t="inlineStr"/>
    </row>
    <row r="192">
      <c r="A192" t="inlineStr">
        <is>
          <t>Всеволожский</t>
        </is>
      </c>
      <c r="B192" t="inlineStr">
        <is>
          <t>ЖК Мурино III, к. 1.1</t>
        </is>
      </c>
      <c r="C192" t="inlineStr">
        <is>
          <t>sale</t>
        </is>
      </c>
      <c r="D192" t="inlineStr">
        <is>
          <t>Да</t>
        </is>
      </c>
      <c r="E192" t="inlineStr"/>
      <c r="F192" t="inlineStr"/>
      <c r="G192" t="inlineStr">
        <is>
          <t>48.3</t>
        </is>
      </c>
      <c r="H192" t="inlineStr"/>
      <c r="I192" t="inlineStr"/>
      <c r="J192" t="inlineStr">
        <is>
          <t>15 945 600</t>
        </is>
      </c>
      <c r="K192" t="inlineStr"/>
      <c r="L192" t="inlineStr"/>
      <c r="M192" t="inlineStr">
        <is>
          <t>Нет у нас</t>
        </is>
      </c>
      <c r="N192" t="inlineStr"/>
      <c r="O192" t="inlineStr"/>
      <c r="P192" t="inlineStr"/>
      <c r="Q192">
        <f>HYPERLINK("https://knru.ru/catalog/zhk-murino-iii/","ссылка")</f>
        <v/>
      </c>
      <c r="R192" t="inlineStr"/>
      <c r="S192" t="inlineStr"/>
    </row>
    <row r="193">
      <c r="A193" t="inlineStr">
        <is>
          <t>Всеволожский</t>
        </is>
      </c>
      <c r="B193" t="inlineStr">
        <is>
          <t>ЖК Мурино III, к. 2.2</t>
        </is>
      </c>
      <c r="C193" t="inlineStr">
        <is>
          <t>sale</t>
        </is>
      </c>
      <c r="D193" t="inlineStr">
        <is>
          <t>Да</t>
        </is>
      </c>
      <c r="E193" t="inlineStr"/>
      <c r="F193" t="inlineStr"/>
      <c r="G193" t="inlineStr">
        <is>
          <t>133.2</t>
        </is>
      </c>
      <c r="H193" t="inlineStr"/>
      <c r="I193" t="inlineStr"/>
      <c r="J193" t="inlineStr">
        <is>
          <t>47 973 600</t>
        </is>
      </c>
      <c r="K193" t="inlineStr"/>
      <c r="L193" t="inlineStr"/>
      <c r="M193" t="inlineStr">
        <is>
          <t>Нет у нас</t>
        </is>
      </c>
      <c r="N193" t="inlineStr"/>
      <c r="O193" t="inlineStr"/>
      <c r="P193" t="inlineStr"/>
      <c r="Q193">
        <f>HYPERLINK("https://knru.ru/catalog/zhk-murino-iii-k-2-2-574272400/","ссылка")</f>
        <v/>
      </c>
      <c r="R193" t="inlineStr"/>
      <c r="S193" t="inlineStr"/>
    </row>
    <row r="194">
      <c r="A194" t="inlineStr">
        <is>
          <t>Всеволожский</t>
        </is>
      </c>
      <c r="B194" t="inlineStr">
        <is>
          <t>Индустриальная ул</t>
        </is>
      </c>
      <c r="C194" t="inlineStr">
        <is>
          <t>sale</t>
        </is>
      </c>
      <c r="D194" t="inlineStr">
        <is>
          <t>Да</t>
        </is>
      </c>
      <c r="E194" t="inlineStr"/>
      <c r="F194" t="inlineStr"/>
      <c r="G194" t="inlineStr">
        <is>
          <t>1884</t>
        </is>
      </c>
      <c r="H194" t="inlineStr"/>
      <c r="I194" t="inlineStr"/>
      <c r="J194" t="inlineStr">
        <is>
          <t>65 000 000</t>
        </is>
      </c>
      <c r="K194" t="inlineStr"/>
      <c r="L194" t="inlineStr"/>
      <c r="M194" t="inlineStr">
        <is>
          <t>Нет у нас</t>
        </is>
      </c>
      <c r="N194" t="inlineStr"/>
      <c r="O194" t="inlineStr"/>
      <c r="P194" t="inlineStr"/>
      <c r="Q194">
        <f>HYPERLINK("https://knru.ru/catalog/industrialnaya-ul/","ссылка")</f>
        <v/>
      </c>
      <c r="R194" t="inlineStr"/>
      <c r="S194" t="inlineStr"/>
    </row>
    <row r="195">
      <c r="A195" t="inlineStr">
        <is>
          <t>Всеволожский</t>
        </is>
      </c>
      <c r="B195" t="inlineStr">
        <is>
          <t>Индустриальная ул, 12/4</t>
        </is>
      </c>
      <c r="C195" t="inlineStr">
        <is>
          <t>sale</t>
        </is>
      </c>
      <c r="D195" t="inlineStr">
        <is>
          <t>Да</t>
        </is>
      </c>
      <c r="E195" t="inlineStr"/>
      <c r="F195" t="inlineStr"/>
      <c r="G195" t="inlineStr">
        <is>
          <t>4794</t>
        </is>
      </c>
      <c r="H195" t="inlineStr"/>
      <c r="I195" t="inlineStr"/>
      <c r="J195" t="inlineStr">
        <is>
          <t>23 970 000</t>
        </is>
      </c>
      <c r="K195" t="inlineStr"/>
      <c r="L195" t="inlineStr"/>
      <c r="M195" t="inlineStr">
        <is>
          <t>Нет у нас</t>
        </is>
      </c>
      <c r="N195" t="inlineStr"/>
      <c r="O195" t="inlineStr"/>
      <c r="P195" t="inlineStr"/>
      <c r="Q195">
        <f>HYPERLINK("https://knru.ru/catalog/industrialnaya-ul-12-4-419056949/","ссылка")</f>
        <v/>
      </c>
      <c r="R195" t="inlineStr"/>
      <c r="S195" t="inlineStr"/>
    </row>
    <row r="196">
      <c r="A196" t="inlineStr">
        <is>
          <t>Всеволожский</t>
        </is>
      </c>
      <c r="B196" t="inlineStr">
        <is>
          <t>Индустриальная ул, 12/4</t>
        </is>
      </c>
      <c r="C196" t="inlineStr">
        <is>
          <t>sale</t>
        </is>
      </c>
      <c r="D196" t="inlineStr">
        <is>
          <t>Да</t>
        </is>
      </c>
      <c r="E196" t="inlineStr"/>
      <c r="F196" t="inlineStr"/>
      <c r="G196" t="inlineStr">
        <is>
          <t>2948</t>
        </is>
      </c>
      <c r="H196" t="inlineStr"/>
      <c r="I196" t="inlineStr"/>
      <c r="J196" t="inlineStr">
        <is>
          <t>13 266 000</t>
        </is>
      </c>
      <c r="K196" t="inlineStr"/>
      <c r="L196" t="inlineStr"/>
      <c r="M196" t="inlineStr">
        <is>
          <t>Нет у нас</t>
        </is>
      </c>
      <c r="N196" t="inlineStr"/>
      <c r="O196" t="inlineStr"/>
      <c r="P196" t="inlineStr"/>
      <c r="Q196">
        <f>HYPERLINK("https://knru.ru/catalog/industrialnaya-ul-12-4-2089805111/","ссылка")</f>
        <v/>
      </c>
      <c r="R196" t="inlineStr"/>
      <c r="S196" t="inlineStr"/>
    </row>
    <row r="197">
      <c r="A197" t="inlineStr">
        <is>
          <t>Всеволожский</t>
        </is>
      </c>
      <c r="B197" t="inlineStr">
        <is>
          <t>Индустриальная ул, 12/4</t>
        </is>
      </c>
      <c r="C197" t="inlineStr">
        <is>
          <t>sale</t>
        </is>
      </c>
      <c r="D197" t="inlineStr">
        <is>
          <t>Да</t>
        </is>
      </c>
      <c r="E197" t="inlineStr"/>
      <c r="F197" t="inlineStr"/>
      <c r="G197" t="inlineStr">
        <is>
          <t>4999</t>
        </is>
      </c>
      <c r="H197" t="inlineStr"/>
      <c r="I197" t="inlineStr"/>
      <c r="J197" t="inlineStr">
        <is>
          <t>22 495 000</t>
        </is>
      </c>
      <c r="K197" t="inlineStr"/>
      <c r="L197" t="inlineStr"/>
      <c r="M197" t="inlineStr">
        <is>
          <t>Нет у нас</t>
        </is>
      </c>
      <c r="N197" t="inlineStr"/>
      <c r="O197" t="inlineStr"/>
      <c r="P197" t="inlineStr"/>
      <c r="Q197">
        <f>HYPERLINK("https://knru.ru/catalog/industrialnaya-ul-12-4/","ссылка")</f>
        <v/>
      </c>
      <c r="R197" t="inlineStr"/>
      <c r="S197" t="inlineStr"/>
    </row>
    <row r="198">
      <c r="A198" t="inlineStr">
        <is>
          <t>Всеволожский</t>
        </is>
      </c>
      <c r="B198" t="inlineStr">
        <is>
          <t>Колтушское ш, 1.1</t>
        </is>
      </c>
      <c r="C198" t="inlineStr">
        <is>
          <t>sale</t>
        </is>
      </c>
      <c r="D198" t="inlineStr">
        <is>
          <t>Да</t>
        </is>
      </c>
      <c r="E198" t="inlineStr"/>
      <c r="F198" t="inlineStr"/>
      <c r="G198" t="inlineStr">
        <is>
          <t>67.7</t>
        </is>
      </c>
      <c r="H198" t="inlineStr"/>
      <c r="I198" t="inlineStr"/>
      <c r="J198" t="inlineStr">
        <is>
          <t>14 657 990</t>
        </is>
      </c>
      <c r="K198" t="inlineStr"/>
      <c r="L198" t="inlineStr"/>
      <c r="M198" t="inlineStr">
        <is>
          <t>Нет у нас</t>
        </is>
      </c>
      <c r="N198" t="inlineStr"/>
      <c r="O198" t="inlineStr"/>
      <c r="P198" t="inlineStr"/>
      <c r="Q198">
        <f>HYPERLINK("https://knru.ru/catalog/vsevolozhsk-mkrn-yuzhnyj-k1-1-559357/","ссылка")</f>
        <v/>
      </c>
      <c r="R198" t="inlineStr"/>
      <c r="S198" t="inlineStr"/>
    </row>
    <row r="199">
      <c r="A199" t="inlineStr">
        <is>
          <t>Всеволожский</t>
        </is>
      </c>
      <c r="B199" t="inlineStr">
        <is>
          <t>Колтушское ш, 1.1</t>
        </is>
      </c>
      <c r="C199" t="inlineStr">
        <is>
          <t>sale</t>
        </is>
      </c>
      <c r="D199" t="inlineStr">
        <is>
          <t>Да</t>
        </is>
      </c>
      <c r="E199" t="inlineStr"/>
      <c r="F199" t="inlineStr"/>
      <c r="G199" t="inlineStr">
        <is>
          <t>27.9</t>
        </is>
      </c>
      <c r="H199" t="inlineStr"/>
      <c r="I199" t="inlineStr"/>
      <c r="J199" t="inlineStr">
        <is>
          <t>6 534 564</t>
        </is>
      </c>
      <c r="K199" t="inlineStr"/>
      <c r="L199" t="inlineStr"/>
      <c r="M199" t="inlineStr">
        <is>
          <t>Нет у нас</t>
        </is>
      </c>
      <c r="N199" t="inlineStr"/>
      <c r="O199" t="inlineStr"/>
      <c r="P199" t="inlineStr"/>
      <c r="Q199">
        <f>HYPERLINK("https://knru.ru/catalog/vsevolozhsk-mkrn-yuzhnyj-k1-1-559362/","ссылка")</f>
        <v/>
      </c>
      <c r="R199" t="inlineStr"/>
      <c r="S199" t="inlineStr"/>
    </row>
    <row r="200">
      <c r="A200" t="inlineStr">
        <is>
          <t>Всеволожский</t>
        </is>
      </c>
      <c r="B200" t="inlineStr">
        <is>
          <t>Колтушское ш, 1.1</t>
        </is>
      </c>
      <c r="C200" t="inlineStr">
        <is>
          <t>sale</t>
        </is>
      </c>
      <c r="D200" t="inlineStr">
        <is>
          <t>Да</t>
        </is>
      </c>
      <c r="E200" t="inlineStr"/>
      <c r="F200" t="inlineStr"/>
      <c r="G200" t="inlineStr">
        <is>
          <t>72.9</t>
        </is>
      </c>
      <c r="H200" t="inlineStr"/>
      <c r="I200" t="inlineStr"/>
      <c r="J200" t="inlineStr">
        <is>
          <t>14 815 469</t>
        </is>
      </c>
      <c r="K200" t="inlineStr"/>
      <c r="L200" t="inlineStr"/>
      <c r="M200" t="inlineStr">
        <is>
          <t>Нет у нас</t>
        </is>
      </c>
      <c r="N200" t="inlineStr"/>
      <c r="O200" t="inlineStr"/>
      <c r="P200" t="inlineStr"/>
      <c r="Q200">
        <f>HYPERLINK("https://knru.ru/catalog/vsevolozhsk-mkrn-yuzhnyj-k1-1-559360/","ссылка")</f>
        <v/>
      </c>
      <c r="R200" t="inlineStr"/>
      <c r="S200" t="inlineStr"/>
    </row>
    <row r="201">
      <c r="A201" t="inlineStr">
        <is>
          <t>Всеволожский</t>
        </is>
      </c>
      <c r="B201" t="inlineStr">
        <is>
          <t>Колтушское ш, 63</t>
        </is>
      </c>
      <c r="C201" t="inlineStr">
        <is>
          <t>sale</t>
        </is>
      </c>
      <c r="D201" t="inlineStr">
        <is>
          <t>Да</t>
        </is>
      </c>
      <c r="E201" t="inlineStr"/>
      <c r="F201" t="inlineStr"/>
      <c r="G201" t="inlineStr">
        <is>
          <t>2700</t>
        </is>
      </c>
      <c r="H201" t="inlineStr"/>
      <c r="I201" t="inlineStr"/>
      <c r="J201" t="inlineStr">
        <is>
          <t>37 000 000</t>
        </is>
      </c>
      <c r="K201" t="inlineStr"/>
      <c r="L201" t="inlineStr"/>
      <c r="M201" t="inlineStr">
        <is>
          <t>Нет у нас</t>
        </is>
      </c>
      <c r="N201" t="inlineStr"/>
      <c r="O201" t="inlineStr"/>
      <c r="P201" t="inlineStr"/>
      <c r="Q201">
        <f>HYPERLINK("https://knru.ru/catalog/koltushskoe-sh-63/","ссылка")</f>
        <v/>
      </c>
      <c r="R201" t="inlineStr"/>
      <c r="S201" t="inlineStr"/>
    </row>
    <row r="202">
      <c r="A202" t="inlineStr">
        <is>
          <t>Всеволожский</t>
        </is>
      </c>
      <c r="B202" t="inlineStr">
        <is>
          <t>Ленинградская обл, Верхние Осельки д, Ленинградская ул, 17</t>
        </is>
      </c>
      <c r="C202" t="inlineStr">
        <is>
          <t>sale</t>
        </is>
      </c>
      <c r="D202" t="inlineStr"/>
      <c r="E202" t="inlineStr">
        <is>
          <t>Да</t>
        </is>
      </c>
      <c r="F202" t="inlineStr"/>
      <c r="G202" t="inlineStr"/>
      <c r="H202" t="inlineStr">
        <is>
          <t>1310</t>
        </is>
      </c>
      <c r="I202" t="inlineStr"/>
      <c r="J202" t="inlineStr"/>
      <c r="K202" t="inlineStr">
        <is>
          <t>7 750 000</t>
        </is>
      </c>
      <c r="L202" t="inlineStr"/>
      <c r="M202" t="inlineStr"/>
      <c r="N202" t="inlineStr">
        <is>
          <t>Нет у нас</t>
        </is>
      </c>
      <c r="O202" t="inlineStr"/>
      <c r="P202" t="inlineStr"/>
      <c r="Q202" t="inlineStr"/>
      <c r="R202">
        <f>HYPERLINK("https://nordwestinvest.ru/real-estates/prodaza-ucastka-pod-stroitelstvo","ссылка")</f>
        <v/>
      </c>
      <c r="S202" t="inlineStr"/>
    </row>
    <row r="203">
      <c r="A203" t="inlineStr">
        <is>
          <t>Всеволожский</t>
        </is>
      </c>
      <c r="B203" t="inlineStr">
        <is>
          <t>Ленинградская обл, Всеволожск г, Всеволожский пр-кт, 17</t>
        </is>
      </c>
      <c r="C203" t="inlineStr">
        <is>
          <t>sale</t>
        </is>
      </c>
      <c r="D203" t="inlineStr"/>
      <c r="E203" t="inlineStr">
        <is>
          <t>Да</t>
        </is>
      </c>
      <c r="F203" t="inlineStr"/>
      <c r="G203" t="inlineStr"/>
      <c r="H203" t="inlineStr">
        <is>
          <t>5644.8</t>
        </is>
      </c>
      <c r="I203" t="inlineStr"/>
      <c r="J203" t="inlineStr"/>
      <c r="K203" t="inlineStr">
        <is>
          <t>450 000 000</t>
        </is>
      </c>
      <c r="L203" t="inlineStr"/>
      <c r="M203" t="inlineStr"/>
      <c r="N203" t="inlineStr">
        <is>
          <t>Нет у нас</t>
        </is>
      </c>
      <c r="O203" t="inlineStr"/>
      <c r="P203" t="inlineStr"/>
      <c r="Q203" t="inlineStr"/>
      <c r="R203">
        <f>HYPERLINK("https://nordwestinvest.ru/real-estates/prodaza-bc-i-zemelnogo-ucastka-56448-m2","ссылка")</f>
        <v/>
      </c>
      <c r="S203" t="inlineStr"/>
    </row>
    <row r="204">
      <c r="A204" t="inlineStr">
        <is>
          <t>Всеволожский</t>
        </is>
      </c>
      <c r="B204" t="inlineStr">
        <is>
          <t>Ленинградская обл, Всеволожск г, Колтушское ш, 298А</t>
        </is>
      </c>
      <c r="C204" t="inlineStr">
        <is>
          <t>sale</t>
        </is>
      </c>
      <c r="D204" t="inlineStr"/>
      <c r="E204" t="inlineStr">
        <is>
          <t>Да</t>
        </is>
      </c>
      <c r="F204" t="inlineStr"/>
      <c r="G204" t="inlineStr"/>
      <c r="H204" t="inlineStr">
        <is>
          <t>1382</t>
        </is>
      </c>
      <c r="I204" t="inlineStr"/>
      <c r="J204" t="inlineStr"/>
      <c r="K204" t="inlineStr">
        <is>
          <t>110 000 000</t>
        </is>
      </c>
      <c r="L204" t="inlineStr"/>
      <c r="M204" t="inlineStr"/>
      <c r="N204" t="inlineStr">
        <is>
          <t>Нет у нас</t>
        </is>
      </c>
      <c r="O204" t="inlineStr"/>
      <c r="P204" t="inlineStr"/>
      <c r="Q204" t="inlineStr"/>
      <c r="R204">
        <f>HYPERLINK("https://nordwestinvest.ru/real-estates/prodaza-zdaniia-1382-m2-s-arendatorami","ссылка")</f>
        <v/>
      </c>
      <c r="S204" t="inlineStr"/>
    </row>
    <row r="205">
      <c r="A205" t="inlineStr">
        <is>
          <t>Всеволожский</t>
        </is>
      </c>
      <c r="B205" t="inlineStr">
        <is>
          <t>Ленинградская обл, Всеволожск г, Колтушское ш, 44к1</t>
        </is>
      </c>
      <c r="C205" t="inlineStr">
        <is>
          <t>sale</t>
        </is>
      </c>
      <c r="D205" t="inlineStr"/>
      <c r="E205" t="inlineStr">
        <is>
          <t>Да</t>
        </is>
      </c>
      <c r="F205" t="inlineStr"/>
      <c r="G205" t="inlineStr"/>
      <c r="H205" t="inlineStr">
        <is>
          <t>176</t>
        </is>
      </c>
      <c r="I205" t="inlineStr"/>
      <c r="J205" t="inlineStr"/>
      <c r="K205" t="inlineStr">
        <is>
          <t>80 000 000</t>
        </is>
      </c>
      <c r="L205" t="inlineStr"/>
      <c r="M205" t="inlineStr"/>
      <c r="N205" t="inlineStr">
        <is>
          <t>Нет у нас</t>
        </is>
      </c>
      <c r="O205" t="inlineStr"/>
      <c r="P205" t="inlineStr"/>
      <c r="Q205" t="inlineStr"/>
      <c r="R205">
        <f>HYPERLINK("https://nordwestinvest.ru/real-estates/prodaza-pomeshheniia-s-medicinskim-centrom","ссылка")</f>
        <v/>
      </c>
      <c r="S205" t="inlineStr"/>
    </row>
    <row r="206">
      <c r="A206" t="inlineStr">
        <is>
          <t>Всеволожский</t>
        </is>
      </c>
      <c r="B206" t="inlineStr">
        <is>
          <t>Ленинградская обл, Всеволожск г, Колтушское ш, 44к1</t>
        </is>
      </c>
      <c r="C206" t="inlineStr">
        <is>
          <t>sale</t>
        </is>
      </c>
      <c r="D206" t="inlineStr"/>
      <c r="E206" t="inlineStr">
        <is>
          <t>Да</t>
        </is>
      </c>
      <c r="F206" t="inlineStr"/>
      <c r="G206" t="inlineStr"/>
      <c r="H206" t="inlineStr">
        <is>
          <t>266</t>
        </is>
      </c>
      <c r="I206" t="inlineStr"/>
      <c r="J206" t="inlineStr"/>
      <c r="K206" t="inlineStr">
        <is>
          <t>90 000 000</t>
        </is>
      </c>
      <c r="L206" t="inlineStr"/>
      <c r="M206" t="inlineStr"/>
      <c r="N206" t="inlineStr">
        <is>
          <t>Нет у нас</t>
        </is>
      </c>
      <c r="O206" t="inlineStr"/>
      <c r="P206" t="inlineStr"/>
      <c r="Q206" t="inlineStr"/>
      <c r="R206">
        <f>HYPERLINK("https://nordwestinvest.ru/real-estates/prodaza-susi-bara-i-med-centra-okupaemost-6-let-1","ссылка")</f>
        <v/>
      </c>
      <c r="S206" t="inlineStr"/>
    </row>
    <row r="207">
      <c r="A207" t="inlineStr">
        <is>
          <t>Всеволожский</t>
        </is>
      </c>
      <c r="B207" t="inlineStr">
        <is>
          <t>Ленинградская обл, Колтуши г, Мира ул, 9</t>
        </is>
      </c>
      <c r="C207" t="inlineStr">
        <is>
          <t>sale</t>
        </is>
      </c>
      <c r="D207" t="inlineStr"/>
      <c r="E207" t="inlineStr">
        <is>
          <t>Да</t>
        </is>
      </c>
      <c r="F207" t="inlineStr"/>
      <c r="G207" t="inlineStr"/>
      <c r="H207" t="inlineStr">
        <is>
          <t>569</t>
        </is>
      </c>
      <c r="I207" t="inlineStr"/>
      <c r="J207" t="inlineStr"/>
      <c r="K207" t="inlineStr">
        <is>
          <t>66 000 000</t>
        </is>
      </c>
      <c r="L207" t="inlineStr"/>
      <c r="M207" t="inlineStr"/>
      <c r="N207" t="inlineStr">
        <is>
          <t>По адресу есть, но площадь другая</t>
        </is>
      </c>
      <c r="O207" t="inlineStr"/>
      <c r="P207" t="inlineStr"/>
      <c r="Q207" t="inlineStr"/>
      <c r="R207">
        <f>HYPERLINK("https://nordwestinvest.ru/real-estates/prodaza-s-arendatorom-magnit-569-m2-2","ссылка")</f>
        <v/>
      </c>
      <c r="S207" t="inlineStr"/>
    </row>
    <row r="208">
      <c r="A208" t="inlineStr">
        <is>
          <t>Всеволожский</t>
        </is>
      </c>
      <c r="B208" t="inlineStr">
        <is>
          <t>Ленинградская обл, Мурино г, Воронцовский б-р, 16к1</t>
        </is>
      </c>
      <c r="C208" t="inlineStr">
        <is>
          <t>sale</t>
        </is>
      </c>
      <c r="D208" t="inlineStr"/>
      <c r="E208" t="inlineStr">
        <is>
          <t>Да</t>
        </is>
      </c>
      <c r="F208" t="inlineStr"/>
      <c r="G208" t="inlineStr"/>
      <c r="H208" t="inlineStr">
        <is>
          <t>223</t>
        </is>
      </c>
      <c r="I208" t="inlineStr"/>
      <c r="J208" t="inlineStr"/>
      <c r="K208" t="inlineStr">
        <is>
          <t>62 500 000</t>
        </is>
      </c>
      <c r="L208" t="inlineStr"/>
      <c r="M208" t="inlineStr"/>
      <c r="N208" t="inlineStr">
        <is>
          <t>Нет у нас</t>
        </is>
      </c>
      <c r="O208" t="inlineStr"/>
      <c r="P208" t="inlineStr"/>
      <c r="Q208" t="inlineStr"/>
      <c r="R208">
        <f>HYPERLINK("https://nordwestinvest.ru/real-estates/pomeshhenie-s-magnit-kosmetik","ссылка")</f>
        <v/>
      </c>
      <c r="S208" t="inlineStr"/>
    </row>
    <row r="209">
      <c r="A209" t="inlineStr">
        <is>
          <t>Всеволожский</t>
        </is>
      </c>
      <c r="B209" t="inlineStr">
        <is>
          <t>Ленинградская обл, Мурино г, Воронцовский б-р, 19к1</t>
        </is>
      </c>
      <c r="C209" t="inlineStr">
        <is>
          <t>sale</t>
        </is>
      </c>
      <c r="D209" t="inlineStr"/>
      <c r="E209" t="inlineStr">
        <is>
          <t>Да</t>
        </is>
      </c>
      <c r="F209" t="inlineStr"/>
      <c r="G209" t="inlineStr"/>
      <c r="H209" t="inlineStr">
        <is>
          <t>31.3</t>
        </is>
      </c>
      <c r="I209" t="inlineStr"/>
      <c r="J209" t="inlineStr"/>
      <c r="K209" t="inlineStr">
        <is>
          <t>10 955 000</t>
        </is>
      </c>
      <c r="L209" t="inlineStr"/>
      <c r="M209" t="inlineStr"/>
      <c r="N209" t="inlineStr">
        <is>
          <t>Нет у нас</t>
        </is>
      </c>
      <c r="O209" t="inlineStr"/>
      <c r="P209" t="inlineStr"/>
      <c r="Q209" t="inlineStr"/>
      <c r="R209">
        <f>HYPERLINK("https://nordwestinvest.ru/real-estates/prodaza-psn-313-kvm","ссылка")</f>
        <v/>
      </c>
      <c r="S209" t="inlineStr"/>
    </row>
    <row r="210">
      <c r="A210" t="inlineStr">
        <is>
          <t>Всеволожский</t>
        </is>
      </c>
      <c r="B210" t="inlineStr">
        <is>
          <t>Ленинградская обл, Мурино г, Петровский б-р, 5</t>
        </is>
      </c>
      <c r="C210" t="inlineStr">
        <is>
          <t>sale</t>
        </is>
      </c>
      <c r="D210" t="inlineStr"/>
      <c r="E210" t="inlineStr">
        <is>
          <t>Да</t>
        </is>
      </c>
      <c r="F210" t="inlineStr"/>
      <c r="G210" t="inlineStr"/>
      <c r="H210" t="inlineStr">
        <is>
          <t>38.4</t>
        </is>
      </c>
      <c r="I210" t="inlineStr"/>
      <c r="J210" t="inlineStr"/>
      <c r="K210" t="inlineStr">
        <is>
          <t>10 700 000</t>
        </is>
      </c>
      <c r="L210" t="inlineStr"/>
      <c r="M210" t="inlineStr"/>
      <c r="N210" t="inlineStr">
        <is>
          <t>Нет у нас</t>
        </is>
      </c>
      <c r="O210" t="inlineStr"/>
      <c r="P210" t="inlineStr"/>
      <c r="Q210" t="inlineStr"/>
      <c r="R210">
        <f>HYPERLINK("https://nordwestinvest.ru/real-estates/prodaza-pomeshheniia-s-xorosei-okupaemostiu","ссылка")</f>
        <v/>
      </c>
      <c r="S210" t="inlineStr"/>
    </row>
    <row r="211">
      <c r="A211" t="inlineStr">
        <is>
          <t>Всеволожский</t>
        </is>
      </c>
      <c r="B211" t="inlineStr">
        <is>
          <t>Ленинградская обл, Мурино г, Шувалова ул, 1</t>
        </is>
      </c>
      <c r="C211" t="inlineStr">
        <is>
          <t>sale</t>
        </is>
      </c>
      <c r="D211" t="inlineStr"/>
      <c r="E211" t="inlineStr">
        <is>
          <t>Да</t>
        </is>
      </c>
      <c r="F211" t="inlineStr"/>
      <c r="G211" t="inlineStr"/>
      <c r="H211" t="inlineStr">
        <is>
          <t>180</t>
        </is>
      </c>
      <c r="I211" t="inlineStr"/>
      <c r="J211" t="inlineStr"/>
      <c r="K211" t="inlineStr">
        <is>
          <t>83 000 000</t>
        </is>
      </c>
      <c r="L211" t="inlineStr"/>
      <c r="M211" t="inlineStr"/>
      <c r="N211" t="inlineStr">
        <is>
          <t>Нет у нас</t>
        </is>
      </c>
      <c r="O211" t="inlineStr"/>
      <c r="P211" t="inlineStr"/>
      <c r="Q211" t="inlineStr"/>
      <c r="R211">
        <f>HYPERLINK("https://nordwestinvest.ru/real-estates/prodaza-pomeshheniia-s-arendatorom-scastlivyi-vzgliad","ссылка")</f>
        <v/>
      </c>
      <c r="S211" t="inlineStr"/>
    </row>
    <row r="212">
      <c r="A212" t="inlineStr">
        <is>
          <t>Всеволожский</t>
        </is>
      </c>
      <c r="B212" t="inlineStr">
        <is>
          <t>Ленинградская обл, Новое Девяткино д, Главная ул, 31</t>
        </is>
      </c>
      <c r="C212" t="inlineStr">
        <is>
          <t>sale</t>
        </is>
      </c>
      <c r="D212" t="inlineStr"/>
      <c r="E212" t="inlineStr">
        <is>
          <t>Да</t>
        </is>
      </c>
      <c r="F212" t="inlineStr"/>
      <c r="G212" t="inlineStr"/>
      <c r="H212" t="inlineStr">
        <is>
          <t>634</t>
        </is>
      </c>
      <c r="I212" t="inlineStr"/>
      <c r="J212" t="inlineStr"/>
      <c r="K212" t="inlineStr">
        <is>
          <t>27 000 000</t>
        </is>
      </c>
      <c r="L212" t="inlineStr"/>
      <c r="M212" t="inlineStr"/>
      <c r="N212" t="inlineStr">
        <is>
          <t>Нет у нас</t>
        </is>
      </c>
      <c r="O212" t="inlineStr"/>
      <c r="P212" t="inlineStr"/>
      <c r="Q212" t="inlineStr"/>
      <c r="R212">
        <f>HYPERLINK("https://nordwestinvest.ru/real-estates/prodaza-zu-v-novoe-deviatkino","ссылка")</f>
        <v/>
      </c>
      <c r="S212" t="inlineStr"/>
    </row>
    <row r="213">
      <c r="A213" t="inlineStr">
        <is>
          <t>Всеволожский</t>
        </is>
      </c>
      <c r="B213" t="inlineStr">
        <is>
          <t>Ленинградская обл, Новое Девяткино д, Главная ул, 54</t>
        </is>
      </c>
      <c r="C213" t="inlineStr">
        <is>
          <t>sale</t>
        </is>
      </c>
      <c r="D213" t="inlineStr"/>
      <c r="E213" t="inlineStr">
        <is>
          <t>Да</t>
        </is>
      </c>
      <c r="F213" t="inlineStr"/>
      <c r="G213" t="inlineStr"/>
      <c r="H213" t="inlineStr">
        <is>
          <t>700</t>
        </is>
      </c>
      <c r="I213" t="inlineStr"/>
      <c r="J213" t="inlineStr"/>
      <c r="K213" t="inlineStr">
        <is>
          <t>18 000 000</t>
        </is>
      </c>
      <c r="L213" t="inlineStr"/>
      <c r="M213" t="inlineStr"/>
      <c r="N213" t="inlineStr">
        <is>
          <t>Нет у нас</t>
        </is>
      </c>
      <c r="O213" t="inlineStr"/>
      <c r="P213" t="inlineStr"/>
      <c r="Q213" t="inlineStr"/>
      <c r="R213">
        <f>HYPERLINK("https://nordwestinvest.ru/real-estates/prodaza-v-novoe-deviatkino","ссылка")</f>
        <v/>
      </c>
      <c r="S213" t="inlineStr"/>
    </row>
    <row r="214">
      <c r="A214" t="inlineStr">
        <is>
          <t>Всеволожский</t>
        </is>
      </c>
      <c r="B214" t="inlineStr">
        <is>
          <t>Ленинградская обл, Новое Девяткино д, Главная ул, 8</t>
        </is>
      </c>
      <c r="C214" t="inlineStr">
        <is>
          <t>sale</t>
        </is>
      </c>
      <c r="D214" t="inlineStr"/>
      <c r="E214" t="inlineStr">
        <is>
          <t>Да</t>
        </is>
      </c>
      <c r="F214" t="inlineStr"/>
      <c r="G214" t="inlineStr"/>
      <c r="H214" t="inlineStr">
        <is>
          <t>112</t>
        </is>
      </c>
      <c r="I214" t="inlineStr"/>
      <c r="J214" t="inlineStr"/>
      <c r="K214" t="inlineStr">
        <is>
          <t>34 900 000</t>
        </is>
      </c>
      <c r="L214" t="inlineStr"/>
      <c r="M214" t="inlineStr"/>
      <c r="N214" t="inlineStr">
        <is>
          <t>Нет у нас</t>
        </is>
      </c>
      <c r="O214" t="inlineStr"/>
      <c r="P214" t="inlineStr"/>
      <c r="Q214" t="inlineStr"/>
      <c r="R214">
        <f>HYPERLINK("https://nordwestinvest.ru/real-estates/psn-112m2","ссылка")</f>
        <v/>
      </c>
      <c r="S214" t="inlineStr"/>
    </row>
    <row r="215">
      <c r="A215" t="inlineStr">
        <is>
          <t>Всеволожский</t>
        </is>
      </c>
      <c r="B215" t="inlineStr">
        <is>
          <t>Ленинградская обл, Орехово п. ж/д ст., Главная ул, 50/1</t>
        </is>
      </c>
      <c r="C215" t="inlineStr">
        <is>
          <t>sale</t>
        </is>
      </c>
      <c r="D215" t="inlineStr"/>
      <c r="E215" t="inlineStr">
        <is>
          <t>Да</t>
        </is>
      </c>
      <c r="F215" t="inlineStr"/>
      <c r="G215" t="inlineStr"/>
      <c r="H215" t="inlineStr">
        <is>
          <t>688.3</t>
        </is>
      </c>
      <c r="I215" t="inlineStr"/>
      <c r="J215" t="inlineStr"/>
      <c r="K215" t="inlineStr">
        <is>
          <t>165 000 000</t>
        </is>
      </c>
      <c r="L215" t="inlineStr"/>
      <c r="M215" t="inlineStr"/>
      <c r="N215" t="inlineStr">
        <is>
          <t>Нет у нас</t>
        </is>
      </c>
      <c r="O215" t="inlineStr"/>
      <c r="P215" t="inlineStr"/>
      <c r="Q215" t="inlineStr"/>
      <c r="R215">
        <f>HYPERLINK("https://nordwestinvest.ru/real-estates/prodaza-osz-s-piaterockoi-zu","ссылка")</f>
        <v/>
      </c>
      <c r="S215" t="inlineStr"/>
    </row>
    <row r="216">
      <c r="A216" t="inlineStr">
        <is>
          <t>Всеволожский</t>
        </is>
      </c>
      <c r="B216" t="inlineStr">
        <is>
          <t>Ленинградская обл, Победа тер, Мира, 2А</t>
        </is>
      </c>
      <c r="C216" t="inlineStr">
        <is>
          <t>sale</t>
        </is>
      </c>
      <c r="D216" t="inlineStr"/>
      <c r="E216" t="inlineStr">
        <is>
          <t>Да</t>
        </is>
      </c>
      <c r="F216" t="inlineStr"/>
      <c r="G216" t="inlineStr"/>
      <c r="H216" t="inlineStr">
        <is>
          <t>541.3</t>
        </is>
      </c>
      <c r="I216" t="inlineStr"/>
      <c r="J216" t="inlineStr"/>
      <c r="K216" t="inlineStr">
        <is>
          <t>60 000 000</t>
        </is>
      </c>
      <c r="L216" t="inlineStr"/>
      <c r="M216" t="inlineStr"/>
      <c r="N216" t="inlineStr">
        <is>
          <t>Совпало</t>
        </is>
      </c>
      <c r="O216" t="inlineStr"/>
      <c r="P216" t="inlineStr"/>
      <c r="Q216" t="inlineStr"/>
      <c r="R216">
        <f>HYPERLINK("https://nordwestinvest.ru/real-estates/prodaza-osz-magnit-s-zemelnym-ucastkom","ссылка")</f>
        <v/>
      </c>
      <c r="S216" t="inlineStr"/>
    </row>
    <row r="217">
      <c r="A217" t="inlineStr">
        <is>
          <t>Всеволожский</t>
        </is>
      </c>
      <c r="B217" t="inlineStr">
        <is>
          <t>Ленинградская обл, Сосновый Бор г, Мира ул, 1</t>
        </is>
      </c>
      <c r="C217" t="inlineStr">
        <is>
          <t>sale</t>
        </is>
      </c>
      <c r="D217" t="inlineStr"/>
      <c r="E217" t="inlineStr">
        <is>
          <t>Да</t>
        </is>
      </c>
      <c r="F217" t="inlineStr"/>
      <c r="G217" t="inlineStr"/>
      <c r="H217" t="inlineStr">
        <is>
          <t>5500</t>
        </is>
      </c>
      <c r="I217" t="inlineStr"/>
      <c r="J217" t="inlineStr"/>
      <c r="K217" t="inlineStr">
        <is>
          <t>59 000 000</t>
        </is>
      </c>
      <c r="L217" t="inlineStr"/>
      <c r="M217" t="inlineStr"/>
      <c r="N217" t="inlineStr">
        <is>
          <t>Нет у нас</t>
        </is>
      </c>
      <c r="O217" t="inlineStr"/>
      <c r="P217" t="inlineStr"/>
      <c r="Q217" t="inlineStr"/>
      <c r="R217">
        <f>HYPERLINK("https://nordwestinvest.ru/real-estates/prodaza-zdaniia-5500-m2-s-arendatorami","ссылка")</f>
        <v/>
      </c>
      <c r="S217" t="inlineStr"/>
    </row>
    <row r="218">
      <c r="A218" t="inlineStr">
        <is>
          <t>Всеволожский</t>
        </is>
      </c>
      <c r="B218" t="inlineStr">
        <is>
          <t>Ленинградская обл, Тихвинка д, Солнечная ул, 27</t>
        </is>
      </c>
      <c r="C218" t="inlineStr">
        <is>
          <t>sale</t>
        </is>
      </c>
      <c r="D218" t="inlineStr"/>
      <c r="E218" t="inlineStr">
        <is>
          <t>Да</t>
        </is>
      </c>
      <c r="F218" t="inlineStr"/>
      <c r="G218" t="inlineStr"/>
      <c r="H218" t="inlineStr">
        <is>
          <t>2048</t>
        </is>
      </c>
      <c r="I218" t="inlineStr"/>
      <c r="J218" t="inlineStr"/>
      <c r="K218" t="inlineStr">
        <is>
          <t>21 400 000</t>
        </is>
      </c>
      <c r="L218" t="inlineStr"/>
      <c r="M218" t="inlineStr"/>
      <c r="N218" t="inlineStr">
        <is>
          <t>Нет у нас</t>
        </is>
      </c>
      <c r="O218" t="inlineStr"/>
      <c r="P218" t="inlineStr"/>
      <c r="Q218" t="inlineStr"/>
      <c r="R218">
        <f>HYPERLINK("https://nordwestinvest.ru/real-estates/prodaza-zu-pod-stroitelstvo-magazina-magnit","ссылка")</f>
        <v/>
      </c>
      <c r="S218" t="inlineStr"/>
    </row>
    <row r="219">
      <c r="A219" t="inlineStr">
        <is>
          <t>Всеволожский</t>
        </is>
      </c>
      <c r="B219" t="inlineStr">
        <is>
          <t>Ленинградская ул, 2/1</t>
        </is>
      </c>
      <c r="C219" t="inlineStr">
        <is>
          <t>sale</t>
        </is>
      </c>
      <c r="D219" t="inlineStr">
        <is>
          <t>Да</t>
        </is>
      </c>
      <c r="E219" t="inlineStr"/>
      <c r="F219" t="inlineStr"/>
      <c r="G219" t="inlineStr">
        <is>
          <t>10000</t>
        </is>
      </c>
      <c r="H219" t="inlineStr"/>
      <c r="I219" t="inlineStr"/>
      <c r="J219" t="inlineStr">
        <is>
          <t>14 200 000</t>
        </is>
      </c>
      <c r="K219" t="inlineStr"/>
      <c r="L219" t="inlineStr"/>
      <c r="M219" t="inlineStr">
        <is>
          <t>Нет у нас</t>
        </is>
      </c>
      <c r="N219" t="inlineStr"/>
      <c r="O219" t="inlineStr"/>
      <c r="P219" t="inlineStr"/>
      <c r="Q219">
        <f>HYPERLINK("https://knru.ru/catalog/leningradskaya-ul-2-1/","ссылка")</f>
        <v/>
      </c>
      <c r="R219" t="inlineStr"/>
      <c r="S219" t="inlineStr"/>
    </row>
    <row r="220">
      <c r="A220" t="inlineStr">
        <is>
          <t>Всеволожский</t>
        </is>
      </c>
      <c r="B220" t="inlineStr">
        <is>
          <t>Ленинградская, 1</t>
        </is>
      </c>
      <c r="C220" t="inlineStr">
        <is>
          <t>sale</t>
        </is>
      </c>
      <c r="D220" t="inlineStr">
        <is>
          <t>Да</t>
        </is>
      </c>
      <c r="E220" t="inlineStr"/>
      <c r="F220" t="inlineStr"/>
      <c r="G220" t="inlineStr">
        <is>
          <t>99</t>
        </is>
      </c>
      <c r="H220" t="inlineStr"/>
      <c r="I220" t="inlineStr"/>
      <c r="J220" t="inlineStr">
        <is>
          <t>33 171 700</t>
        </is>
      </c>
      <c r="K220" t="inlineStr"/>
      <c r="L220" t="inlineStr"/>
      <c r="M220" t="inlineStr">
        <is>
          <t>По адресу есть, но площадь другая</t>
        </is>
      </c>
      <c r="N220" t="inlineStr"/>
      <c r="O220" t="inlineStr"/>
      <c r="P220" t="inlineStr"/>
      <c r="Q220">
        <f>HYPERLINK("https://knru.ru/catalog/zhk-id-kudrovo-ii-korpus-1-3-996340439/","ссылка")</f>
        <v/>
      </c>
      <c r="R220" t="inlineStr"/>
      <c r="S220" t="inlineStr"/>
    </row>
    <row r="221">
      <c r="A221" t="inlineStr">
        <is>
          <t>Всеволожский</t>
        </is>
      </c>
      <c r="B221" t="inlineStr">
        <is>
          <t>Ленинградская, 1</t>
        </is>
      </c>
      <c r="C221" t="inlineStr">
        <is>
          <t>sale</t>
        </is>
      </c>
      <c r="D221" t="inlineStr">
        <is>
          <t>Да</t>
        </is>
      </c>
      <c r="E221" t="inlineStr"/>
      <c r="F221" t="inlineStr"/>
      <c r="G221" t="inlineStr">
        <is>
          <t>52</t>
        </is>
      </c>
      <c r="H221" t="inlineStr"/>
      <c r="I221" t="inlineStr"/>
      <c r="J221" t="inlineStr">
        <is>
          <t>16 790 400</t>
        </is>
      </c>
      <c r="K221" t="inlineStr"/>
      <c r="L221" t="inlineStr"/>
      <c r="M221" t="inlineStr">
        <is>
          <t>По адресу есть, но площадь другая</t>
        </is>
      </c>
      <c r="N221" t="inlineStr"/>
      <c r="O221" t="inlineStr"/>
      <c r="P221" t="inlineStr"/>
      <c r="Q221">
        <f>HYPERLINK("https://knru.ru/catalog/zhk-id-kudrovo-ii-korpus-1-3-915829351/","ссылка")</f>
        <v/>
      </c>
      <c r="R221" t="inlineStr"/>
      <c r="S221" t="inlineStr"/>
    </row>
    <row r="222">
      <c r="A222" t="inlineStr">
        <is>
          <t>Всеволожский</t>
        </is>
      </c>
      <c r="B222" t="inlineStr">
        <is>
          <t>Ленинградская, 1</t>
        </is>
      </c>
      <c r="C222" t="inlineStr">
        <is>
          <t>sale</t>
        </is>
      </c>
      <c r="D222" t="inlineStr">
        <is>
          <t>Да</t>
        </is>
      </c>
      <c r="E222" t="inlineStr"/>
      <c r="F222" t="inlineStr"/>
      <c r="G222" t="inlineStr">
        <is>
          <t>69</t>
        </is>
      </c>
      <c r="H222" t="inlineStr"/>
      <c r="I222" t="inlineStr"/>
      <c r="J222" t="inlineStr">
        <is>
          <t>22 083 200</t>
        </is>
      </c>
      <c r="K222" t="inlineStr"/>
      <c r="L222" t="inlineStr"/>
      <c r="M222" t="inlineStr">
        <is>
          <t>По адресу есть, но площадь другая</t>
        </is>
      </c>
      <c r="N222" t="inlineStr"/>
      <c r="O222" t="inlineStr"/>
      <c r="P222" t="inlineStr"/>
      <c r="Q222">
        <f>HYPERLINK("https://knru.ru/catalog/zhk-id-kudrovo-ii-korpus-1-3/","ссылка")</f>
        <v/>
      </c>
      <c r="R222" t="inlineStr"/>
      <c r="S222" t="inlineStr"/>
    </row>
    <row r="223">
      <c r="A223" t="inlineStr">
        <is>
          <t>Всеволожский</t>
        </is>
      </c>
      <c r="B223" t="inlineStr">
        <is>
          <t>Мира ул, 13</t>
        </is>
      </c>
      <c r="C223" t="inlineStr">
        <is>
          <t>sale</t>
        </is>
      </c>
      <c r="D223" t="inlineStr">
        <is>
          <t>Да</t>
        </is>
      </c>
      <c r="E223" t="inlineStr"/>
      <c r="F223" t="inlineStr"/>
      <c r="G223" t="inlineStr">
        <is>
          <t>950</t>
        </is>
      </c>
      <c r="H223" t="inlineStr"/>
      <c r="I223" t="inlineStr"/>
      <c r="J223" t="inlineStr">
        <is>
          <t>29 000 000</t>
        </is>
      </c>
      <c r="K223" t="inlineStr"/>
      <c r="L223" t="inlineStr"/>
      <c r="M223" t="inlineStr">
        <is>
          <t>Нет у нас</t>
        </is>
      </c>
      <c r="N223" t="inlineStr"/>
      <c r="O223" t="inlineStr"/>
      <c r="P223" t="inlineStr"/>
      <c r="Q223">
        <f>HYPERLINK("https://knru.ru/catalog/mira-ul-13/","ссылка")</f>
        <v/>
      </c>
      <c r="R223" t="inlineStr"/>
      <c r="S223" t="inlineStr"/>
    </row>
    <row r="224">
      <c r="A224" t="inlineStr">
        <is>
          <t>Всеволожский</t>
        </is>
      </c>
      <c r="B224" t="inlineStr">
        <is>
          <t>Мира ул, 18</t>
        </is>
      </c>
      <c r="C224" t="inlineStr">
        <is>
          <t>sale</t>
        </is>
      </c>
      <c r="D224" t="inlineStr">
        <is>
          <t>Да</t>
        </is>
      </c>
      <c r="E224" t="inlineStr"/>
      <c r="F224" t="inlineStr"/>
      <c r="G224" t="inlineStr">
        <is>
          <t>120000</t>
        </is>
      </c>
      <c r="H224" t="inlineStr"/>
      <c r="I224" t="inlineStr"/>
      <c r="J224" t="inlineStr">
        <is>
          <t>1 500 000 000</t>
        </is>
      </c>
      <c r="K224" t="inlineStr"/>
      <c r="L224" t="inlineStr"/>
      <c r="M224" t="inlineStr">
        <is>
          <t>Нет у нас</t>
        </is>
      </c>
      <c r="N224" t="inlineStr"/>
      <c r="O224" t="inlineStr"/>
      <c r="P224" t="inlineStr"/>
      <c r="Q224">
        <f>HYPERLINK("https://knru.ru/catalog/mira-ul-18/","ссылка")</f>
        <v/>
      </c>
      <c r="R224" t="inlineStr"/>
      <c r="S224" t="inlineStr"/>
    </row>
    <row r="225">
      <c r="A225" t="inlineStr">
        <is>
          <t>Всеволожский</t>
        </is>
      </c>
      <c r="B225" t="inlineStr">
        <is>
          <t>Мира ул., д. 9/1</t>
        </is>
      </c>
      <c r="C225" t="inlineStr">
        <is>
          <t>sale</t>
        </is>
      </c>
      <c r="D225" t="inlineStr">
        <is>
          <t>Да</t>
        </is>
      </c>
      <c r="E225" t="inlineStr"/>
      <c r="F225" t="inlineStr"/>
      <c r="G225" t="inlineStr">
        <is>
          <t>35.3</t>
        </is>
      </c>
      <c r="H225" t="inlineStr"/>
      <c r="I225" t="inlineStr"/>
      <c r="J225" t="inlineStr">
        <is>
          <t>5 955 110</t>
        </is>
      </c>
      <c r="K225" t="inlineStr"/>
      <c r="L225" t="inlineStr"/>
      <c r="M225" t="inlineStr">
        <is>
          <t>По адресу есть, но площадь другая</t>
        </is>
      </c>
      <c r="N225" t="inlineStr"/>
      <c r="O225" t="inlineStr"/>
      <c r="P225" t="inlineStr"/>
      <c r="Q225">
        <f>HYPERLINK("https://knru.ru/catalog/mira-ul-d-9-1-1040836863/","ссылка")</f>
        <v/>
      </c>
      <c r="R225" t="inlineStr"/>
      <c r="S225" t="inlineStr"/>
    </row>
    <row r="226">
      <c r="A226" t="inlineStr">
        <is>
          <t>Всеволожский</t>
        </is>
      </c>
      <c r="B226" t="inlineStr">
        <is>
          <t>Мира ул., д. 9/1</t>
        </is>
      </c>
      <c r="C226" t="inlineStr">
        <is>
          <t>sale</t>
        </is>
      </c>
      <c r="D226" t="inlineStr">
        <is>
          <t>Да</t>
        </is>
      </c>
      <c r="E226" t="inlineStr"/>
      <c r="F226" t="inlineStr"/>
      <c r="G226" t="inlineStr">
        <is>
          <t>74.9</t>
        </is>
      </c>
      <c r="H226" t="inlineStr"/>
      <c r="I226" t="inlineStr"/>
      <c r="J226" t="inlineStr">
        <is>
          <t>11 414 760</t>
        </is>
      </c>
      <c r="K226" t="inlineStr"/>
      <c r="L226" t="inlineStr"/>
      <c r="M226" t="inlineStr">
        <is>
          <t>Совпало</t>
        </is>
      </c>
      <c r="N226" t="inlineStr"/>
      <c r="O226" t="inlineStr"/>
      <c r="P226" t="inlineStr"/>
      <c r="Q226">
        <f>HYPERLINK("https://knru.ru/catalog/mira-ul-d-9-1-695790508/","ссылка")</f>
        <v/>
      </c>
      <c r="R226" t="inlineStr"/>
      <c r="S226" t="inlineStr"/>
    </row>
    <row r="227">
      <c r="A227" t="inlineStr">
        <is>
          <t>Всеволожский</t>
        </is>
      </c>
      <c r="B227" t="inlineStr">
        <is>
          <t>Мира ул., д. 9/1</t>
        </is>
      </c>
      <c r="C227" t="inlineStr">
        <is>
          <t>sale</t>
        </is>
      </c>
      <c r="D227" t="inlineStr">
        <is>
          <t>Да</t>
        </is>
      </c>
      <c r="E227" t="inlineStr"/>
      <c r="F227" t="inlineStr"/>
      <c r="G227" t="inlineStr">
        <is>
          <t>82.2</t>
        </is>
      </c>
      <c r="H227" t="inlineStr"/>
      <c r="I227" t="inlineStr"/>
      <c r="J227" t="inlineStr">
        <is>
          <t>12 362 880</t>
        </is>
      </c>
      <c r="K227" t="inlineStr"/>
      <c r="L227" t="inlineStr"/>
      <c r="M227" t="inlineStr">
        <is>
          <t>Совпало</t>
        </is>
      </c>
      <c r="N227" t="inlineStr"/>
      <c r="O227" t="inlineStr"/>
      <c r="P227" t="inlineStr"/>
      <c r="Q227">
        <f>HYPERLINK("https://knru.ru/catalog/mira-ul-d-9-1-338712222/","ссылка")</f>
        <v/>
      </c>
      <c r="R227" t="inlineStr"/>
      <c r="S227" t="inlineStr"/>
    </row>
    <row r="228">
      <c r="A228" t="inlineStr">
        <is>
          <t>Всеволожский</t>
        </is>
      </c>
      <c r="B228" t="inlineStr">
        <is>
          <t>Мира ул., д. 9/1</t>
        </is>
      </c>
      <c r="C228" t="inlineStr">
        <is>
          <t>sale</t>
        </is>
      </c>
      <c r="D228" t="inlineStr">
        <is>
          <t>Да</t>
        </is>
      </c>
      <c r="E228" t="inlineStr"/>
      <c r="F228" t="inlineStr"/>
      <c r="G228" t="inlineStr">
        <is>
          <t>54</t>
        </is>
      </c>
      <c r="H228" t="inlineStr"/>
      <c r="I228" t="inlineStr"/>
      <c r="J228" t="inlineStr">
        <is>
          <t>8 726 400</t>
        </is>
      </c>
      <c r="K228" t="inlineStr"/>
      <c r="L228" t="inlineStr"/>
      <c r="M228" t="inlineStr">
        <is>
          <t>По адресу есть, но площадь другая</t>
        </is>
      </c>
      <c r="N228" t="inlineStr"/>
      <c r="O228" t="inlineStr"/>
      <c r="P228" t="inlineStr"/>
      <c r="Q228">
        <f>HYPERLINK("https://knru.ru/catalog/mira-ul-d-9-1-147775537/","ссылка")</f>
        <v/>
      </c>
      <c r="R228" t="inlineStr"/>
      <c r="S228" t="inlineStr"/>
    </row>
    <row r="229">
      <c r="A229" t="inlineStr">
        <is>
          <t>Всеволожский</t>
        </is>
      </c>
      <c r="B229" t="inlineStr">
        <is>
          <t>Овцинская ул, 70</t>
        </is>
      </c>
      <c r="C229" t="inlineStr">
        <is>
          <t>sale</t>
        </is>
      </c>
      <c r="D229" t="inlineStr">
        <is>
          <t>Да</t>
        </is>
      </c>
      <c r="E229" t="inlineStr"/>
      <c r="F229" t="inlineStr"/>
      <c r="G229" t="inlineStr">
        <is>
          <t>950</t>
        </is>
      </c>
      <c r="H229" t="inlineStr"/>
      <c r="I229" t="inlineStr"/>
      <c r="J229" t="inlineStr">
        <is>
          <t>195 000 000</t>
        </is>
      </c>
      <c r="K229" t="inlineStr"/>
      <c r="L229" t="inlineStr"/>
      <c r="M229" t="inlineStr">
        <is>
          <t>Нет у нас</t>
        </is>
      </c>
      <c r="N229" t="inlineStr"/>
      <c r="O229" t="inlineStr"/>
      <c r="P229" t="inlineStr"/>
      <c r="Q229">
        <f>HYPERLINK("https://knru.ru/catalog/l-o-gp-im-sverdlova-ul-ovtsinskaya-d-70b/","ссылка")</f>
        <v/>
      </c>
      <c r="R229" t="inlineStr"/>
      <c r="S229" t="inlineStr"/>
    </row>
    <row r="230">
      <c r="A230" t="inlineStr">
        <is>
          <t>Всеволожский</t>
        </is>
      </c>
      <c r="B230" t="inlineStr">
        <is>
          <t>Петровский б-р, 7</t>
        </is>
      </c>
      <c r="C230" t="inlineStr">
        <is>
          <t>sale</t>
        </is>
      </c>
      <c r="D230" t="inlineStr">
        <is>
          <t>Да</t>
        </is>
      </c>
      <c r="E230" t="inlineStr"/>
      <c r="F230" t="inlineStr"/>
      <c r="G230" t="inlineStr">
        <is>
          <t>86</t>
        </is>
      </c>
      <c r="H230" t="inlineStr"/>
      <c r="I230" t="inlineStr"/>
      <c r="J230" t="inlineStr">
        <is>
          <t>35 000 000</t>
        </is>
      </c>
      <c r="K230" t="inlineStr"/>
      <c r="L230" t="inlineStr"/>
      <c r="M230" t="inlineStr">
        <is>
          <t>Нет у нас</t>
        </is>
      </c>
      <c r="N230" t="inlineStr"/>
      <c r="O230" t="inlineStr"/>
      <c r="P230" t="inlineStr"/>
      <c r="Q230">
        <f>HYPERLINK("https://knru.ru/catalog/murino-petrovskiy-bul-d-7/","ссылка")</f>
        <v/>
      </c>
      <c r="R230" t="inlineStr"/>
      <c r="S230" t="inlineStr"/>
    </row>
    <row r="231">
      <c r="A231" t="inlineStr">
        <is>
          <t>Всеволожский</t>
        </is>
      </c>
      <c r="B231" t="inlineStr">
        <is>
          <t>Пражская ул, 4</t>
        </is>
      </c>
      <c r="C231" t="inlineStr">
        <is>
          <t>sale</t>
        </is>
      </c>
      <c r="D231" t="inlineStr">
        <is>
          <t>Да</t>
        </is>
      </c>
      <c r="E231" t="inlineStr"/>
      <c r="F231" t="inlineStr"/>
      <c r="G231" t="inlineStr">
        <is>
          <t>150</t>
        </is>
      </c>
      <c r="H231" t="inlineStr"/>
      <c r="I231" t="inlineStr"/>
      <c r="J231" t="inlineStr">
        <is>
          <t>3 150 000</t>
        </is>
      </c>
      <c r="K231" t="inlineStr"/>
      <c r="L231" t="inlineStr"/>
      <c r="M231" t="inlineStr">
        <is>
          <t>Нет у нас</t>
        </is>
      </c>
      <c r="N231" t="inlineStr"/>
      <c r="O231" t="inlineStr"/>
      <c r="P231" t="inlineStr"/>
      <c r="Q231">
        <f>HYPERLINK("https://knru.ru/catalog/prazhskaya-ul-4/","ссылка")</f>
        <v/>
      </c>
      <c r="R231" t="inlineStr"/>
      <c r="S231" t="inlineStr"/>
    </row>
    <row r="232">
      <c r="A232" t="inlineStr">
        <is>
          <t>Всеволожский</t>
        </is>
      </c>
      <c r="B232" t="inlineStr">
        <is>
          <t>Пражская, 3</t>
        </is>
      </c>
      <c r="C232" t="inlineStr">
        <is>
          <t>sale</t>
        </is>
      </c>
      <c r="D232" t="inlineStr">
        <is>
          <t>Да</t>
        </is>
      </c>
      <c r="E232" t="inlineStr"/>
      <c r="F232" t="inlineStr"/>
      <c r="G232" t="inlineStr">
        <is>
          <t>121.6</t>
        </is>
      </c>
      <c r="H232" t="inlineStr"/>
      <c r="I232" t="inlineStr"/>
      <c r="J232" t="inlineStr">
        <is>
          <t>20 224 512</t>
        </is>
      </c>
      <c r="K232" t="inlineStr"/>
      <c r="L232" t="inlineStr"/>
      <c r="M232" t="inlineStr">
        <is>
          <t>Нет у нас</t>
        </is>
      </c>
      <c r="N232" t="inlineStr"/>
      <c r="O232" t="inlineStr"/>
      <c r="P232" t="inlineStr"/>
      <c r="Q232">
        <f>HYPERLINK("https://knru.ru/catalog/zhk-kudrovskij-park-ul-prazhskaya-d-3/","ссылка")</f>
        <v/>
      </c>
      <c r="R232" t="inlineStr"/>
      <c r="S232" t="inlineStr"/>
    </row>
    <row r="233">
      <c r="A233" t="inlineStr">
        <is>
          <t>Всеволожский</t>
        </is>
      </c>
      <c r="B233" t="inlineStr">
        <is>
          <t>Ручьевский пр-кт, 15</t>
        </is>
      </c>
      <c r="C233" t="inlineStr">
        <is>
          <t>sale</t>
        </is>
      </c>
      <c r="D233" t="inlineStr">
        <is>
          <t>Да</t>
        </is>
      </c>
      <c r="E233" t="inlineStr"/>
      <c r="F233" t="inlineStr"/>
      <c r="G233" t="inlineStr">
        <is>
          <t>232.5</t>
        </is>
      </c>
      <c r="H233" t="inlineStr"/>
      <c r="I233" t="inlineStr"/>
      <c r="J233" t="inlineStr">
        <is>
          <t>57 243 209</t>
        </is>
      </c>
      <c r="K233" t="inlineStr"/>
      <c r="L233" t="inlineStr"/>
      <c r="M233" t="inlineStr">
        <is>
          <t>По адресу есть, но площадь другая</t>
        </is>
      </c>
      <c r="N233" t="inlineStr"/>
      <c r="O233" t="inlineStr"/>
      <c r="P233" t="inlineStr"/>
      <c r="Q233">
        <f>HYPERLINK("https://knru.ru/catalog/ruchyevskiy-pr-127879038/","ссылка")</f>
        <v/>
      </c>
      <c r="R233" t="inlineStr"/>
      <c r="S233" t="inlineStr"/>
    </row>
    <row r="234">
      <c r="A234" t="inlineStr">
        <is>
          <t>Всеволожский</t>
        </is>
      </c>
      <c r="B234" t="inlineStr">
        <is>
          <t>Ручьевский пр-кт, 15</t>
        </is>
      </c>
      <c r="C234" t="inlineStr">
        <is>
          <t>sale</t>
        </is>
      </c>
      <c r="D234" t="inlineStr">
        <is>
          <t>Да</t>
        </is>
      </c>
      <c r="E234" t="inlineStr"/>
      <c r="F234" t="inlineStr"/>
      <c r="G234" t="inlineStr">
        <is>
          <t>93</t>
        </is>
      </c>
      <c r="H234" t="inlineStr"/>
      <c r="I234" t="inlineStr"/>
      <c r="J234" t="inlineStr">
        <is>
          <t>22 732 556</t>
        </is>
      </c>
      <c r="K234" t="inlineStr"/>
      <c r="L234" t="inlineStr"/>
      <c r="M234" t="inlineStr">
        <is>
          <t>По адресу есть, но площадь другая</t>
        </is>
      </c>
      <c r="N234" t="inlineStr"/>
      <c r="O234" t="inlineStr"/>
      <c r="P234" t="inlineStr"/>
      <c r="Q234">
        <f>HYPERLINK("https://knru.ru/catalog/ruchyevskiy-pr/","ссылка")</f>
        <v/>
      </c>
      <c r="R234" t="inlineStr"/>
      <c r="S234" t="inlineStr"/>
    </row>
    <row r="235">
      <c r="A235" t="inlineStr">
        <is>
          <t>Всеволожский</t>
        </is>
      </c>
      <c r="B235" t="inlineStr">
        <is>
          <t>Ручьевский пр-кт, 15</t>
        </is>
      </c>
      <c r="C235" t="inlineStr">
        <is>
          <t>sale</t>
        </is>
      </c>
      <c r="D235" t="inlineStr">
        <is>
          <t>Да</t>
        </is>
      </c>
      <c r="E235" t="inlineStr"/>
      <c r="F235" t="inlineStr"/>
      <c r="G235" t="inlineStr">
        <is>
          <t>73.6</t>
        </is>
      </c>
      <c r="H235" t="inlineStr"/>
      <c r="I235" t="inlineStr"/>
      <c r="J235" t="inlineStr">
        <is>
          <t>18 064 599</t>
        </is>
      </c>
      <c r="K235" t="inlineStr"/>
      <c r="L235" t="inlineStr"/>
      <c r="M235" t="inlineStr">
        <is>
          <t>По адресу есть, но площадь другая</t>
        </is>
      </c>
      <c r="N235" t="inlineStr"/>
      <c r="O235" t="inlineStr"/>
      <c r="P235" t="inlineStr"/>
      <c r="Q235">
        <f>HYPERLINK("https://knru.ru/catalog/ruchyevskij-pr-560138/","ссылка")</f>
        <v/>
      </c>
      <c r="R235" t="inlineStr"/>
      <c r="S235" t="inlineStr"/>
    </row>
    <row r="236">
      <c r="A236" t="inlineStr">
        <is>
          <t>Всеволожский</t>
        </is>
      </c>
      <c r="B236" t="inlineStr">
        <is>
          <t>Ручьевский пр-кт, 15</t>
        </is>
      </c>
      <c r="C236" t="inlineStr">
        <is>
          <t>sale</t>
        </is>
      </c>
      <c r="D236" t="inlineStr">
        <is>
          <t>Да</t>
        </is>
      </c>
      <c r="E236" t="inlineStr"/>
      <c r="F236" t="inlineStr"/>
      <c r="G236" t="inlineStr">
        <is>
          <t>117</t>
        </is>
      </c>
      <c r="H236" t="inlineStr"/>
      <c r="I236" t="inlineStr"/>
      <c r="J236" t="inlineStr">
        <is>
          <t>32 742 888</t>
        </is>
      </c>
      <c r="K236" t="inlineStr"/>
      <c r="L236" t="inlineStr"/>
      <c r="M236" t="inlineStr">
        <is>
          <t>По адресу есть, но площадь другая</t>
        </is>
      </c>
      <c r="N236" t="inlineStr"/>
      <c r="O236" t="inlineStr"/>
      <c r="P236" t="inlineStr"/>
      <c r="Q236">
        <f>HYPERLINK("https://knru.ru/catalog/ruchyevskij-pr/","ссылка")</f>
        <v/>
      </c>
      <c r="R236" t="inlineStr"/>
      <c r="S236" t="inlineStr"/>
    </row>
    <row r="237">
      <c r="A237" t="inlineStr">
        <is>
          <t>Всеволожский</t>
        </is>
      </c>
      <c r="B237" t="inlineStr">
        <is>
          <t>Солнечная ул, 10к1</t>
        </is>
      </c>
      <c r="C237" t="inlineStr">
        <is>
          <t>sale</t>
        </is>
      </c>
      <c r="D237" t="inlineStr">
        <is>
          <t>Да</t>
        </is>
      </c>
      <c r="E237" t="inlineStr"/>
      <c r="F237" t="inlineStr"/>
      <c r="G237" t="inlineStr">
        <is>
          <t>561.9</t>
        </is>
      </c>
      <c r="H237" t="inlineStr"/>
      <c r="I237" t="inlineStr"/>
      <c r="J237" t="inlineStr">
        <is>
          <t>129 461 760</t>
        </is>
      </c>
      <c r="K237" t="inlineStr"/>
      <c r="L237" t="inlineStr"/>
      <c r="M237" t="inlineStr">
        <is>
          <t>Нет у нас</t>
        </is>
      </c>
      <c r="N237" t="inlineStr"/>
      <c r="O237" t="inlineStr"/>
      <c r="P237" t="inlineStr"/>
      <c r="Q237">
        <f>HYPERLINK("https://knru.ru/catalog/ul-solnechnaya-d-10-k-1/","ссылка")</f>
        <v/>
      </c>
      <c r="R237" t="inlineStr"/>
      <c r="S237" t="inlineStr"/>
    </row>
    <row r="238">
      <c r="A238" t="inlineStr">
        <is>
          <t>Всеволожский</t>
        </is>
      </c>
      <c r="B238" t="inlineStr">
        <is>
          <t>Солнечная ул, 10к1</t>
        </is>
      </c>
      <c r="C238" t="inlineStr">
        <is>
          <t>sale</t>
        </is>
      </c>
      <c r="D238" t="inlineStr">
        <is>
          <t>Да</t>
        </is>
      </c>
      <c r="E238" t="inlineStr"/>
      <c r="F238" t="inlineStr"/>
      <c r="G238" t="inlineStr">
        <is>
          <t>55.1</t>
        </is>
      </c>
      <c r="H238" t="inlineStr"/>
      <c r="I238" t="inlineStr"/>
      <c r="J238" t="inlineStr">
        <is>
          <t>13 444 400</t>
        </is>
      </c>
      <c r="K238" t="inlineStr"/>
      <c r="L238" t="inlineStr"/>
      <c r="M238" t="inlineStr">
        <is>
          <t>Нет у нас</t>
        </is>
      </c>
      <c r="N238" t="inlineStr"/>
      <c r="O238" t="inlineStr"/>
      <c r="P238" t="inlineStr"/>
      <c r="Q238">
        <f>HYPERLINK("https://knru.ru/catalog/ul-solnechnaya-d-10-k-1-990169158/","ссылка")</f>
        <v/>
      </c>
      <c r="R238" t="inlineStr"/>
      <c r="S238" t="inlineStr"/>
    </row>
    <row r="239">
      <c r="A239" t="inlineStr">
        <is>
          <t>Всеволожский</t>
        </is>
      </c>
      <c r="B239" t="inlineStr">
        <is>
          <t>Солнечная ул, 10к1</t>
        </is>
      </c>
      <c r="C239" t="inlineStr">
        <is>
          <t>sale</t>
        </is>
      </c>
      <c r="D239" t="inlineStr">
        <is>
          <t>Да</t>
        </is>
      </c>
      <c r="E239" t="inlineStr"/>
      <c r="F239" t="inlineStr"/>
      <c r="G239" t="inlineStr">
        <is>
          <t>68.5</t>
        </is>
      </c>
      <c r="H239" t="inlineStr"/>
      <c r="I239" t="inlineStr"/>
      <c r="J239" t="inlineStr">
        <is>
          <t>15 755 000</t>
        </is>
      </c>
      <c r="K239" t="inlineStr"/>
      <c r="L239" t="inlineStr"/>
      <c r="M239" t="inlineStr">
        <is>
          <t>Нет у нас</t>
        </is>
      </c>
      <c r="N239" t="inlineStr"/>
      <c r="O239" t="inlineStr"/>
      <c r="P239" t="inlineStr"/>
      <c r="Q239">
        <f>HYPERLINK("https://knru.ru/catalog/ul-solnechnaya-d-10-k-1-75088391/","ссылка")</f>
        <v/>
      </c>
      <c r="R239" t="inlineStr"/>
      <c r="S239" t="inlineStr"/>
    </row>
    <row r="240">
      <c r="A240" t="inlineStr">
        <is>
          <t>Всеволожский</t>
        </is>
      </c>
      <c r="B240" t="inlineStr">
        <is>
          <t>Солнечная ул, 10к1</t>
        </is>
      </c>
      <c r="C240" t="inlineStr">
        <is>
          <t>sale</t>
        </is>
      </c>
      <c r="D240" t="inlineStr">
        <is>
          <t>Да</t>
        </is>
      </c>
      <c r="E240" t="inlineStr"/>
      <c r="F240" t="inlineStr"/>
      <c r="G240" t="inlineStr">
        <is>
          <t>105.3</t>
        </is>
      </c>
      <c r="H240" t="inlineStr"/>
      <c r="I240" t="inlineStr"/>
      <c r="J240" t="inlineStr">
        <is>
          <t>24 219 000</t>
        </is>
      </c>
      <c r="K240" t="inlineStr"/>
      <c r="L240" t="inlineStr"/>
      <c r="M240" t="inlineStr">
        <is>
          <t>Нет у нас</t>
        </is>
      </c>
      <c r="N240" t="inlineStr"/>
      <c r="O240" t="inlineStr"/>
      <c r="P240" t="inlineStr"/>
      <c r="Q240">
        <f>HYPERLINK("https://knru.ru/catalog/ul-solnechnaya-d-10-k-1-879984497/","ссылка")</f>
        <v/>
      </c>
      <c r="R240" t="inlineStr"/>
      <c r="S240" t="inlineStr"/>
    </row>
    <row r="241">
      <c r="A241" t="inlineStr">
        <is>
          <t>Всеволожский</t>
        </is>
      </c>
      <c r="B241" t="inlineStr">
        <is>
          <t>Солнечная ул, 10к1</t>
        </is>
      </c>
      <c r="C241" t="inlineStr">
        <is>
          <t>sale</t>
        </is>
      </c>
      <c r="D241" t="inlineStr">
        <is>
          <t>Да</t>
        </is>
      </c>
      <c r="E241" t="inlineStr"/>
      <c r="F241" t="inlineStr"/>
      <c r="G241" t="inlineStr">
        <is>
          <t>72.6</t>
        </is>
      </c>
      <c r="H241" t="inlineStr"/>
      <c r="I241" t="inlineStr"/>
      <c r="J241" t="inlineStr">
        <is>
          <t>16 335 000</t>
        </is>
      </c>
      <c r="K241" t="inlineStr"/>
      <c r="L241" t="inlineStr"/>
      <c r="M241" t="inlineStr">
        <is>
          <t>Нет у нас</t>
        </is>
      </c>
      <c r="N241" t="inlineStr"/>
      <c r="O241" t="inlineStr"/>
      <c r="P241" t="inlineStr"/>
      <c r="Q241">
        <f>HYPERLINK("https://knru.ru/catalog/ul-solnechnaya-d-10-k-1-1966017266/","ссылка")</f>
        <v/>
      </c>
      <c r="R241" t="inlineStr"/>
      <c r="S241" t="inlineStr"/>
    </row>
    <row r="242">
      <c r="A242" t="inlineStr">
        <is>
          <t>Всеволожский</t>
        </is>
      </c>
      <c r="B242" t="inlineStr">
        <is>
          <t>Солнечная ул, 10к1</t>
        </is>
      </c>
      <c r="C242" t="inlineStr">
        <is>
          <t>sale</t>
        </is>
      </c>
      <c r="D242" t="inlineStr">
        <is>
          <t>Да</t>
        </is>
      </c>
      <c r="E242" t="inlineStr"/>
      <c r="F242" t="inlineStr"/>
      <c r="G242" t="inlineStr">
        <is>
          <t>117.3</t>
        </is>
      </c>
      <c r="H242" t="inlineStr"/>
      <c r="I242" t="inlineStr"/>
      <c r="J242" t="inlineStr">
        <is>
          <t>24 750 300</t>
        </is>
      </c>
      <c r="K242" t="inlineStr"/>
      <c r="L242" t="inlineStr"/>
      <c r="M242" t="inlineStr">
        <is>
          <t>Нет у нас</t>
        </is>
      </c>
      <c r="N242" t="inlineStr"/>
      <c r="O242" t="inlineStr"/>
      <c r="P242" t="inlineStr"/>
      <c r="Q242">
        <f>HYPERLINK("https://knru.ru/catalog/ul-solnechnaya-d-10-k-1-500232340/","ссылка")</f>
        <v/>
      </c>
      <c r="R242" t="inlineStr"/>
      <c r="S242" t="inlineStr"/>
    </row>
    <row r="243">
      <c r="A243" t="inlineStr">
        <is>
          <t>Всеволожский</t>
        </is>
      </c>
      <c r="B243" t="inlineStr">
        <is>
          <t>Солнечная ул, 10к1</t>
        </is>
      </c>
      <c r="C243" t="inlineStr">
        <is>
          <t>sale</t>
        </is>
      </c>
      <c r="D243" t="inlineStr">
        <is>
          <t>Да</t>
        </is>
      </c>
      <c r="E243" t="inlineStr"/>
      <c r="F243" t="inlineStr"/>
      <c r="G243" t="inlineStr">
        <is>
          <t>80.9</t>
        </is>
      </c>
      <c r="H243" t="inlineStr"/>
      <c r="I243" t="inlineStr"/>
      <c r="J243" t="inlineStr">
        <is>
          <t>18 202 500</t>
        </is>
      </c>
      <c r="K243" t="inlineStr"/>
      <c r="L243" t="inlineStr"/>
      <c r="M243" t="inlineStr">
        <is>
          <t>Нет у нас</t>
        </is>
      </c>
      <c r="N243" t="inlineStr"/>
      <c r="O243" t="inlineStr"/>
      <c r="P243" t="inlineStr"/>
      <c r="Q243">
        <f>HYPERLINK("https://knru.ru/catalog/ul-solnechnaya-d-10-k-1-1174214409/","ссылка")</f>
        <v/>
      </c>
      <c r="R243" t="inlineStr"/>
      <c r="S243" t="inlineStr"/>
    </row>
    <row r="244">
      <c r="A244" t="inlineStr">
        <is>
          <t>Всеволожский</t>
        </is>
      </c>
      <c r="B244" t="inlineStr">
        <is>
          <t>Солнечная ул, 10к1</t>
        </is>
      </c>
      <c r="C244" t="inlineStr">
        <is>
          <t>sale</t>
        </is>
      </c>
      <c r="D244" t="inlineStr">
        <is>
          <t>Да</t>
        </is>
      </c>
      <c r="E244" t="inlineStr"/>
      <c r="F244" t="inlineStr"/>
      <c r="G244" t="inlineStr">
        <is>
          <t>77.6</t>
        </is>
      </c>
      <c r="H244" t="inlineStr"/>
      <c r="I244" t="inlineStr"/>
      <c r="J244" t="inlineStr">
        <is>
          <t>17 460 000</t>
        </is>
      </c>
      <c r="K244" t="inlineStr"/>
      <c r="L244" t="inlineStr"/>
      <c r="M244" t="inlineStr">
        <is>
          <t>Нет у нас</t>
        </is>
      </c>
      <c r="N244" t="inlineStr"/>
      <c r="O244" t="inlineStr"/>
      <c r="P244" t="inlineStr"/>
      <c r="Q244">
        <f>HYPERLINK("https://knru.ru/catalog/ul-solnechnaya-d-10-k-1-226633688/","ссылка")</f>
        <v/>
      </c>
      <c r="R244" t="inlineStr"/>
      <c r="S244" t="inlineStr"/>
    </row>
    <row r="245">
      <c r="A245" t="inlineStr">
        <is>
          <t>Всеволожский</t>
        </is>
      </c>
      <c r="B245" t="inlineStr">
        <is>
          <t>Солнечная ул, 10к1</t>
        </is>
      </c>
      <c r="C245" t="inlineStr">
        <is>
          <t>sale</t>
        </is>
      </c>
      <c r="D245" t="inlineStr">
        <is>
          <t>Да</t>
        </is>
      </c>
      <c r="E245" t="inlineStr"/>
      <c r="F245" t="inlineStr"/>
      <c r="G245" t="inlineStr">
        <is>
          <t>42.9</t>
        </is>
      </c>
      <c r="H245" t="inlineStr"/>
      <c r="I245" t="inlineStr"/>
      <c r="J245" t="inlineStr">
        <is>
          <t>10 033 856</t>
        </is>
      </c>
      <c r="K245" t="inlineStr"/>
      <c r="L245" t="inlineStr"/>
      <c r="M245" t="inlineStr">
        <is>
          <t>Нет у нас</t>
        </is>
      </c>
      <c r="N245" t="inlineStr"/>
      <c r="O245" t="inlineStr"/>
      <c r="P245" t="inlineStr"/>
      <c r="Q245">
        <f>HYPERLINK("https://knru.ru/catalog/ul-solnechnaya-d-10-k-1-1798298807/","ссылка")</f>
        <v/>
      </c>
      <c r="R245" t="inlineStr"/>
      <c r="S245" t="inlineStr"/>
    </row>
    <row r="246">
      <c r="A246" t="inlineStr">
        <is>
          <t>Всеволожский</t>
        </is>
      </c>
      <c r="B246" t="inlineStr">
        <is>
          <t>Солнечная ул, 10к1</t>
        </is>
      </c>
      <c r="C246" t="inlineStr">
        <is>
          <t>sale</t>
        </is>
      </c>
      <c r="D246" t="inlineStr">
        <is>
          <t>Да</t>
        </is>
      </c>
      <c r="E246" t="inlineStr"/>
      <c r="F246" t="inlineStr"/>
      <c r="G246" t="inlineStr">
        <is>
          <t>46.2</t>
        </is>
      </c>
      <c r="H246" t="inlineStr"/>
      <c r="I246" t="inlineStr"/>
      <c r="J246" t="inlineStr">
        <is>
          <t>10 625 990</t>
        </is>
      </c>
      <c r="K246" t="inlineStr"/>
      <c r="L246" t="inlineStr"/>
      <c r="M246" t="inlineStr">
        <is>
          <t>Нет у нас</t>
        </is>
      </c>
      <c r="N246" t="inlineStr"/>
      <c r="O246" t="inlineStr"/>
      <c r="P246" t="inlineStr"/>
      <c r="Q246">
        <f>HYPERLINK("https://knru.ru/catalog/ul-solnechnaya-d-10-k-1-2103255177/","ссылка")</f>
        <v/>
      </c>
      <c r="R246" t="inlineStr"/>
      <c r="S246" t="inlineStr"/>
    </row>
    <row r="247">
      <c r="A247" t="inlineStr">
        <is>
          <t>Всеволожский</t>
        </is>
      </c>
      <c r="B247" t="inlineStr">
        <is>
          <t>Солнечная ул, 10к2</t>
        </is>
      </c>
      <c r="C247" t="inlineStr">
        <is>
          <t>sale</t>
        </is>
      </c>
      <c r="D247" t="inlineStr">
        <is>
          <t>Да</t>
        </is>
      </c>
      <c r="E247" t="inlineStr"/>
      <c r="F247" t="inlineStr"/>
      <c r="G247" t="inlineStr">
        <is>
          <t>123.1</t>
        </is>
      </c>
      <c r="H247" t="inlineStr"/>
      <c r="I247" t="inlineStr"/>
      <c r="J247" t="inlineStr">
        <is>
          <t>26 671 680</t>
        </is>
      </c>
      <c r="K247" t="inlineStr"/>
      <c r="L247" t="inlineStr"/>
      <c r="M247" t="inlineStr">
        <is>
          <t>Нет у нас</t>
        </is>
      </c>
      <c r="N247" t="inlineStr"/>
      <c r="O247" t="inlineStr"/>
      <c r="P247" t="inlineStr"/>
      <c r="Q247">
        <f>HYPERLINK("https://knru.ru/catalog/ul-solnechnaya-d-10-k-2-1633210338/","ссылка")</f>
        <v/>
      </c>
      <c r="R247" t="inlineStr"/>
      <c r="S247" t="inlineStr"/>
    </row>
    <row r="248">
      <c r="A248" t="inlineStr">
        <is>
          <t>Всеволожский</t>
        </is>
      </c>
      <c r="B248" t="inlineStr">
        <is>
          <t>Солнечная ул, 10к2</t>
        </is>
      </c>
      <c r="C248" t="inlineStr">
        <is>
          <t>sale</t>
        </is>
      </c>
      <c r="D248" t="inlineStr">
        <is>
          <t>Да</t>
        </is>
      </c>
      <c r="E248" t="inlineStr"/>
      <c r="F248" t="inlineStr"/>
      <c r="G248" t="inlineStr">
        <is>
          <t>102.9</t>
        </is>
      </c>
      <c r="H248" t="inlineStr"/>
      <c r="I248" t="inlineStr"/>
      <c r="J248" t="inlineStr">
        <is>
          <t>26 671 680</t>
        </is>
      </c>
      <c r="K248" t="inlineStr"/>
      <c r="L248" t="inlineStr"/>
      <c r="M248" t="inlineStr">
        <is>
          <t>Нет у нас</t>
        </is>
      </c>
      <c r="N248" t="inlineStr"/>
      <c r="O248" t="inlineStr"/>
      <c r="P248" t="inlineStr"/>
      <c r="Q248">
        <f>HYPERLINK("https://knru.ru/catalog/ul-solnechnaya-d-10-k-2-696500609/","ссылка")</f>
        <v/>
      </c>
      <c r="R248" t="inlineStr"/>
      <c r="S248" t="inlineStr"/>
    </row>
    <row r="249">
      <c r="A249" t="inlineStr">
        <is>
          <t>Всеволожский</t>
        </is>
      </c>
      <c r="B249" t="inlineStr">
        <is>
          <t>Солнечная ул, 10к2</t>
        </is>
      </c>
      <c r="C249" t="inlineStr">
        <is>
          <t>sale</t>
        </is>
      </c>
      <c r="D249" t="inlineStr">
        <is>
          <t>Да</t>
        </is>
      </c>
      <c r="E249" t="inlineStr"/>
      <c r="F249" t="inlineStr"/>
      <c r="G249" t="inlineStr">
        <is>
          <t>96.5</t>
        </is>
      </c>
      <c r="H249" t="inlineStr"/>
      <c r="I249" t="inlineStr"/>
      <c r="J249" t="inlineStr">
        <is>
          <t>20 394 233</t>
        </is>
      </c>
      <c r="K249" t="inlineStr"/>
      <c r="L249" t="inlineStr"/>
      <c r="M249" t="inlineStr">
        <is>
          <t>Нет у нас</t>
        </is>
      </c>
      <c r="N249" t="inlineStr"/>
      <c r="O249" t="inlineStr"/>
      <c r="P249" t="inlineStr"/>
      <c r="Q249">
        <f>HYPERLINK("https://knru.ru/catalog/ul-solnechnaya-d-10-k-2/","ссылка")</f>
        <v/>
      </c>
      <c r="R249" t="inlineStr"/>
      <c r="S249" t="inlineStr"/>
    </row>
    <row r="250">
      <c r="A250" t="inlineStr">
        <is>
          <t>Всеволожский</t>
        </is>
      </c>
      <c r="B250" t="inlineStr">
        <is>
          <t>Солнечная ул, 12</t>
        </is>
      </c>
      <c r="C250" t="inlineStr">
        <is>
          <t>sale</t>
        </is>
      </c>
      <c r="D250" t="inlineStr">
        <is>
          <t>Да</t>
        </is>
      </c>
      <c r="E250" t="inlineStr"/>
      <c r="F250" t="inlineStr"/>
      <c r="G250" t="inlineStr">
        <is>
          <t>124</t>
        </is>
      </c>
      <c r="H250" t="inlineStr"/>
      <c r="I250" t="inlineStr"/>
      <c r="J250" t="inlineStr">
        <is>
          <t>26 056 800</t>
        </is>
      </c>
      <c r="K250" t="inlineStr"/>
      <c r="L250" t="inlineStr"/>
      <c r="M250" t="inlineStr">
        <is>
          <t>По адресу есть, но площадь другая</t>
        </is>
      </c>
      <c r="N250" t="inlineStr"/>
      <c r="O250" t="inlineStr"/>
      <c r="P250" t="inlineStr"/>
      <c r="Q250">
        <f>HYPERLINK("https://knru.ru/catalog/ul-solnechnaya-d-12/","ссылка")</f>
        <v/>
      </c>
      <c r="R250" t="inlineStr"/>
      <c r="S250" t="inlineStr"/>
    </row>
    <row r="251">
      <c r="A251" t="inlineStr">
        <is>
          <t>Всеволожский</t>
        </is>
      </c>
      <c r="B251" t="inlineStr">
        <is>
          <t>Солнечная ул, 2</t>
        </is>
      </c>
      <c r="C251" t="inlineStr">
        <is>
          <t>sale</t>
        </is>
      </c>
      <c r="D251" t="inlineStr">
        <is>
          <t>Да</t>
        </is>
      </c>
      <c r="E251" t="inlineStr"/>
      <c r="F251" t="inlineStr"/>
      <c r="G251" t="inlineStr">
        <is>
          <t>128</t>
        </is>
      </c>
      <c r="H251" t="inlineStr"/>
      <c r="I251" t="inlineStr"/>
      <c r="J251" t="inlineStr">
        <is>
          <t>38 121 600</t>
        </is>
      </c>
      <c r="K251" t="inlineStr"/>
      <c r="L251" t="inlineStr"/>
      <c r="M251" t="inlineStr">
        <is>
          <t>Нет у нас</t>
        </is>
      </c>
      <c r="N251" t="inlineStr"/>
      <c r="O251" t="inlineStr"/>
      <c r="P251" t="inlineStr"/>
      <c r="Q251">
        <f>HYPERLINK("https://knru.ru/catalog/kudrovo-solnechnaya-ul-d-2-1401686407/","ссылка")</f>
        <v/>
      </c>
      <c r="R251" t="inlineStr"/>
      <c r="S251" t="inlineStr"/>
    </row>
    <row r="252">
      <c r="A252" t="inlineStr">
        <is>
          <t>Всеволожский</t>
        </is>
      </c>
      <c r="B252" t="inlineStr">
        <is>
          <t>Солнечная ул, 2</t>
        </is>
      </c>
      <c r="C252" t="inlineStr">
        <is>
          <t>sale</t>
        </is>
      </c>
      <c r="D252" t="inlineStr">
        <is>
          <t>Да</t>
        </is>
      </c>
      <c r="E252" t="inlineStr"/>
      <c r="F252" t="inlineStr"/>
      <c r="G252" t="inlineStr">
        <is>
          <t>52.7</t>
        </is>
      </c>
      <c r="H252" t="inlineStr"/>
      <c r="I252" t="inlineStr"/>
      <c r="J252" t="inlineStr">
        <is>
          <t>16 640 295</t>
        </is>
      </c>
      <c r="K252" t="inlineStr"/>
      <c r="L252" t="inlineStr"/>
      <c r="M252" t="inlineStr">
        <is>
          <t>Нет у нас</t>
        </is>
      </c>
      <c r="N252" t="inlineStr"/>
      <c r="O252" t="inlineStr"/>
      <c r="P252" t="inlineStr"/>
      <c r="Q252">
        <f>HYPERLINK("https://knru.ru/catalog/kudrovo-solnechnaya-ul-d-2-123938366/","ссылка")</f>
        <v/>
      </c>
      <c r="R252" t="inlineStr"/>
      <c r="S252" t="inlineStr"/>
    </row>
    <row r="253">
      <c r="A253" t="inlineStr">
        <is>
          <t>Всеволожский</t>
        </is>
      </c>
      <c r="B253" t="inlineStr">
        <is>
          <t>Солнечная ул, 2</t>
        </is>
      </c>
      <c r="C253" t="inlineStr">
        <is>
          <t>sale</t>
        </is>
      </c>
      <c r="D253" t="inlineStr">
        <is>
          <t>Да</t>
        </is>
      </c>
      <c r="E253" t="inlineStr"/>
      <c r="F253" t="inlineStr"/>
      <c r="G253" t="inlineStr">
        <is>
          <t>40.9</t>
        </is>
      </c>
      <c r="H253" t="inlineStr"/>
      <c r="I253" t="inlineStr"/>
      <c r="J253" t="inlineStr">
        <is>
          <t>12 912 970</t>
        </is>
      </c>
      <c r="K253" t="inlineStr"/>
      <c r="L253" t="inlineStr"/>
      <c r="M253" t="inlineStr">
        <is>
          <t>Нет у нас</t>
        </is>
      </c>
      <c r="N253" t="inlineStr"/>
      <c r="O253" t="inlineStr"/>
      <c r="P253" t="inlineStr"/>
      <c r="Q253">
        <f>HYPERLINK("https://knru.ru/catalog/kudrovo-solnechnaya-ul-d-2/","ссылка")</f>
        <v/>
      </c>
      <c r="R253" t="inlineStr"/>
      <c r="S253" t="inlineStr"/>
    </row>
    <row r="254">
      <c r="A254" t="inlineStr">
        <is>
          <t>Всеволожский</t>
        </is>
      </c>
      <c r="B254" t="inlineStr">
        <is>
          <t>Солнечная ул, к.1</t>
        </is>
      </c>
      <c r="C254" t="inlineStr">
        <is>
          <t>sale</t>
        </is>
      </c>
      <c r="D254" t="inlineStr">
        <is>
          <t>Да</t>
        </is>
      </c>
      <c r="E254" t="inlineStr"/>
      <c r="F254" t="inlineStr"/>
      <c r="G254" t="inlineStr">
        <is>
          <t>118.7</t>
        </is>
      </c>
      <c r="H254" t="inlineStr"/>
      <c r="I254" t="inlineStr"/>
      <c r="J254" t="inlineStr">
        <is>
          <t>19 177 034</t>
        </is>
      </c>
      <c r="K254" t="inlineStr"/>
      <c r="L254" t="inlineStr"/>
      <c r="M254" t="inlineStr">
        <is>
          <t>Нет у нас</t>
        </is>
      </c>
      <c r="N254" t="inlineStr"/>
      <c r="O254" t="inlineStr"/>
      <c r="P254" t="inlineStr"/>
      <c r="Q254">
        <f>HYPERLINK("https://knru.ru/catalog/ul-solnechnaya-k-1-2020590398/","ссылка")</f>
        <v/>
      </c>
      <c r="R254" t="inlineStr"/>
      <c r="S254" t="inlineStr"/>
    </row>
    <row r="255">
      <c r="A255" t="inlineStr">
        <is>
          <t>Всеволожский</t>
        </is>
      </c>
      <c r="B255" t="inlineStr">
        <is>
          <t>Солнечная ул, к.1</t>
        </is>
      </c>
      <c r="C255" t="inlineStr">
        <is>
          <t>sale</t>
        </is>
      </c>
      <c r="D255" t="inlineStr">
        <is>
          <t>Да</t>
        </is>
      </c>
      <c r="E255" t="inlineStr"/>
      <c r="F255" t="inlineStr"/>
      <c r="G255" t="inlineStr">
        <is>
          <t>96.8</t>
        </is>
      </c>
      <c r="H255" t="inlineStr"/>
      <c r="I255" t="inlineStr"/>
      <c r="J255" t="inlineStr">
        <is>
          <t>15 847 808</t>
        </is>
      </c>
      <c r="K255" t="inlineStr"/>
      <c r="L255" t="inlineStr"/>
      <c r="M255" t="inlineStr">
        <is>
          <t>Нет у нас</t>
        </is>
      </c>
      <c r="N255" t="inlineStr"/>
      <c r="O255" t="inlineStr"/>
      <c r="P255" t="inlineStr"/>
      <c r="Q255">
        <f>HYPERLINK("https://knru.ru/catalog/ul-solnechnaya-k-1/","ссылка")</f>
        <v/>
      </c>
      <c r="R255" t="inlineStr"/>
      <c r="S255" t="inlineStr"/>
    </row>
    <row r="256">
      <c r="A256" t="inlineStr">
        <is>
          <t>Всеволожский</t>
        </is>
      </c>
      <c r="B256" t="inlineStr">
        <is>
          <t>Солнечная, 12</t>
        </is>
      </c>
      <c r="C256" t="inlineStr">
        <is>
          <t>sale</t>
        </is>
      </c>
      <c r="D256" t="inlineStr"/>
      <c r="E256" t="inlineStr">
        <is>
          <t>Да</t>
        </is>
      </c>
      <c r="F256" t="inlineStr"/>
      <c r="G256" t="inlineStr"/>
      <c r="H256" t="inlineStr">
        <is>
          <t>80</t>
        </is>
      </c>
      <c r="I256" t="inlineStr"/>
      <c r="J256" t="inlineStr"/>
      <c r="K256" t="inlineStr">
        <is>
          <t>22 950 000</t>
        </is>
      </c>
      <c r="L256" t="inlineStr"/>
      <c r="M256" t="inlineStr"/>
      <c r="N256" t="inlineStr">
        <is>
          <t>По адресу есть, но площадь другая</t>
        </is>
      </c>
      <c r="O256" t="inlineStr"/>
      <c r="P256" t="inlineStr"/>
      <c r="Q256" t="inlineStr"/>
      <c r="R256">
        <f>HYPERLINK("https://nordwestinvest.ru/real-estates/prodaza-pomeshheniia-ploshhadiu-80-m2","ссылка")</f>
        <v/>
      </c>
      <c r="S256" t="inlineStr"/>
    </row>
    <row r="257">
      <c r="A257" t="inlineStr">
        <is>
          <t>Всеволожский</t>
        </is>
      </c>
      <c r="B257" t="inlineStr">
        <is>
          <t>Шоссе в Лаврики ул, 64к3</t>
        </is>
      </c>
      <c r="C257" t="inlineStr">
        <is>
          <t>sale</t>
        </is>
      </c>
      <c r="D257" t="inlineStr">
        <is>
          <t>Да</t>
        </is>
      </c>
      <c r="E257" t="inlineStr"/>
      <c r="F257" t="inlineStr"/>
      <c r="G257" t="inlineStr">
        <is>
          <t>290</t>
        </is>
      </c>
      <c r="H257" t="inlineStr"/>
      <c r="I257" t="inlineStr"/>
      <c r="J257" t="inlineStr">
        <is>
          <t>40 600 000</t>
        </is>
      </c>
      <c r="K257" t="inlineStr"/>
      <c r="L257" t="inlineStr"/>
      <c r="M257" t="inlineStr">
        <is>
          <t>Нет у нас</t>
        </is>
      </c>
      <c r="N257" t="inlineStr"/>
      <c r="O257" t="inlineStr"/>
      <c r="P257" t="inlineStr"/>
      <c r="Q257">
        <f>HYPERLINK("https://knru.ru/catalog/ul-shosse-v-lavrikid-64-k-4/","ссылка")</f>
        <v/>
      </c>
      <c r="R257" t="inlineStr"/>
      <c r="S257" t="inlineStr"/>
    </row>
    <row r="258">
      <c r="A258" t="inlineStr">
        <is>
          <t>Всеволожский</t>
        </is>
      </c>
      <c r="B258" t="inlineStr">
        <is>
          <t>Шоссе в Лаврики ул, 78к1</t>
        </is>
      </c>
      <c r="C258" t="inlineStr">
        <is>
          <t>sale</t>
        </is>
      </c>
      <c r="D258" t="inlineStr">
        <is>
          <t>Да</t>
        </is>
      </c>
      <c r="E258" t="inlineStr"/>
      <c r="F258" t="inlineStr"/>
      <c r="G258" t="inlineStr">
        <is>
          <t>127</t>
        </is>
      </c>
      <c r="H258" t="inlineStr"/>
      <c r="I258" t="inlineStr"/>
      <c r="J258" t="inlineStr">
        <is>
          <t>30 500 000</t>
        </is>
      </c>
      <c r="K258" t="inlineStr"/>
      <c r="L258" t="inlineStr"/>
      <c r="M258" t="inlineStr">
        <is>
          <t>По адресу есть, но площадь другая</t>
        </is>
      </c>
      <c r="N258" t="inlineStr"/>
      <c r="O258" t="inlineStr"/>
      <c r="P258" t="inlineStr"/>
      <c r="Q258">
        <f>HYPERLINK("https://knru.ru/catalog/shosse-v-lavriki-ul-78k1/","ссылка")</f>
        <v/>
      </c>
      <c r="R258" t="inlineStr"/>
      <c r="S258" t="inlineStr"/>
    </row>
    <row r="259">
      <c r="A259" t="inlineStr">
        <is>
          <t>Всеволожский р-н</t>
        </is>
      </c>
      <c r="B259" t="inlineStr">
        <is>
          <t>1-й проезд, 12/4</t>
        </is>
      </c>
      <c r="C259" t="inlineStr">
        <is>
          <t>sale</t>
        </is>
      </c>
      <c r="D259" t="inlineStr">
        <is>
          <t>Да</t>
        </is>
      </c>
      <c r="E259" t="inlineStr"/>
      <c r="F259" t="inlineStr"/>
      <c r="G259" t="inlineStr">
        <is>
          <t>4794</t>
        </is>
      </c>
      <c r="H259" t="inlineStr"/>
      <c r="I259" t="inlineStr"/>
      <c r="J259" t="inlineStr">
        <is>
          <t>23 970 000</t>
        </is>
      </c>
      <c r="K259" t="inlineStr"/>
      <c r="L259" t="inlineStr"/>
      <c r="M259" t="inlineStr">
        <is>
          <t>Нет у нас</t>
        </is>
      </c>
      <c r="N259" t="inlineStr"/>
      <c r="O259" t="inlineStr"/>
      <c r="P259" t="inlineStr"/>
      <c r="Q259">
        <f>HYPERLINK("https://knru.ru/catalog/ter-sorzha-staraya-9-y-proezd-859924528/","ссылка")</f>
        <v/>
      </c>
      <c r="R259" t="inlineStr"/>
      <c r="S259" t="inlineStr"/>
    </row>
    <row r="260">
      <c r="A260" t="inlineStr">
        <is>
          <t>Всеволожский р-н</t>
        </is>
      </c>
      <c r="B260" t="inlineStr">
        <is>
          <t>1-й проезд, 12/4</t>
        </is>
      </c>
      <c r="C260" t="inlineStr">
        <is>
          <t>sale</t>
        </is>
      </c>
      <c r="D260" t="inlineStr">
        <is>
          <t>Да</t>
        </is>
      </c>
      <c r="E260" t="inlineStr"/>
      <c r="F260" t="inlineStr"/>
      <c r="G260" t="inlineStr">
        <is>
          <t>2948</t>
        </is>
      </c>
      <c r="H260" t="inlineStr"/>
      <c r="I260" t="inlineStr"/>
      <c r="J260" t="inlineStr">
        <is>
          <t>13 266 000</t>
        </is>
      </c>
      <c r="K260" t="inlineStr"/>
      <c r="L260" t="inlineStr"/>
      <c r="M260" t="inlineStr">
        <is>
          <t>Нет у нас</t>
        </is>
      </c>
      <c r="N260" t="inlineStr"/>
      <c r="O260" t="inlineStr"/>
      <c r="P260" t="inlineStr"/>
      <c r="Q260">
        <f>HYPERLINK("https://knru.ru/catalog/ter-sorzha-staraya-9-y-proezd-1710440041/","ссылка")</f>
        <v/>
      </c>
      <c r="R260" t="inlineStr"/>
      <c r="S260" t="inlineStr"/>
    </row>
    <row r="261">
      <c r="A261" t="inlineStr">
        <is>
          <t>Всеволожский р-н</t>
        </is>
      </c>
      <c r="B261" t="inlineStr">
        <is>
          <t>1-й проезд, 12/4</t>
        </is>
      </c>
      <c r="C261" t="inlineStr">
        <is>
          <t>sale</t>
        </is>
      </c>
      <c r="D261" t="inlineStr">
        <is>
          <t>Да</t>
        </is>
      </c>
      <c r="E261" t="inlineStr"/>
      <c r="F261" t="inlineStr"/>
      <c r="G261" t="inlineStr">
        <is>
          <t>4999</t>
        </is>
      </c>
      <c r="H261" t="inlineStr"/>
      <c r="I261" t="inlineStr"/>
      <c r="J261" t="inlineStr">
        <is>
          <t>22 495 000</t>
        </is>
      </c>
      <c r="K261" t="inlineStr"/>
      <c r="L261" t="inlineStr"/>
      <c r="M261" t="inlineStr">
        <is>
          <t>Нет у нас</t>
        </is>
      </c>
      <c r="N261" t="inlineStr"/>
      <c r="O261" t="inlineStr"/>
      <c r="P261" t="inlineStr"/>
      <c r="Q261">
        <f>HYPERLINK("https://knru.ru/catalog/ter-sorzha-staraya-9-y-proezd/","ссылка")</f>
        <v/>
      </c>
      <c r="R261" t="inlineStr"/>
      <c r="S261" t="inlineStr"/>
    </row>
    <row r="262">
      <c r="A262" t="inlineStr">
        <is>
          <t>Выборгский</t>
        </is>
      </c>
      <c r="B262" t="inlineStr">
        <is>
          <t>9-й Верхний пер</t>
        </is>
      </c>
      <c r="C262" t="inlineStr">
        <is>
          <t>sale</t>
        </is>
      </c>
      <c r="D262" t="inlineStr">
        <is>
          <t>Да</t>
        </is>
      </c>
      <c r="E262" t="inlineStr"/>
      <c r="F262" t="inlineStr"/>
      <c r="G262" t="inlineStr">
        <is>
          <t>88000</t>
        </is>
      </c>
      <c r="H262" t="inlineStr"/>
      <c r="I262" t="inlineStr"/>
      <c r="J262" t="inlineStr">
        <is>
          <t>750 000 000</t>
        </is>
      </c>
      <c r="K262" t="inlineStr"/>
      <c r="L262" t="inlineStr"/>
      <c r="M262" t="inlineStr">
        <is>
          <t>Нет у нас</t>
        </is>
      </c>
      <c r="N262" t="inlineStr"/>
      <c r="O262" t="inlineStr"/>
      <c r="P262" t="inlineStr"/>
      <c r="Q262">
        <f>HYPERLINK("https://knru.ru/catalog/9-y-verkhniy-per/","ссылка")</f>
        <v/>
      </c>
      <c r="R262" t="inlineStr"/>
      <c r="S262" t="inlineStr"/>
    </row>
    <row r="263">
      <c r="A263" t="inlineStr">
        <is>
          <t>Выборгский</t>
        </is>
      </c>
      <c r="B263" t="inlineStr">
        <is>
          <t>9-й Верхний пер</t>
        </is>
      </c>
      <c r="C263" t="inlineStr">
        <is>
          <t>sale</t>
        </is>
      </c>
      <c r="D263" t="inlineStr">
        <is>
          <t>Да</t>
        </is>
      </c>
      <c r="E263" t="inlineStr"/>
      <c r="F263" t="inlineStr"/>
      <c r="G263" t="inlineStr">
        <is>
          <t>2000</t>
        </is>
      </c>
      <c r="H263" t="inlineStr"/>
      <c r="I263" t="inlineStr"/>
      <c r="J263" t="inlineStr">
        <is>
          <t>25 000 000</t>
        </is>
      </c>
      <c r="K263" t="inlineStr"/>
      <c r="L263" t="inlineStr"/>
      <c r="M263" t="inlineStr">
        <is>
          <t>Нет у нас</t>
        </is>
      </c>
      <c r="N263" t="inlineStr"/>
      <c r="O263" t="inlineStr"/>
      <c r="P263" t="inlineStr"/>
      <c r="Q263">
        <f>HYPERLINK("https://knru.ru/catalog/9-j-verxnij-per-558563/","ссылка")</f>
        <v/>
      </c>
      <c r="R263" t="inlineStr"/>
      <c r="S263" t="inlineStr"/>
    </row>
    <row r="264">
      <c r="A264" t="inlineStr">
        <is>
          <t>Выборгский</t>
        </is>
      </c>
      <c r="B264" t="inlineStr">
        <is>
          <t>9-й Верхний пер, 3</t>
        </is>
      </c>
      <c r="C264" t="inlineStr">
        <is>
          <t>sale</t>
        </is>
      </c>
      <c r="D264" t="inlineStr">
        <is>
          <t>Да</t>
        </is>
      </c>
      <c r="E264" t="inlineStr"/>
      <c r="F264" t="inlineStr"/>
      <c r="G264" t="inlineStr">
        <is>
          <t>2000</t>
        </is>
      </c>
      <c r="H264" t="inlineStr"/>
      <c r="I264" t="inlineStr"/>
      <c r="J264" t="inlineStr">
        <is>
          <t>25 000 000</t>
        </is>
      </c>
      <c r="K264" t="inlineStr"/>
      <c r="L264" t="inlineStr"/>
      <c r="M264" t="inlineStr">
        <is>
          <t>Нет у нас</t>
        </is>
      </c>
      <c r="N264" t="inlineStr"/>
      <c r="O264" t="inlineStr"/>
      <c r="P264" t="inlineStr"/>
      <c r="Q264">
        <f>HYPERLINK("https://knru.ru/catalog/9-y-verkhniy-per-d-3-2119146890/","ссылка")</f>
        <v/>
      </c>
      <c r="R264" t="inlineStr"/>
      <c r="S264" t="inlineStr"/>
    </row>
    <row r="265">
      <c r="A265" t="inlineStr">
        <is>
          <t>Выборгский</t>
        </is>
      </c>
      <c r="B265" t="inlineStr">
        <is>
          <t>Большой Сампсониевский пр., д. 74/2 стр. 1</t>
        </is>
      </c>
      <c r="C265" t="inlineStr">
        <is>
          <t>sale</t>
        </is>
      </c>
      <c r="D265" t="inlineStr">
        <is>
          <t>Да</t>
        </is>
      </c>
      <c r="E265" t="inlineStr"/>
      <c r="F265" t="inlineStr"/>
      <c r="G265" t="inlineStr">
        <is>
          <t>82.4</t>
        </is>
      </c>
      <c r="H265" t="inlineStr"/>
      <c r="I265" t="inlineStr"/>
      <c r="J265" t="inlineStr">
        <is>
          <t>11 124 000</t>
        </is>
      </c>
      <c r="K265" t="inlineStr"/>
      <c r="L265" t="inlineStr"/>
      <c r="M265" t="inlineStr">
        <is>
          <t>Нет у нас</t>
        </is>
      </c>
      <c r="N265" t="inlineStr"/>
      <c r="O265" t="inlineStr"/>
      <c r="P265" t="inlineStr"/>
      <c r="Q265">
        <f>HYPERLINK("https://knru.ru/catalog/bolshoy-sampsonievskiy-pr-d-74-2-str-1/","ссылка")</f>
        <v/>
      </c>
      <c r="R265" t="inlineStr"/>
      <c r="S265" t="inlineStr"/>
    </row>
    <row r="266">
      <c r="A266" t="inlineStr">
        <is>
          <t>Выборгский</t>
        </is>
      </c>
      <c r="B266" t="inlineStr">
        <is>
          <t>Брянцева ул, 11 А</t>
        </is>
      </c>
      <c r="C266" t="inlineStr">
        <is>
          <t>sale</t>
        </is>
      </c>
      <c r="D266" t="inlineStr">
        <is>
          <t>Да</t>
        </is>
      </c>
      <c r="E266" t="inlineStr"/>
      <c r="F266" t="inlineStr"/>
      <c r="G266" t="inlineStr">
        <is>
          <t>1213</t>
        </is>
      </c>
      <c r="H266" t="inlineStr"/>
      <c r="I266" t="inlineStr"/>
      <c r="J266" t="inlineStr">
        <is>
          <t>120 000 000</t>
        </is>
      </c>
      <c r="K266" t="inlineStr"/>
      <c r="L266" t="inlineStr"/>
      <c r="M266" t="inlineStr">
        <is>
          <t>Нет у нас</t>
        </is>
      </c>
      <c r="N266" t="inlineStr"/>
      <c r="O266" t="inlineStr"/>
      <c r="P266" t="inlineStr"/>
      <c r="Q266">
        <f>HYPERLINK("https://knru.ru/catalog/bryantseva-ul-d-11/","ссылка")</f>
        <v/>
      </c>
      <c r="R266" t="inlineStr"/>
      <c r="S266" t="inlineStr"/>
    </row>
    <row r="267">
      <c r="A267" t="inlineStr">
        <is>
          <t>Выборгский</t>
        </is>
      </c>
      <c r="B267" t="inlineStr">
        <is>
          <t>Валерия Гаврилина ул, 5</t>
        </is>
      </c>
      <c r="C267" t="inlineStr">
        <is>
          <t>sale</t>
        </is>
      </c>
      <c r="D267" t="inlineStr">
        <is>
          <t>Да</t>
        </is>
      </c>
      <c r="E267" t="inlineStr"/>
      <c r="F267" t="inlineStr"/>
      <c r="G267" t="inlineStr">
        <is>
          <t>78</t>
        </is>
      </c>
      <c r="H267" t="inlineStr"/>
      <c r="I267" t="inlineStr"/>
      <c r="J267" t="inlineStr">
        <is>
          <t>19 000 000</t>
        </is>
      </c>
      <c r="K267" t="inlineStr"/>
      <c r="L267" t="inlineStr"/>
      <c r="M267" t="inlineStr">
        <is>
          <t>По адресу есть, но площадь другая</t>
        </is>
      </c>
      <c r="N267" t="inlineStr"/>
      <c r="O267" t="inlineStr"/>
      <c r="P267" t="inlineStr"/>
      <c r="Q267">
        <f>HYPERLINK("https://knru.ru/catalog/valeriya-gavrilina-ul-5/","ссылка")</f>
        <v/>
      </c>
      <c r="R267" t="inlineStr"/>
      <c r="S267" t="inlineStr"/>
    </row>
    <row r="268">
      <c r="A268" t="inlineStr">
        <is>
          <t>Выборгский</t>
        </is>
      </c>
      <c r="B268" t="inlineStr">
        <is>
          <t>Выборгское ш, 12 А</t>
        </is>
      </c>
      <c r="C268" t="inlineStr">
        <is>
          <t>sale</t>
        </is>
      </c>
      <c r="D268" t="inlineStr"/>
      <c r="E268" t="inlineStr">
        <is>
          <t>Да</t>
        </is>
      </c>
      <c r="F268" t="inlineStr"/>
      <c r="G268" t="inlineStr"/>
      <c r="H268" t="inlineStr">
        <is>
          <t>5925.9</t>
        </is>
      </c>
      <c r="I268" t="inlineStr"/>
      <c r="J268" t="inlineStr"/>
      <c r="K268" t="inlineStr">
        <is>
          <t>889 950 000</t>
        </is>
      </c>
      <c r="L268" t="inlineStr"/>
      <c r="M268" t="inlineStr"/>
      <c r="N268" t="inlineStr">
        <is>
          <t>Нет у нас</t>
        </is>
      </c>
      <c r="O268" t="inlineStr"/>
      <c r="P268" t="inlineStr"/>
      <c r="Q268" t="inlineStr"/>
      <c r="R268">
        <f>HYPERLINK("https://nordwestinvest.ru/real-estates/prodaza-osz-v-otlicnoi-lokacii-592594-m2","ссылка")</f>
        <v/>
      </c>
      <c r="S268" t="inlineStr"/>
    </row>
    <row r="269">
      <c r="A269" t="inlineStr">
        <is>
          <t>Выборгский</t>
        </is>
      </c>
      <c r="B269" t="inlineStr">
        <is>
          <t>Выборгское ш, 12 А</t>
        </is>
      </c>
      <c r="C269" t="inlineStr">
        <is>
          <t>sale</t>
        </is>
      </c>
      <c r="D269" t="inlineStr">
        <is>
          <t>Да</t>
        </is>
      </c>
      <c r="E269" t="inlineStr"/>
      <c r="F269" t="inlineStr"/>
      <c r="G269" t="inlineStr">
        <is>
          <t>6110</t>
        </is>
      </c>
      <c r="H269" t="inlineStr"/>
      <c r="I269" t="inlineStr"/>
      <c r="J269" t="inlineStr">
        <is>
          <t>890 000 000</t>
        </is>
      </c>
      <c r="K269" t="inlineStr"/>
      <c r="L269" t="inlineStr"/>
      <c r="M269" t="inlineStr">
        <is>
          <t>Нет у нас</t>
        </is>
      </c>
      <c r="N269" t="inlineStr"/>
      <c r="O269" t="inlineStr"/>
      <c r="P269" t="inlineStr"/>
      <c r="Q269">
        <f>HYPERLINK("https://knru.ru/catalog/vyborgskoe-shosse-d-12/","ссылка")</f>
        <v/>
      </c>
      <c r="R269" t="inlineStr"/>
      <c r="S269" t="inlineStr"/>
    </row>
    <row r="270">
      <c r="A270" t="inlineStr">
        <is>
          <t>Выборгский</t>
        </is>
      </c>
      <c r="B270" t="inlineStr">
        <is>
          <t>Грибалёвой ул, 7к1</t>
        </is>
      </c>
      <c r="C270" t="inlineStr">
        <is>
          <t>sale</t>
        </is>
      </c>
      <c r="D270" t="inlineStr">
        <is>
          <t>Да</t>
        </is>
      </c>
      <c r="E270" t="inlineStr"/>
      <c r="F270" t="inlineStr"/>
      <c r="G270" t="inlineStr">
        <is>
          <t>96</t>
        </is>
      </c>
      <c r="H270" t="inlineStr"/>
      <c r="I270" t="inlineStr"/>
      <c r="J270" t="inlineStr">
        <is>
          <t>3 300 000</t>
        </is>
      </c>
      <c r="K270" t="inlineStr"/>
      <c r="L270" t="inlineStr"/>
      <c r="M270" t="inlineStr">
        <is>
          <t>Нет у нас</t>
        </is>
      </c>
      <c r="N270" t="inlineStr"/>
      <c r="O270" t="inlineStr"/>
      <c r="P270" t="inlineStr"/>
      <c r="Q270">
        <f>HYPERLINK("https://knru.ru/catalog/gribalyevoy-ul-7k1/","ссылка")</f>
        <v/>
      </c>
      <c r="R270" t="inlineStr"/>
      <c r="S270" t="inlineStr"/>
    </row>
    <row r="271">
      <c r="A271" t="inlineStr">
        <is>
          <t>Выборгский</t>
        </is>
      </c>
      <c r="B271" t="inlineStr">
        <is>
          <t>Дачный пр-кт, 11 А</t>
        </is>
      </c>
      <c r="C271" t="inlineStr">
        <is>
          <t>sale</t>
        </is>
      </c>
      <c r="D271" t="inlineStr"/>
      <c r="E271" t="inlineStr">
        <is>
          <t>Да</t>
        </is>
      </c>
      <c r="F271" t="inlineStr"/>
      <c r="G271" t="inlineStr"/>
      <c r="H271" t="inlineStr">
        <is>
          <t>165</t>
        </is>
      </c>
      <c r="I271" t="inlineStr"/>
      <c r="J271" t="inlineStr"/>
      <c r="K271" t="inlineStr">
        <is>
          <t>33 000 000</t>
        </is>
      </c>
      <c r="L271" t="inlineStr"/>
      <c r="M271" t="inlineStr"/>
      <c r="N271" t="inlineStr">
        <is>
          <t>Нет у нас</t>
        </is>
      </c>
      <c r="O271" t="inlineStr"/>
      <c r="P271" t="inlineStr"/>
      <c r="Q271" t="inlineStr"/>
      <c r="R271">
        <f>HYPERLINK("https://nordwestinvest.ru/real-estates/prodaza-v-zilom-massive-s-arendatorami","ссылка")</f>
        <v/>
      </c>
      <c r="S271" t="inlineStr"/>
    </row>
    <row r="272">
      <c r="A272" t="inlineStr">
        <is>
          <t>Выборгский</t>
        </is>
      </c>
      <c r="B272" t="inlineStr">
        <is>
          <t>Есенина ул, 8к1</t>
        </is>
      </c>
      <c r="C272" t="inlineStr">
        <is>
          <t>sale</t>
        </is>
      </c>
      <c r="D272" t="inlineStr">
        <is>
          <t>Да</t>
        </is>
      </c>
      <c r="E272" t="inlineStr"/>
      <c r="F272" t="inlineStr"/>
      <c r="G272" t="inlineStr">
        <is>
          <t>27</t>
        </is>
      </c>
      <c r="H272" t="inlineStr"/>
      <c r="I272" t="inlineStr"/>
      <c r="J272" t="inlineStr">
        <is>
          <t>10 000 000</t>
        </is>
      </c>
      <c r="K272" t="inlineStr"/>
      <c r="L272" t="inlineStr"/>
      <c r="M272" t="inlineStr">
        <is>
          <t>По адресу есть, но площадь другая</t>
        </is>
      </c>
      <c r="N272" t="inlineStr"/>
      <c r="O272" t="inlineStr"/>
      <c r="P272" t="inlineStr"/>
      <c r="Q272">
        <f>HYPERLINK("https://knru.ru/catalog/esenina-ul-8k1/","ссылка")</f>
        <v/>
      </c>
      <c r="R272" t="inlineStr"/>
      <c r="S272" t="inlineStr"/>
    </row>
    <row r="273">
      <c r="A273" t="inlineStr">
        <is>
          <t>Выборгский</t>
        </is>
      </c>
      <c r="B273" t="inlineStr">
        <is>
          <t>Есенина, 1</t>
        </is>
      </c>
      <c r="C273" t="inlineStr">
        <is>
          <t>sale</t>
        </is>
      </c>
      <c r="D273" t="inlineStr">
        <is>
          <t>Да</t>
        </is>
      </c>
      <c r="E273" t="inlineStr"/>
      <c r="F273" t="inlineStr"/>
      <c r="G273" t="inlineStr">
        <is>
          <t>250</t>
        </is>
      </c>
      <c r="H273" t="inlineStr"/>
      <c r="I273" t="inlineStr"/>
      <c r="J273" t="inlineStr">
        <is>
          <t>40 000 000</t>
        </is>
      </c>
      <c r="K273" t="inlineStr"/>
      <c r="L273" t="inlineStr"/>
      <c r="M273" t="inlineStr">
        <is>
          <t>По адресу есть, но площадь другая</t>
        </is>
      </c>
      <c r="N273" t="inlineStr"/>
      <c r="O273" t="inlineStr"/>
      <c r="P273" t="inlineStr"/>
      <c r="Q273">
        <f>HYPERLINK("https://knru.ru/catalog/ul-esenina-d-1/","ссылка")</f>
        <v/>
      </c>
      <c r="R273" t="inlineStr"/>
      <c r="S273" t="inlineStr"/>
    </row>
    <row r="274">
      <c r="A274" t="inlineStr">
        <is>
          <t>Выборгский</t>
        </is>
      </c>
      <c r="B274" t="inlineStr">
        <is>
          <t>Заречная ул, 10</t>
        </is>
      </c>
      <c r="C274" t="inlineStr">
        <is>
          <t>sale</t>
        </is>
      </c>
      <c r="D274" t="inlineStr">
        <is>
          <t>Да</t>
        </is>
      </c>
      <c r="E274" t="inlineStr"/>
      <c r="F274" t="inlineStr"/>
      <c r="G274" t="inlineStr">
        <is>
          <t>170</t>
        </is>
      </c>
      <c r="H274" t="inlineStr"/>
      <c r="I274" t="inlineStr"/>
      <c r="J274" t="inlineStr">
        <is>
          <t>52 000 000</t>
        </is>
      </c>
      <c r="K274" t="inlineStr"/>
      <c r="L274" t="inlineStr"/>
      <c r="M274" t="inlineStr">
        <is>
          <t>Нет у нас</t>
        </is>
      </c>
      <c r="N274" t="inlineStr"/>
      <c r="O274" t="inlineStr"/>
      <c r="P274" t="inlineStr"/>
      <c r="Q274">
        <f>HYPERLINK("https://knru.ru/catalog/parnas-ul-zarechnaya-d-10/","ссылка")</f>
        <v/>
      </c>
      <c r="R274" t="inlineStr"/>
      <c r="S274" t="inlineStr"/>
    </row>
    <row r="275">
      <c r="A275" t="inlineStr">
        <is>
          <t>Выборгский</t>
        </is>
      </c>
      <c r="B275" t="inlineStr">
        <is>
          <t>Кантемировская ул, 31 Е</t>
        </is>
      </c>
      <c r="C275" t="inlineStr">
        <is>
          <t>sale</t>
        </is>
      </c>
      <c r="D275" t="inlineStr">
        <is>
          <t>Да</t>
        </is>
      </c>
      <c r="E275" t="inlineStr"/>
      <c r="F275" t="inlineStr"/>
      <c r="G275" t="inlineStr">
        <is>
          <t>58</t>
        </is>
      </c>
      <c r="H275" t="inlineStr"/>
      <c r="I275" t="inlineStr"/>
      <c r="J275" t="inlineStr">
        <is>
          <t>3 000 000</t>
        </is>
      </c>
      <c r="K275" t="inlineStr"/>
      <c r="L275" t="inlineStr"/>
      <c r="M275" t="inlineStr">
        <is>
          <t>Нет у нас</t>
        </is>
      </c>
      <c r="N275" t="inlineStr"/>
      <c r="O275" t="inlineStr"/>
      <c r="P275" t="inlineStr"/>
      <c r="Q275">
        <f>HYPERLINK("https://knru.ru/catalog/kantemirovskaya-ul-31-e/","ссылка")</f>
        <v/>
      </c>
      <c r="R275" t="inlineStr"/>
      <c r="S275" t="inlineStr"/>
    </row>
    <row r="276">
      <c r="A276" t="inlineStr">
        <is>
          <t>Выборгский</t>
        </is>
      </c>
      <c r="B276" t="inlineStr">
        <is>
          <t>Культуры пр-кт, 48 А</t>
        </is>
      </c>
      <c r="C276" t="inlineStr">
        <is>
          <t>sale</t>
        </is>
      </c>
      <c r="D276" t="inlineStr">
        <is>
          <t>Да</t>
        </is>
      </c>
      <c r="E276" t="inlineStr"/>
      <c r="F276" t="inlineStr"/>
      <c r="G276" t="inlineStr">
        <is>
          <t>2500</t>
        </is>
      </c>
      <c r="H276" t="inlineStr"/>
      <c r="I276" t="inlineStr"/>
      <c r="J276" t="inlineStr">
        <is>
          <t>275 000 000</t>
        </is>
      </c>
      <c r="K276" t="inlineStr"/>
      <c r="L276" t="inlineStr"/>
      <c r="M276" t="inlineStr">
        <is>
          <t>Нет у нас</t>
        </is>
      </c>
      <c r="N276" t="inlineStr"/>
      <c r="O276" t="inlineStr"/>
      <c r="P276" t="inlineStr"/>
      <c r="Q276">
        <f>HYPERLINK("https://knru.ru/catalog/kultury-pr-kt-48-a/","ссылка")</f>
        <v/>
      </c>
      <c r="R276" t="inlineStr"/>
      <c r="S276" t="inlineStr"/>
    </row>
    <row r="277">
      <c r="A277" t="inlineStr">
        <is>
          <t>Выборгский</t>
        </is>
      </c>
      <c r="B277" t="inlineStr">
        <is>
          <t>Курчатова ул, 14 А</t>
        </is>
      </c>
      <c r="C277" t="inlineStr">
        <is>
          <t>sale</t>
        </is>
      </c>
      <c r="D277" t="inlineStr">
        <is>
          <t>Да</t>
        </is>
      </c>
      <c r="E277" t="inlineStr"/>
      <c r="F277" t="inlineStr"/>
      <c r="G277" t="inlineStr">
        <is>
          <t>79.9</t>
        </is>
      </c>
      <c r="H277" t="inlineStr"/>
      <c r="I277" t="inlineStr"/>
      <c r="J277" t="inlineStr">
        <is>
          <t>34 161 525</t>
        </is>
      </c>
      <c r="K277" t="inlineStr"/>
      <c r="L277" t="inlineStr"/>
      <c r="M277" t="inlineStr">
        <is>
          <t>Нет у нас</t>
        </is>
      </c>
      <c r="N277" t="inlineStr"/>
      <c r="O277" t="inlineStr"/>
      <c r="P277" t="inlineStr"/>
      <c r="Q277">
        <f>HYPERLINK("https://knru.ru/catalog/ul-kurchatova-d-14a-41149812/","ссылка")</f>
        <v/>
      </c>
      <c r="R277" t="inlineStr"/>
      <c r="S277" t="inlineStr"/>
    </row>
    <row r="278">
      <c r="A278" t="inlineStr">
        <is>
          <t>Выборгский</t>
        </is>
      </c>
      <c r="B278" t="inlineStr">
        <is>
          <t>Курчатова ул, 14 А</t>
        </is>
      </c>
      <c r="C278" t="inlineStr">
        <is>
          <t>sale</t>
        </is>
      </c>
      <c r="D278" t="inlineStr">
        <is>
          <t>Да</t>
        </is>
      </c>
      <c r="E278" t="inlineStr"/>
      <c r="F278" t="inlineStr"/>
      <c r="G278" t="inlineStr">
        <is>
          <t>52</t>
        </is>
      </c>
      <c r="H278" t="inlineStr"/>
      <c r="I278" t="inlineStr"/>
      <c r="J278" t="inlineStr">
        <is>
          <t>21 725 900</t>
        </is>
      </c>
      <c r="K278" t="inlineStr"/>
      <c r="L278" t="inlineStr"/>
      <c r="M278" t="inlineStr">
        <is>
          <t>Нет у нас</t>
        </is>
      </c>
      <c r="N278" t="inlineStr"/>
      <c r="O278" t="inlineStr"/>
      <c r="P278" t="inlineStr"/>
      <c r="Q278">
        <f>HYPERLINK("https://knru.ru/catalog/ul-kurchatova-d-14a-556539/","ссылка")</f>
        <v/>
      </c>
      <c r="R278" t="inlineStr"/>
      <c r="S278" t="inlineStr"/>
    </row>
    <row r="279">
      <c r="A279" t="inlineStr">
        <is>
          <t>Выборгский</t>
        </is>
      </c>
      <c r="B279" t="inlineStr">
        <is>
          <t>Курчатова ул, 14 А</t>
        </is>
      </c>
      <c r="C279" t="inlineStr">
        <is>
          <t>sale</t>
        </is>
      </c>
      <c r="D279" t="inlineStr">
        <is>
          <t>Да</t>
        </is>
      </c>
      <c r="E279" t="inlineStr"/>
      <c r="F279" t="inlineStr"/>
      <c r="G279" t="inlineStr">
        <is>
          <t>48</t>
        </is>
      </c>
      <c r="H279" t="inlineStr"/>
      <c r="I279" t="inlineStr"/>
      <c r="J279" t="inlineStr">
        <is>
          <t>19 573 400</t>
        </is>
      </c>
      <c r="K279" t="inlineStr"/>
      <c r="L279" t="inlineStr"/>
      <c r="M279" t="inlineStr">
        <is>
          <t>Нет у нас</t>
        </is>
      </c>
      <c r="N279" t="inlineStr"/>
      <c r="O279" t="inlineStr"/>
      <c r="P279" t="inlineStr"/>
      <c r="Q279">
        <f>HYPERLINK("https://knru.ru/catalog/ul-kurchatova-d-14a-556538/","ссылка")</f>
        <v/>
      </c>
      <c r="R279" t="inlineStr"/>
      <c r="S279" t="inlineStr"/>
    </row>
    <row r="280">
      <c r="A280" t="inlineStr">
        <is>
          <t>Выборгский</t>
        </is>
      </c>
      <c r="B280" t="inlineStr">
        <is>
          <t>Кустодиева ул., д. 5 корп.1 стр.1</t>
        </is>
      </c>
      <c r="C280" t="inlineStr">
        <is>
          <t>sale</t>
        </is>
      </c>
      <c r="D280" t="inlineStr">
        <is>
          <t>Да</t>
        </is>
      </c>
      <c r="E280" t="inlineStr"/>
      <c r="F280" t="inlineStr"/>
      <c r="G280" t="inlineStr">
        <is>
          <t>104.4</t>
        </is>
      </c>
      <c r="H280" t="inlineStr"/>
      <c r="I280" t="inlineStr"/>
      <c r="J280" t="inlineStr">
        <is>
          <t>33 451 982</t>
        </is>
      </c>
      <c r="K280" t="inlineStr"/>
      <c r="L280" t="inlineStr"/>
      <c r="M280" t="inlineStr">
        <is>
          <t>Нет у нас</t>
        </is>
      </c>
      <c r="N280" t="inlineStr"/>
      <c r="O280" t="inlineStr"/>
      <c r="P280" t="inlineStr"/>
      <c r="Q280">
        <f>HYPERLINK("https://knru.ru/catalog/kustodieva-ul-d-5-korp-1-str-1-449717382/","ссылка")</f>
        <v/>
      </c>
      <c r="R280" t="inlineStr"/>
      <c r="S280" t="inlineStr"/>
    </row>
    <row r="281">
      <c r="A281" t="inlineStr">
        <is>
          <t>Выборгский</t>
        </is>
      </c>
      <c r="B281" t="inlineStr">
        <is>
          <t>Кустодиева ул., д. 5 корп.1 стр.1</t>
        </is>
      </c>
      <c r="C281" t="inlineStr">
        <is>
          <t>sale</t>
        </is>
      </c>
      <c r="D281" t="inlineStr">
        <is>
          <t>Да</t>
        </is>
      </c>
      <c r="E281" t="inlineStr"/>
      <c r="F281" t="inlineStr"/>
      <c r="G281" t="inlineStr">
        <is>
          <t>326.1</t>
        </is>
      </c>
      <c r="H281" t="inlineStr"/>
      <c r="I281" t="inlineStr"/>
      <c r="J281" t="inlineStr">
        <is>
          <t>59 077 163</t>
        </is>
      </c>
      <c r="K281" t="inlineStr"/>
      <c r="L281" t="inlineStr"/>
      <c r="M281" t="inlineStr">
        <is>
          <t>Нет у нас</t>
        </is>
      </c>
      <c r="N281" t="inlineStr"/>
      <c r="O281" t="inlineStr"/>
      <c r="P281" t="inlineStr"/>
      <c r="Q281">
        <f>HYPERLINK("https://knru.ru/catalog/kustodieva-ul-d-5-korp-1-str-1-977232919/","ссылка")</f>
        <v/>
      </c>
      <c r="R281" t="inlineStr"/>
      <c r="S281" t="inlineStr"/>
    </row>
    <row r="282">
      <c r="A282" t="inlineStr">
        <is>
          <t>Выборгский</t>
        </is>
      </c>
      <c r="B282" t="inlineStr">
        <is>
          <t>Кустодиева ул., д. 5 корп.1 стр.1</t>
        </is>
      </c>
      <c r="C282" t="inlineStr">
        <is>
          <t>sale</t>
        </is>
      </c>
      <c r="D282" t="inlineStr">
        <is>
          <t>Да</t>
        </is>
      </c>
      <c r="E282" t="inlineStr"/>
      <c r="F282" t="inlineStr"/>
      <c r="G282" t="inlineStr">
        <is>
          <t>309.4</t>
        </is>
      </c>
      <c r="H282" t="inlineStr"/>
      <c r="I282" t="inlineStr"/>
      <c r="J282" t="inlineStr">
        <is>
          <t>56 051 745</t>
        </is>
      </c>
      <c r="K282" t="inlineStr"/>
      <c r="L282" t="inlineStr"/>
      <c r="M282" t="inlineStr">
        <is>
          <t>Нет у нас</t>
        </is>
      </c>
      <c r="N282" t="inlineStr"/>
      <c r="O282" t="inlineStr"/>
      <c r="P282" t="inlineStr"/>
      <c r="Q282">
        <f>HYPERLINK("https://knru.ru/catalog/kustodieva-ul-d-5-korp-1-str-1-612343911/","ссылка")</f>
        <v/>
      </c>
      <c r="R282" t="inlineStr"/>
      <c r="S282" t="inlineStr"/>
    </row>
    <row r="283">
      <c r="A283" t="inlineStr">
        <is>
          <t>Выборгский</t>
        </is>
      </c>
      <c r="B283" t="inlineStr">
        <is>
          <t>Кустодиева ул., д. 5 корп.1 стр.1</t>
        </is>
      </c>
      <c r="C283" t="inlineStr">
        <is>
          <t>sale</t>
        </is>
      </c>
      <c r="D283" t="inlineStr">
        <is>
          <t>Да</t>
        </is>
      </c>
      <c r="E283" t="inlineStr"/>
      <c r="F283" t="inlineStr"/>
      <c r="G283" t="inlineStr">
        <is>
          <t>171</t>
        </is>
      </c>
      <c r="H283" t="inlineStr"/>
      <c r="I283" t="inlineStr"/>
      <c r="J283" t="inlineStr">
        <is>
          <t>34 380 713</t>
        </is>
      </c>
      <c r="K283" t="inlineStr"/>
      <c r="L283" t="inlineStr"/>
      <c r="M283" t="inlineStr">
        <is>
          <t>Нет у нас</t>
        </is>
      </c>
      <c r="N283" t="inlineStr"/>
      <c r="O283" t="inlineStr"/>
      <c r="P283" t="inlineStr"/>
      <c r="Q283">
        <f>HYPERLINK("https://knru.ru/catalog/kustodieva-ul-d-5-korp-1-str-1-523600851/","ссылка")</f>
        <v/>
      </c>
      <c r="R283" t="inlineStr"/>
      <c r="S283" t="inlineStr"/>
    </row>
    <row r="284">
      <c r="A284" t="inlineStr">
        <is>
          <t>Выборгский</t>
        </is>
      </c>
      <c r="B284" t="inlineStr">
        <is>
          <t>Кустодиева ул., д. 5 корп.1 стр.1</t>
        </is>
      </c>
      <c r="C284" t="inlineStr">
        <is>
          <t>sale</t>
        </is>
      </c>
      <c r="D284" t="inlineStr">
        <is>
          <t>Да</t>
        </is>
      </c>
      <c r="E284" t="inlineStr"/>
      <c r="F284" t="inlineStr"/>
      <c r="G284" t="inlineStr">
        <is>
          <t>177.9</t>
        </is>
      </c>
      <c r="H284" t="inlineStr"/>
      <c r="I284" t="inlineStr"/>
      <c r="J284" t="inlineStr">
        <is>
          <t>53 463 789</t>
        </is>
      </c>
      <c r="K284" t="inlineStr"/>
      <c r="L284" t="inlineStr"/>
      <c r="M284" t="inlineStr">
        <is>
          <t>Нет у нас</t>
        </is>
      </c>
      <c r="N284" t="inlineStr"/>
      <c r="O284" t="inlineStr"/>
      <c r="P284" t="inlineStr"/>
      <c r="Q284">
        <f>HYPERLINK("https://knru.ru/catalog/kustodieva-ul-d-5-korp-1-str-1-864031703/","ссылка")</f>
        <v/>
      </c>
      <c r="R284" t="inlineStr"/>
      <c r="S284" t="inlineStr"/>
    </row>
    <row r="285">
      <c r="A285" t="inlineStr">
        <is>
          <t>Выборгский</t>
        </is>
      </c>
      <c r="B285" t="inlineStr">
        <is>
          <t>Кустодиева ул., д. 5 корп.1 стр.1</t>
        </is>
      </c>
      <c r="C285" t="inlineStr">
        <is>
          <t>sale</t>
        </is>
      </c>
      <c r="D285" t="inlineStr">
        <is>
          <t>Да</t>
        </is>
      </c>
      <c r="E285" t="inlineStr"/>
      <c r="F285" t="inlineStr"/>
      <c r="G285" t="inlineStr">
        <is>
          <t>150.8</t>
        </is>
      </c>
      <c r="H285" t="inlineStr"/>
      <c r="I285" t="inlineStr"/>
      <c r="J285" t="inlineStr">
        <is>
          <t>45 319 502</t>
        </is>
      </c>
      <c r="K285" t="inlineStr"/>
      <c r="L285" t="inlineStr"/>
      <c r="M285" t="inlineStr">
        <is>
          <t>Нет у нас</t>
        </is>
      </c>
      <c r="N285" t="inlineStr"/>
      <c r="O285" t="inlineStr"/>
      <c r="P285" t="inlineStr"/>
      <c r="Q285">
        <f>HYPERLINK("https://knru.ru/catalog/kustodieva-ul-d-5-korp-1-str-1-2125618303/","ссылка")</f>
        <v/>
      </c>
      <c r="R285" t="inlineStr"/>
      <c r="S285" t="inlineStr"/>
    </row>
    <row r="286">
      <c r="A286" t="inlineStr">
        <is>
          <t>Выборгский</t>
        </is>
      </c>
      <c r="B286" t="inlineStr">
        <is>
          <t>Кустодиева ул., д. 5 корп.1 стр.1</t>
        </is>
      </c>
      <c r="C286" t="inlineStr">
        <is>
          <t>sale</t>
        </is>
      </c>
      <c r="D286" t="inlineStr">
        <is>
          <t>Да</t>
        </is>
      </c>
      <c r="E286" t="inlineStr"/>
      <c r="F286" t="inlineStr"/>
      <c r="G286" t="inlineStr">
        <is>
          <t>174.5</t>
        </is>
      </c>
      <c r="H286" t="inlineStr"/>
      <c r="I286" t="inlineStr"/>
      <c r="J286" t="inlineStr">
        <is>
          <t>52 441 996</t>
        </is>
      </c>
      <c r="K286" t="inlineStr"/>
      <c r="L286" t="inlineStr"/>
      <c r="M286" t="inlineStr">
        <is>
          <t>Нет у нас</t>
        </is>
      </c>
      <c r="N286" t="inlineStr"/>
      <c r="O286" t="inlineStr"/>
      <c r="P286" t="inlineStr"/>
      <c r="Q286">
        <f>HYPERLINK("https://knru.ru/catalog/kustodieva-ul-d-5-korp-1-str-1-2072958179/","ссылка")</f>
        <v/>
      </c>
      <c r="R286" t="inlineStr"/>
      <c r="S286" t="inlineStr"/>
    </row>
    <row r="287">
      <c r="A287" t="inlineStr">
        <is>
          <t>Выборгский</t>
        </is>
      </c>
      <c r="B287" t="inlineStr">
        <is>
          <t>Кустодиева ул., д. 5 корп.1 стр.1</t>
        </is>
      </c>
      <c r="C287" t="inlineStr">
        <is>
          <t>sale</t>
        </is>
      </c>
      <c r="D287" t="inlineStr">
        <is>
          <t>Да</t>
        </is>
      </c>
      <c r="E287" t="inlineStr"/>
      <c r="F287" t="inlineStr"/>
      <c r="G287" t="inlineStr">
        <is>
          <t>316.3</t>
        </is>
      </c>
      <c r="H287" t="inlineStr"/>
      <c r="I287" t="inlineStr"/>
      <c r="J287" t="inlineStr">
        <is>
          <t>91 910 504</t>
        </is>
      </c>
      <c r="K287" t="inlineStr"/>
      <c r="L287" t="inlineStr"/>
      <c r="M287" t="inlineStr">
        <is>
          <t>Нет у нас</t>
        </is>
      </c>
      <c r="N287" t="inlineStr"/>
      <c r="O287" t="inlineStr"/>
      <c r="P287" t="inlineStr"/>
      <c r="Q287">
        <f>HYPERLINK("https://knru.ru/catalog/kustodieva-ul-d-5-korp-1-str-1-680636117/","ссылка")</f>
        <v/>
      </c>
      <c r="R287" t="inlineStr"/>
      <c r="S287" t="inlineStr"/>
    </row>
    <row r="288">
      <c r="A288" t="inlineStr">
        <is>
          <t>Выборгский</t>
        </is>
      </c>
      <c r="B288" t="inlineStr">
        <is>
          <t>Кустодиева ул., д. 5 корп.1 стр.1</t>
        </is>
      </c>
      <c r="C288" t="inlineStr">
        <is>
          <t>sale</t>
        </is>
      </c>
      <c r="D288" t="inlineStr">
        <is>
          <t>Да</t>
        </is>
      </c>
      <c r="E288" t="inlineStr"/>
      <c r="F288" t="inlineStr"/>
      <c r="G288" t="inlineStr">
        <is>
          <t>131.5</t>
        </is>
      </c>
      <c r="H288" t="inlineStr"/>
      <c r="I288" t="inlineStr"/>
      <c r="J288" t="inlineStr">
        <is>
          <t>38 108 700</t>
        </is>
      </c>
      <c r="K288" t="inlineStr"/>
      <c r="L288" t="inlineStr"/>
      <c r="M288" t="inlineStr">
        <is>
          <t>Нет у нас</t>
        </is>
      </c>
      <c r="N288" t="inlineStr"/>
      <c r="O288" t="inlineStr"/>
      <c r="P288" t="inlineStr"/>
      <c r="Q288">
        <f>HYPERLINK("https://knru.ru/catalog/kustodieva-ul-d-5-korp-1-str-1/","ссылка")</f>
        <v/>
      </c>
      <c r="R288" t="inlineStr"/>
      <c r="S288" t="inlineStr"/>
    </row>
    <row r="289">
      <c r="A289" t="inlineStr">
        <is>
          <t>Выборгский</t>
        </is>
      </c>
      <c r="B289" t="inlineStr">
        <is>
          <t>Кустодиева ул., д. 7 корп.1 стр.1</t>
        </is>
      </c>
      <c r="C289" t="inlineStr">
        <is>
          <t>sale</t>
        </is>
      </c>
      <c r="D289" t="inlineStr">
        <is>
          <t>Да</t>
        </is>
      </c>
      <c r="E289" t="inlineStr"/>
      <c r="F289" t="inlineStr"/>
      <c r="G289" t="inlineStr">
        <is>
          <t>346.8</t>
        </is>
      </c>
      <c r="H289" t="inlineStr"/>
      <c r="I289" t="inlineStr"/>
      <c r="J289" t="inlineStr">
        <is>
          <t>62 827 231</t>
        </is>
      </c>
      <c r="K289" t="inlineStr"/>
      <c r="L289" t="inlineStr"/>
      <c r="M289" t="inlineStr">
        <is>
          <t>Нет у нас</t>
        </is>
      </c>
      <c r="N289" t="inlineStr"/>
      <c r="O289" t="inlineStr"/>
      <c r="P289" t="inlineStr"/>
      <c r="Q289">
        <f>HYPERLINK("https://knru.ru/catalog/kustodieva-ul-d-7-korp-1-str-1-1235928923/","ссылка")</f>
        <v/>
      </c>
      <c r="R289" t="inlineStr"/>
      <c r="S289" t="inlineStr"/>
    </row>
    <row r="290">
      <c r="A290" t="inlineStr">
        <is>
          <t>Выборгский</t>
        </is>
      </c>
      <c r="B290" t="inlineStr">
        <is>
          <t>Кустодиева ул., д. 7 корп.1 стр.1</t>
        </is>
      </c>
      <c r="C290" t="inlineStr">
        <is>
          <t>sale</t>
        </is>
      </c>
      <c r="D290" t="inlineStr">
        <is>
          <t>Да</t>
        </is>
      </c>
      <c r="E290" t="inlineStr"/>
      <c r="F290" t="inlineStr"/>
      <c r="G290" t="inlineStr">
        <is>
          <t>257</t>
        </is>
      </c>
      <c r="H290" t="inlineStr"/>
      <c r="I290" t="inlineStr"/>
      <c r="J290" t="inlineStr">
        <is>
          <t>74 679 101</t>
        </is>
      </c>
      <c r="K290" t="inlineStr"/>
      <c r="L290" t="inlineStr"/>
      <c r="M290" t="inlineStr">
        <is>
          <t>Нет у нас</t>
        </is>
      </c>
      <c r="N290" t="inlineStr"/>
      <c r="O290" t="inlineStr"/>
      <c r="P290" t="inlineStr"/>
      <c r="Q290">
        <f>HYPERLINK("https://knru.ru/catalog/kustodieva-ul-d-7-korp-1-str-1-435326519/","ссылка")</f>
        <v/>
      </c>
      <c r="R290" t="inlineStr"/>
      <c r="S290" t="inlineStr"/>
    </row>
    <row r="291">
      <c r="A291" t="inlineStr">
        <is>
          <t>Выборгский</t>
        </is>
      </c>
      <c r="B291" t="inlineStr">
        <is>
          <t>Кустодиева ул., д. 7 корп.1 стр.1</t>
        </is>
      </c>
      <c r="C291" t="inlineStr">
        <is>
          <t>sale</t>
        </is>
      </c>
      <c r="D291" t="inlineStr">
        <is>
          <t>Да</t>
        </is>
      </c>
      <c r="E291" t="inlineStr"/>
      <c r="F291" t="inlineStr"/>
      <c r="G291" t="inlineStr">
        <is>
          <t>214.5</t>
        </is>
      </c>
      <c r="H291" t="inlineStr"/>
      <c r="I291" t="inlineStr"/>
      <c r="J291" t="inlineStr">
        <is>
          <t>62 329 444</t>
        </is>
      </c>
      <c r="K291" t="inlineStr"/>
      <c r="L291" t="inlineStr"/>
      <c r="M291" t="inlineStr">
        <is>
          <t>Нет у нас</t>
        </is>
      </c>
      <c r="N291" t="inlineStr"/>
      <c r="O291" t="inlineStr"/>
      <c r="P291" t="inlineStr"/>
      <c r="Q291">
        <f>HYPERLINK("https://knru.ru/catalog/kustodieva-ul-d-7-korp-1-str-1-206285589/","ссылка")</f>
        <v/>
      </c>
      <c r="R291" t="inlineStr"/>
      <c r="S291" t="inlineStr"/>
    </row>
    <row r="292">
      <c r="A292" t="inlineStr">
        <is>
          <t>Выборгский</t>
        </is>
      </c>
      <c r="B292" t="inlineStr">
        <is>
          <t>Кустодиева ул., д. 7 корп.1 стр.1</t>
        </is>
      </c>
      <c r="C292" t="inlineStr">
        <is>
          <t>sale</t>
        </is>
      </c>
      <c r="D292" t="inlineStr">
        <is>
          <t>Да</t>
        </is>
      </c>
      <c r="E292" t="inlineStr"/>
      <c r="F292" t="inlineStr"/>
      <c r="G292" t="inlineStr">
        <is>
          <t>238.2</t>
        </is>
      </c>
      <c r="H292" t="inlineStr"/>
      <c r="I292" t="inlineStr"/>
      <c r="J292" t="inlineStr">
        <is>
          <t>43 152 960</t>
        </is>
      </c>
      <c r="K292" t="inlineStr"/>
      <c r="L292" t="inlineStr"/>
      <c r="M292" t="inlineStr">
        <is>
          <t>Нет у нас</t>
        </is>
      </c>
      <c r="N292" t="inlineStr"/>
      <c r="O292" t="inlineStr"/>
      <c r="P292" t="inlineStr"/>
      <c r="Q292">
        <f>HYPERLINK("https://knru.ru/catalog/kustodieva-ul-d-7-korp-1-str-1-465770786/","ссылка")</f>
        <v/>
      </c>
      <c r="R292" t="inlineStr"/>
      <c r="S292" t="inlineStr"/>
    </row>
    <row r="293">
      <c r="A293" t="inlineStr">
        <is>
          <t>Выборгский</t>
        </is>
      </c>
      <c r="B293" t="inlineStr">
        <is>
          <t>Кустодиева ул., д. 7 корп.1 стр.1</t>
        </is>
      </c>
      <c r="C293" t="inlineStr">
        <is>
          <t>sale</t>
        </is>
      </c>
      <c r="D293" t="inlineStr">
        <is>
          <t>Да</t>
        </is>
      </c>
      <c r="E293" t="inlineStr"/>
      <c r="F293" t="inlineStr"/>
      <c r="G293" t="inlineStr">
        <is>
          <t>260.5</t>
        </is>
      </c>
      <c r="H293" t="inlineStr"/>
      <c r="I293" t="inlineStr"/>
      <c r="J293" t="inlineStr">
        <is>
          <t>47 192 889</t>
        </is>
      </c>
      <c r="K293" t="inlineStr"/>
      <c r="L293" t="inlineStr"/>
      <c r="M293" t="inlineStr">
        <is>
          <t>Нет у нас</t>
        </is>
      </c>
      <c r="N293" t="inlineStr"/>
      <c r="O293" t="inlineStr"/>
      <c r="P293" t="inlineStr"/>
      <c r="Q293">
        <f>HYPERLINK("https://knru.ru/catalog/kustodieva-ul-d-7-korp-1-str-1-1929794395/","ссылка")</f>
        <v/>
      </c>
      <c r="R293" t="inlineStr"/>
      <c r="S293" t="inlineStr"/>
    </row>
    <row r="294">
      <c r="A294" t="inlineStr">
        <is>
          <t>Выборгский</t>
        </is>
      </c>
      <c r="B294" t="inlineStr">
        <is>
          <t>Кустодиева ул., д. 7 корп.1 стр.1</t>
        </is>
      </c>
      <c r="C294" t="inlineStr">
        <is>
          <t>sale</t>
        </is>
      </c>
      <c r="D294" t="inlineStr">
        <is>
          <t>Да</t>
        </is>
      </c>
      <c r="E294" t="inlineStr"/>
      <c r="F294" t="inlineStr"/>
      <c r="G294" t="inlineStr">
        <is>
          <t>296.7</t>
        </is>
      </c>
      <c r="H294" t="inlineStr"/>
      <c r="I294" t="inlineStr"/>
      <c r="J294" t="inlineStr">
        <is>
          <t>53 750 979</t>
        </is>
      </c>
      <c r="K294" t="inlineStr"/>
      <c r="L294" t="inlineStr"/>
      <c r="M294" t="inlineStr">
        <is>
          <t>Нет у нас</t>
        </is>
      </c>
      <c r="N294" t="inlineStr"/>
      <c r="O294" t="inlineStr"/>
      <c r="P294" t="inlineStr"/>
      <c r="Q294">
        <f>HYPERLINK("https://knru.ru/catalog/kustodieva-ul-d-7-korp-1-str-1-260112131/","ссылка")</f>
        <v/>
      </c>
      <c r="R294" t="inlineStr"/>
      <c r="S294" t="inlineStr"/>
    </row>
    <row r="295">
      <c r="A295" t="inlineStr">
        <is>
          <t>Выборгский</t>
        </is>
      </c>
      <c r="B295" t="inlineStr">
        <is>
          <t>Ленинградская обл, Производственная зона-1 тер, Политехническая ул, 13</t>
        </is>
      </c>
      <c r="C295" t="inlineStr">
        <is>
          <t>sale</t>
        </is>
      </c>
      <c r="D295" t="inlineStr"/>
      <c r="E295" t="inlineStr">
        <is>
          <t>Да</t>
        </is>
      </c>
      <c r="F295" t="inlineStr"/>
      <c r="G295" t="inlineStr"/>
      <c r="H295" t="inlineStr">
        <is>
          <t>1132</t>
        </is>
      </c>
      <c r="I295" t="inlineStr"/>
      <c r="J295" t="inlineStr"/>
      <c r="K295" t="inlineStr">
        <is>
          <t>48 000 000</t>
        </is>
      </c>
      <c r="L295" t="inlineStr"/>
      <c r="M295" t="inlineStr"/>
      <c r="N295" t="inlineStr">
        <is>
          <t>Нет у нас</t>
        </is>
      </c>
      <c r="O295" t="inlineStr"/>
      <c r="P295" t="inlineStr"/>
      <c r="Q295" t="inlineStr"/>
      <c r="R295">
        <f>HYPERLINK("https://nordwestinvest.ru/real-estates/prodaza-teplogo-skladskogo-pomeshheniia","ссылка")</f>
        <v/>
      </c>
      <c r="S295" t="inlineStr"/>
    </row>
    <row r="296">
      <c r="A296" t="inlineStr">
        <is>
          <t>Выборгский</t>
        </is>
      </c>
      <c r="B296" t="inlineStr">
        <is>
          <t>Лиственная ул, 20стр1</t>
        </is>
      </c>
      <c r="C296" t="inlineStr">
        <is>
          <t>sale</t>
        </is>
      </c>
      <c r="D296" t="inlineStr">
        <is>
          <t>Да</t>
        </is>
      </c>
      <c r="E296" t="inlineStr"/>
      <c r="F296" t="inlineStr"/>
      <c r="G296" t="inlineStr">
        <is>
          <t>101.9</t>
        </is>
      </c>
      <c r="H296" t="inlineStr"/>
      <c r="I296" t="inlineStr"/>
      <c r="J296" t="inlineStr">
        <is>
          <t>22 672 750</t>
        </is>
      </c>
      <c r="K296" t="inlineStr"/>
      <c r="L296" t="inlineStr"/>
      <c r="M296" t="inlineStr">
        <is>
          <t>Нет у нас</t>
        </is>
      </c>
      <c r="N296" t="inlineStr"/>
      <c r="O296" t="inlineStr"/>
      <c r="P296" t="inlineStr"/>
      <c r="Q296">
        <f>HYPERLINK("https://knru.ru/catalog/listvennaya-ul-d-20-k-2/","ссылка")</f>
        <v/>
      </c>
      <c r="R296" t="inlineStr"/>
      <c r="S296" t="inlineStr"/>
    </row>
    <row r="297">
      <c r="A297" t="inlineStr">
        <is>
          <t>Выборгский</t>
        </is>
      </c>
      <c r="B297" t="inlineStr">
        <is>
          <t>Литовская ул, 8к2 А</t>
        </is>
      </c>
      <c r="C297" t="inlineStr">
        <is>
          <t>sale</t>
        </is>
      </c>
      <c r="D297" t="inlineStr">
        <is>
          <t>Да</t>
        </is>
      </c>
      <c r="E297" t="inlineStr"/>
      <c r="F297" t="inlineStr"/>
      <c r="G297" t="inlineStr">
        <is>
          <t>1088</t>
        </is>
      </c>
      <c r="H297" t="inlineStr"/>
      <c r="I297" t="inlineStr"/>
      <c r="J297" t="inlineStr">
        <is>
          <t>79 999 990</t>
        </is>
      </c>
      <c r="K297" t="inlineStr"/>
      <c r="L297" t="inlineStr"/>
      <c r="M297" t="inlineStr">
        <is>
          <t>По адресу есть, но площадь другая</t>
        </is>
      </c>
      <c r="N297" t="inlineStr"/>
      <c r="O297" t="inlineStr"/>
      <c r="P297" t="inlineStr"/>
      <c r="Q297">
        <f>HYPERLINK("https://knru.ru/catalog/ul-litovskaya-d-8-k-2/","ссылка")</f>
        <v/>
      </c>
      <c r="R297" t="inlineStr"/>
      <c r="S297" t="inlineStr"/>
    </row>
    <row r="298">
      <c r="A298" t="inlineStr">
        <is>
          <t>Выборгский</t>
        </is>
      </c>
      <c r="B298" t="inlineStr">
        <is>
          <t>Меркурьева ул, 7стр1</t>
        </is>
      </c>
      <c r="C298" t="inlineStr">
        <is>
          <t>sale</t>
        </is>
      </c>
      <c r="D298" t="inlineStr">
        <is>
          <t>Да</t>
        </is>
      </c>
      <c r="E298" t="inlineStr"/>
      <c r="F298" t="inlineStr"/>
      <c r="G298" t="inlineStr">
        <is>
          <t>1270</t>
        </is>
      </c>
      <c r="H298" t="inlineStr"/>
      <c r="I298" t="inlineStr"/>
      <c r="J298" t="inlineStr">
        <is>
          <t>97 000 000</t>
        </is>
      </c>
      <c r="K298" t="inlineStr"/>
      <c r="L298" t="inlineStr"/>
      <c r="M298" t="inlineStr">
        <is>
          <t>Нет у нас</t>
        </is>
      </c>
      <c r="N298" t="inlineStr"/>
      <c r="O298" t="inlineStr"/>
      <c r="P298" t="inlineStr"/>
      <c r="Q298">
        <f>HYPERLINK("https://knru.ru/catalog/4-j-verxnij-pereulok-d-19/","ссылка")</f>
        <v/>
      </c>
      <c r="R298" t="inlineStr"/>
      <c r="S298" t="inlineStr"/>
    </row>
    <row r="299">
      <c r="A299" t="inlineStr">
        <is>
          <t>Выборгский</t>
        </is>
      </c>
      <c r="B299" t="inlineStr">
        <is>
          <t>Металлострой п, Железнодорожная ул, 11 А</t>
        </is>
      </c>
      <c r="C299" t="inlineStr">
        <is>
          <t>sale</t>
        </is>
      </c>
      <c r="D299" t="inlineStr"/>
      <c r="E299" t="inlineStr">
        <is>
          <t>Да</t>
        </is>
      </c>
      <c r="F299" t="inlineStr"/>
      <c r="G299" t="inlineStr"/>
      <c r="H299" t="inlineStr">
        <is>
          <t>2600</t>
        </is>
      </c>
      <c r="I299" t="inlineStr"/>
      <c r="J299" t="inlineStr"/>
      <c r="K299" t="inlineStr">
        <is>
          <t>250 000 000</t>
        </is>
      </c>
      <c r="L299" t="inlineStr"/>
      <c r="M299" t="inlineStr"/>
      <c r="N299" t="inlineStr">
        <is>
          <t>Нет у нас</t>
        </is>
      </c>
      <c r="O299" t="inlineStr"/>
      <c r="P299" t="inlineStr"/>
      <c r="Q299" t="inlineStr"/>
      <c r="R299">
        <f>HYPERLINK("https://nordwestinvest.ru/real-estates/prodaza-zdaniia-s-arendatorom-otel-2600-m2","ссылка")</f>
        <v/>
      </c>
      <c r="S299" t="inlineStr"/>
    </row>
    <row r="300">
      <c r="A300" t="inlineStr">
        <is>
          <t>Выборгский</t>
        </is>
      </c>
      <c r="B300" t="inlineStr">
        <is>
          <t>Михайловская дор, к1</t>
        </is>
      </c>
      <c r="C300" t="inlineStr">
        <is>
          <t>sale</t>
        </is>
      </c>
      <c r="D300" t="inlineStr">
        <is>
          <t>Да</t>
        </is>
      </c>
      <c r="E300" t="inlineStr"/>
      <c r="F300" t="inlineStr"/>
      <c r="G300" t="inlineStr">
        <is>
          <t>84.7</t>
        </is>
      </c>
      <c r="H300" t="inlineStr"/>
      <c r="I300" t="inlineStr"/>
      <c r="J300" t="inlineStr">
        <is>
          <t>18 880 000</t>
        </is>
      </c>
      <c r="K300" t="inlineStr"/>
      <c r="L300" t="inlineStr"/>
      <c r="M300" t="inlineStr">
        <is>
          <t>Нет у нас</t>
        </is>
      </c>
      <c r="N300" t="inlineStr"/>
      <c r="O300" t="inlineStr"/>
      <c r="P300" t="inlineStr"/>
      <c r="Q300">
        <f>HYPERLINK("https://knru.ru/catalog/pos-pargolovo-doroga-v-kamenku-k-5-1996925179/","ссылка")</f>
        <v/>
      </c>
      <c r="R300" t="inlineStr"/>
      <c r="S300" t="inlineStr"/>
    </row>
    <row r="301">
      <c r="A301" t="inlineStr">
        <is>
          <t>Выборгский</t>
        </is>
      </c>
      <c r="B301" t="inlineStr">
        <is>
          <t>Михайловская дор, к1</t>
        </is>
      </c>
      <c r="C301" t="inlineStr">
        <is>
          <t>sale</t>
        </is>
      </c>
      <c r="D301" t="inlineStr">
        <is>
          <t>Да</t>
        </is>
      </c>
      <c r="E301" t="inlineStr"/>
      <c r="F301" t="inlineStr"/>
      <c r="G301" t="inlineStr">
        <is>
          <t>62</t>
        </is>
      </c>
      <c r="H301" t="inlineStr"/>
      <c r="I301" t="inlineStr"/>
      <c r="J301" t="inlineStr">
        <is>
          <t>14 719 999</t>
        </is>
      </c>
      <c r="K301" t="inlineStr"/>
      <c r="L301" t="inlineStr"/>
      <c r="M301" t="inlineStr">
        <is>
          <t>Нет у нас</t>
        </is>
      </c>
      <c r="N301" t="inlineStr"/>
      <c r="O301" t="inlineStr"/>
      <c r="P301" t="inlineStr"/>
      <c r="Q301">
        <f>HYPERLINK("https://knru.ru/catalog/pos-pargolovo-doroga-v-kamenku-k-5/","ссылка")</f>
        <v/>
      </c>
      <c r="R301" t="inlineStr"/>
      <c r="S301" t="inlineStr"/>
    </row>
    <row r="302">
      <c r="A302" t="inlineStr">
        <is>
          <t>Выборгский</t>
        </is>
      </c>
      <c r="B302" t="inlineStr">
        <is>
          <t>Михайловская дор, к1</t>
        </is>
      </c>
      <c r="C302" t="inlineStr">
        <is>
          <t>sale</t>
        </is>
      </c>
      <c r="D302" t="inlineStr">
        <is>
          <t>Да</t>
        </is>
      </c>
      <c r="E302" t="inlineStr"/>
      <c r="F302" t="inlineStr"/>
      <c r="G302" t="inlineStr">
        <is>
          <t>74.5</t>
        </is>
      </c>
      <c r="H302" t="inlineStr"/>
      <c r="I302" t="inlineStr"/>
      <c r="J302" t="inlineStr">
        <is>
          <t>18 719 999</t>
        </is>
      </c>
      <c r="K302" t="inlineStr"/>
      <c r="L302" t="inlineStr"/>
      <c r="M302" t="inlineStr">
        <is>
          <t>Нет у нас</t>
        </is>
      </c>
      <c r="N302" t="inlineStr"/>
      <c r="O302" t="inlineStr"/>
      <c r="P302" t="inlineStr"/>
      <c r="Q302">
        <f>HYPERLINK("https://knru.ru/catalog/pos-pargolovo-mikhaylovskaya-dor-k-1-1688854952/","ссылка")</f>
        <v/>
      </c>
      <c r="R302" t="inlineStr"/>
      <c r="S302" t="inlineStr"/>
    </row>
    <row r="303">
      <c r="A303" t="inlineStr">
        <is>
          <t>Выборгский</t>
        </is>
      </c>
      <c r="B303" t="inlineStr">
        <is>
          <t>Михайловская дор, к1</t>
        </is>
      </c>
      <c r="C303" t="inlineStr">
        <is>
          <t>sale</t>
        </is>
      </c>
      <c r="D303" t="inlineStr">
        <is>
          <t>Да</t>
        </is>
      </c>
      <c r="E303" t="inlineStr"/>
      <c r="F303" t="inlineStr"/>
      <c r="G303" t="inlineStr">
        <is>
          <t>99.7</t>
        </is>
      </c>
      <c r="H303" t="inlineStr"/>
      <c r="I303" t="inlineStr"/>
      <c r="J303" t="inlineStr">
        <is>
          <t>21 289 999</t>
        </is>
      </c>
      <c r="K303" t="inlineStr"/>
      <c r="L303" t="inlineStr"/>
      <c r="M303" t="inlineStr">
        <is>
          <t>Нет у нас</t>
        </is>
      </c>
      <c r="N303" t="inlineStr"/>
      <c r="O303" t="inlineStr"/>
      <c r="P303" t="inlineStr"/>
      <c r="Q303">
        <f>HYPERLINK("https://knru.ru/catalog/pos-pargolovo-mikhaylovskaya-dor-k-1-485693083/","ссылка")</f>
        <v/>
      </c>
      <c r="R303" t="inlineStr"/>
      <c r="S303" t="inlineStr"/>
    </row>
    <row r="304">
      <c r="A304" t="inlineStr">
        <is>
          <t>Выборгский</t>
        </is>
      </c>
      <c r="B304" t="inlineStr">
        <is>
          <t>Михайловская дор, к1</t>
        </is>
      </c>
      <c r="C304" t="inlineStr">
        <is>
          <t>sale</t>
        </is>
      </c>
      <c r="D304" t="inlineStr">
        <is>
          <t>Да</t>
        </is>
      </c>
      <c r="E304" t="inlineStr"/>
      <c r="F304" t="inlineStr"/>
      <c r="G304" t="inlineStr">
        <is>
          <t>96</t>
        </is>
      </c>
      <c r="H304" t="inlineStr"/>
      <c r="I304" t="inlineStr"/>
      <c r="J304" t="inlineStr">
        <is>
          <t>20 299 999</t>
        </is>
      </c>
      <c r="K304" t="inlineStr"/>
      <c r="L304" t="inlineStr"/>
      <c r="M304" t="inlineStr">
        <is>
          <t>Нет у нас</t>
        </is>
      </c>
      <c r="N304" t="inlineStr"/>
      <c r="O304" t="inlineStr"/>
      <c r="P304" t="inlineStr"/>
      <c r="Q304">
        <f>HYPERLINK("https://knru.ru/catalog/pos-pargolovo-mikhaylovskaya-dor-k-1-863963818/","ссылка")</f>
        <v/>
      </c>
      <c r="R304" t="inlineStr"/>
      <c r="S304" t="inlineStr"/>
    </row>
    <row r="305">
      <c r="A305" t="inlineStr">
        <is>
          <t>Выборгский</t>
        </is>
      </c>
      <c r="B305" t="inlineStr">
        <is>
          <t>Михайловская дор, к1</t>
        </is>
      </c>
      <c r="C305" t="inlineStr">
        <is>
          <t>sale</t>
        </is>
      </c>
      <c r="D305" t="inlineStr">
        <is>
          <t>Да</t>
        </is>
      </c>
      <c r="E305" t="inlineStr"/>
      <c r="F305" t="inlineStr"/>
      <c r="G305" t="inlineStr">
        <is>
          <t>90.1</t>
        </is>
      </c>
      <c r="H305" t="inlineStr"/>
      <c r="I305" t="inlineStr"/>
      <c r="J305" t="inlineStr">
        <is>
          <t>18 089 999</t>
        </is>
      </c>
      <c r="K305" t="inlineStr"/>
      <c r="L305" t="inlineStr"/>
      <c r="M305" t="inlineStr">
        <is>
          <t>Нет у нас</t>
        </is>
      </c>
      <c r="N305" t="inlineStr"/>
      <c r="O305" t="inlineStr"/>
      <c r="P305" t="inlineStr"/>
      <c r="Q305">
        <f>HYPERLINK("https://knru.ru/catalog/pos-pargolovo-mikhaylovskaya-dor-k-1-1683887459/","ссылка")</f>
        <v/>
      </c>
      <c r="R305" t="inlineStr"/>
      <c r="S305" t="inlineStr"/>
    </row>
    <row r="306">
      <c r="A306" t="inlineStr">
        <is>
          <t>Выборгский</t>
        </is>
      </c>
      <c r="B306" t="inlineStr">
        <is>
          <t>Михайловская дор, к1</t>
        </is>
      </c>
      <c r="C306" t="inlineStr">
        <is>
          <t>sale</t>
        </is>
      </c>
      <c r="D306" t="inlineStr">
        <is>
          <t>Да</t>
        </is>
      </c>
      <c r="E306" t="inlineStr"/>
      <c r="F306" t="inlineStr"/>
      <c r="G306" t="inlineStr">
        <is>
          <t>65.6</t>
        </is>
      </c>
      <c r="H306" t="inlineStr"/>
      <c r="I306" t="inlineStr"/>
      <c r="J306" t="inlineStr">
        <is>
          <t>13 929 999</t>
        </is>
      </c>
      <c r="K306" t="inlineStr"/>
      <c r="L306" t="inlineStr"/>
      <c r="M306" t="inlineStr">
        <is>
          <t>Нет у нас</t>
        </is>
      </c>
      <c r="N306" t="inlineStr"/>
      <c r="O306" t="inlineStr"/>
      <c r="P306" t="inlineStr"/>
      <c r="Q306">
        <f>HYPERLINK("https://knru.ru/catalog/pos-pargolovo-mikhaylovskaya-dor-k-1-501821253/","ссылка")</f>
        <v/>
      </c>
      <c r="R306" t="inlineStr"/>
      <c r="S306" t="inlineStr"/>
    </row>
    <row r="307">
      <c r="A307" t="inlineStr">
        <is>
          <t>Выборгский</t>
        </is>
      </c>
      <c r="B307" t="inlineStr">
        <is>
          <t>Парголово п, Заречная ул, 40к1</t>
        </is>
      </c>
      <c r="C307" t="inlineStr">
        <is>
          <t>sale</t>
        </is>
      </c>
      <c r="D307" t="inlineStr"/>
      <c r="E307" t="inlineStr">
        <is>
          <t>Да</t>
        </is>
      </c>
      <c r="F307" t="inlineStr"/>
      <c r="G307" t="inlineStr"/>
      <c r="H307" t="inlineStr">
        <is>
          <t>79.1</t>
        </is>
      </c>
      <c r="I307" t="inlineStr"/>
      <c r="J307" t="inlineStr"/>
      <c r="K307" t="inlineStr">
        <is>
          <t>19 775 000</t>
        </is>
      </c>
      <c r="L307" t="inlineStr"/>
      <c r="M307" t="inlineStr"/>
      <c r="N307" t="inlineStr">
        <is>
          <t>Нет у нас</t>
        </is>
      </c>
      <c r="O307" t="inlineStr"/>
      <c r="P307" t="inlineStr"/>
      <c r="Q307" t="inlineStr"/>
      <c r="R307">
        <f>HYPERLINK("https://nordwestinvest.ru/real-estates/prodaza-pomeshheniia-s-arendatorom-studiia-tancev","ссылка")</f>
        <v/>
      </c>
      <c r="S307" t="inlineStr"/>
    </row>
    <row r="308">
      <c r="A308" t="inlineStr">
        <is>
          <t>Выборгский</t>
        </is>
      </c>
      <c r="B308" t="inlineStr">
        <is>
          <t>Парголово п, Федора Абрамова ул, 4</t>
        </is>
      </c>
      <c r="C308" t="inlineStr">
        <is>
          <t>sale</t>
        </is>
      </c>
      <c r="D308" t="inlineStr"/>
      <c r="E308" t="inlineStr">
        <is>
          <t>Да</t>
        </is>
      </c>
      <c r="F308" t="inlineStr"/>
      <c r="G308" t="inlineStr"/>
      <c r="H308" t="inlineStr">
        <is>
          <t>261.3</t>
        </is>
      </c>
      <c r="I308" t="inlineStr"/>
      <c r="J308" t="inlineStr"/>
      <c r="K308" t="inlineStr">
        <is>
          <t>109 600 000</t>
        </is>
      </c>
      <c r="L308" t="inlineStr"/>
      <c r="M308" t="inlineStr"/>
      <c r="N308" t="inlineStr">
        <is>
          <t>Совпало</t>
        </is>
      </c>
      <c r="O308" t="inlineStr"/>
      <c r="P308" t="inlineStr"/>
      <c r="Q308" t="inlineStr"/>
      <c r="R308">
        <f>HYPERLINK("https://nordwestinvest.ru/real-estates/prodaza-26130-m2-s-arendatorom-cvetomaniia","ссылка")</f>
        <v/>
      </c>
      <c r="S308" t="inlineStr"/>
    </row>
    <row r="309">
      <c r="A309" t="inlineStr">
        <is>
          <t>Выборгский</t>
        </is>
      </c>
      <c r="B309" t="inlineStr">
        <is>
          <t>Политехническая, 6</t>
        </is>
      </c>
      <c r="C309" t="inlineStr">
        <is>
          <t>sale</t>
        </is>
      </c>
      <c r="D309" t="inlineStr">
        <is>
          <t>Да</t>
        </is>
      </c>
      <c r="E309" t="inlineStr"/>
      <c r="F309" t="inlineStr"/>
      <c r="G309" t="inlineStr">
        <is>
          <t>101</t>
        </is>
      </c>
      <c r="H309" t="inlineStr"/>
      <c r="I309" t="inlineStr"/>
      <c r="J309" t="inlineStr">
        <is>
          <t>30 000 000</t>
        </is>
      </c>
      <c r="K309" t="inlineStr"/>
      <c r="L309" t="inlineStr"/>
      <c r="M309" t="inlineStr">
        <is>
          <t>У нас аренда, у конкурента продажа</t>
        </is>
      </c>
      <c r="N309" t="inlineStr"/>
      <c r="O309" t="inlineStr"/>
      <c r="P309" t="inlineStr"/>
      <c r="Q309">
        <f>HYPERLINK("https://knru.ru/catalog/politexnicheskaya-ul-d-6/","ссылка")</f>
        <v/>
      </c>
      <c r="R309" t="inlineStr"/>
      <c r="S309" t="inlineStr"/>
    </row>
    <row r="310">
      <c r="A310" t="inlineStr">
        <is>
          <t>Выборгский</t>
        </is>
      </c>
      <c r="B310" t="inlineStr">
        <is>
          <t>Полюстровский пр-кт, 87</t>
        </is>
      </c>
      <c r="C310" t="inlineStr">
        <is>
          <t>sale</t>
        </is>
      </c>
      <c r="D310" t="inlineStr">
        <is>
          <t>Да</t>
        </is>
      </c>
      <c r="E310" t="inlineStr"/>
      <c r="F310" t="inlineStr"/>
      <c r="G310" t="inlineStr">
        <is>
          <t>127.7</t>
        </is>
      </c>
      <c r="H310" t="inlineStr"/>
      <c r="I310" t="inlineStr"/>
      <c r="J310" t="inlineStr">
        <is>
          <t>51 100 000</t>
        </is>
      </c>
      <c r="K310" t="inlineStr"/>
      <c r="L310" t="inlineStr"/>
      <c r="M310" t="inlineStr">
        <is>
          <t>По адресу есть, но площадь другая</t>
        </is>
      </c>
      <c r="N310" t="inlineStr"/>
      <c r="O310" t="inlineStr"/>
      <c r="P310" t="inlineStr"/>
      <c r="Q310">
        <f>HYPERLINK("https://knru.ru/catalog/polyustrovskiy-pr-kt-87-1228210364/","ссылка")</f>
        <v/>
      </c>
      <c r="R310" t="inlineStr"/>
      <c r="S310" t="inlineStr"/>
    </row>
    <row r="311">
      <c r="A311" t="inlineStr">
        <is>
          <t>Выборгский</t>
        </is>
      </c>
      <c r="B311" t="inlineStr">
        <is>
          <t>Полюстровский пр-кт, 87</t>
        </is>
      </c>
      <c r="C311" t="inlineStr">
        <is>
          <t>sale</t>
        </is>
      </c>
      <c r="D311" t="inlineStr">
        <is>
          <t>Да</t>
        </is>
      </c>
      <c r="E311" t="inlineStr"/>
      <c r="F311" t="inlineStr"/>
      <c r="G311" t="inlineStr">
        <is>
          <t>90.5</t>
        </is>
      </c>
      <c r="H311" t="inlineStr"/>
      <c r="I311" t="inlineStr"/>
      <c r="J311" t="inlineStr">
        <is>
          <t>28 039 500</t>
        </is>
      </c>
      <c r="K311" t="inlineStr"/>
      <c r="L311" t="inlineStr"/>
      <c r="M311" t="inlineStr">
        <is>
          <t>По адресу есть, но площадь другая</t>
        </is>
      </c>
      <c r="N311" t="inlineStr"/>
      <c r="O311" t="inlineStr"/>
      <c r="P311" t="inlineStr"/>
      <c r="Q311">
        <f>HYPERLINK("https://knru.ru/catalog/polyustrovskiy-pr-kt-87/","ссылка")</f>
        <v/>
      </c>
      <c r="R311" t="inlineStr"/>
      <c r="S311" t="inlineStr"/>
    </row>
    <row r="312">
      <c r="A312" t="inlineStr">
        <is>
          <t>Выборгский</t>
        </is>
      </c>
      <c r="B312" t="inlineStr">
        <is>
          <t>Просвещения пр-кт, 46к1</t>
        </is>
      </c>
      <c r="C312" t="inlineStr">
        <is>
          <t>sale</t>
        </is>
      </c>
      <c r="D312" t="inlineStr">
        <is>
          <t>Да</t>
        </is>
      </c>
      <c r="E312" t="inlineStr"/>
      <c r="F312" t="inlineStr"/>
      <c r="G312" t="inlineStr">
        <is>
          <t>1750</t>
        </is>
      </c>
      <c r="H312" t="inlineStr"/>
      <c r="I312" t="inlineStr"/>
      <c r="J312" t="inlineStr">
        <is>
          <t>375 000 000</t>
        </is>
      </c>
      <c r="K312" t="inlineStr"/>
      <c r="L312" t="inlineStr"/>
      <c r="M312" t="inlineStr">
        <is>
          <t>По адресу есть, но площадь другая</t>
        </is>
      </c>
      <c r="N312" t="inlineStr"/>
      <c r="O312" t="inlineStr"/>
      <c r="P312" t="inlineStr"/>
      <c r="Q312">
        <f>HYPERLINK("https://knru.ru/catalog/pr-prosveshcheniya-d-46-k-1/","ссылка")</f>
        <v/>
      </c>
      <c r="R312" t="inlineStr"/>
      <c r="S312" t="inlineStr"/>
    </row>
    <row r="313">
      <c r="A313" t="inlineStr">
        <is>
          <t>Выборгский</t>
        </is>
      </c>
      <c r="B313" t="inlineStr">
        <is>
          <t>Раевского пр-кт, 16 А</t>
        </is>
      </c>
      <c r="C313" t="inlineStr">
        <is>
          <t>sale</t>
        </is>
      </c>
      <c r="D313" t="inlineStr">
        <is>
          <t>Да</t>
        </is>
      </c>
      <c r="E313" t="inlineStr"/>
      <c r="F313" t="inlineStr"/>
      <c r="G313" t="inlineStr">
        <is>
          <t>2850</t>
        </is>
      </c>
      <c r="H313" t="inlineStr"/>
      <c r="I313" t="inlineStr"/>
      <c r="J313" t="inlineStr">
        <is>
          <t>450 000 000</t>
        </is>
      </c>
      <c r="K313" t="inlineStr"/>
      <c r="L313" t="inlineStr"/>
      <c r="M313" t="inlineStr">
        <is>
          <t>По адресу есть, но площадь другая</t>
        </is>
      </c>
      <c r="N313" t="inlineStr"/>
      <c r="O313" t="inlineStr"/>
      <c r="P313" t="inlineStr"/>
      <c r="Q313">
        <f>HYPERLINK("https://knru.ru/catalog/raevskogo-pr-kt-16-a/","ссылка")</f>
        <v/>
      </c>
      <c r="R313" t="inlineStr"/>
      <c r="S313" t="inlineStr"/>
    </row>
    <row r="314">
      <c r="A314" t="inlineStr">
        <is>
          <t>Выборгский</t>
        </is>
      </c>
      <c r="B314" t="inlineStr">
        <is>
          <t>Руднева ул, 22к1</t>
        </is>
      </c>
      <c r="C314" t="inlineStr">
        <is>
          <t>sale</t>
        </is>
      </c>
      <c r="D314" t="inlineStr">
        <is>
          <t>Да</t>
        </is>
      </c>
      <c r="E314" t="inlineStr"/>
      <c r="F314" t="inlineStr"/>
      <c r="G314" t="inlineStr">
        <is>
          <t>129.8</t>
        </is>
      </c>
      <c r="H314" t="inlineStr"/>
      <c r="I314" t="inlineStr"/>
      <c r="J314" t="inlineStr">
        <is>
          <t>22 900 000</t>
        </is>
      </c>
      <c r="K314" t="inlineStr"/>
      <c r="L314" t="inlineStr"/>
      <c r="M314" t="inlineStr">
        <is>
          <t>Нет у нас</t>
        </is>
      </c>
      <c r="N314" t="inlineStr"/>
      <c r="O314" t="inlineStr"/>
      <c r="P314" t="inlineStr"/>
      <c r="Q314">
        <f>HYPERLINK("https://knru.ru/catalog/rudneva-ul-22k1/","ссылка")</f>
        <v/>
      </c>
      <c r="R314" t="inlineStr"/>
      <c r="S314" t="inlineStr"/>
    </row>
    <row r="315">
      <c r="A315" t="inlineStr">
        <is>
          <t>Выборгский</t>
        </is>
      </c>
      <c r="B315" t="inlineStr">
        <is>
          <t>Руднева ул., д. 16/1</t>
        </is>
      </c>
      <c r="C315" t="inlineStr">
        <is>
          <t>sale</t>
        </is>
      </c>
      <c r="D315" t="inlineStr">
        <is>
          <t>Да</t>
        </is>
      </c>
      <c r="E315" t="inlineStr"/>
      <c r="F315" t="inlineStr"/>
      <c r="G315" t="inlineStr">
        <is>
          <t>369.3</t>
        </is>
      </c>
      <c r="H315" t="inlineStr"/>
      <c r="I315" t="inlineStr"/>
      <c r="J315" t="inlineStr">
        <is>
          <t>60 588 687</t>
        </is>
      </c>
      <c r="K315" t="inlineStr"/>
      <c r="L315" t="inlineStr"/>
      <c r="M315" t="inlineStr">
        <is>
          <t>По адресу есть, но площадь другая</t>
        </is>
      </c>
      <c r="N315" t="inlineStr"/>
      <c r="O315" t="inlineStr"/>
      <c r="P315" t="inlineStr"/>
      <c r="Q315">
        <f>HYPERLINK("https://knru.ru/catalog/rudneva-ul-d-16-1-1221429310/","ссылка")</f>
        <v/>
      </c>
      <c r="R315" t="inlineStr"/>
      <c r="S315" t="inlineStr"/>
    </row>
    <row r="316">
      <c r="A316" t="inlineStr">
        <is>
          <t>Выборгский</t>
        </is>
      </c>
      <c r="B316" t="inlineStr">
        <is>
          <t>Руднева ул., д. 16/1</t>
        </is>
      </c>
      <c r="C316" t="inlineStr">
        <is>
          <t>sale</t>
        </is>
      </c>
      <c r="D316" t="inlineStr">
        <is>
          <t>Да</t>
        </is>
      </c>
      <c r="E316" t="inlineStr"/>
      <c r="F316" t="inlineStr"/>
      <c r="G316" t="inlineStr">
        <is>
          <t>232.2</t>
        </is>
      </c>
      <c r="H316" t="inlineStr"/>
      <c r="I316" t="inlineStr"/>
      <c r="J316" t="inlineStr">
        <is>
          <t>40 463 163</t>
        </is>
      </c>
      <c r="K316" t="inlineStr"/>
      <c r="L316" t="inlineStr"/>
      <c r="M316" t="inlineStr">
        <is>
          <t>По адресу есть, но площадь другая</t>
        </is>
      </c>
      <c r="N316" t="inlineStr"/>
      <c r="O316" t="inlineStr"/>
      <c r="P316" t="inlineStr"/>
      <c r="Q316">
        <f>HYPERLINK("https://knru.ru/catalog/rudneva-ul-d-16-1-230676292/","ссылка")</f>
        <v/>
      </c>
      <c r="R316" t="inlineStr"/>
      <c r="S316" t="inlineStr"/>
    </row>
    <row r="317">
      <c r="A317" t="inlineStr">
        <is>
          <t>Выборгский</t>
        </is>
      </c>
      <c r="B317" t="inlineStr">
        <is>
          <t>Руднева ул., д. 16/1</t>
        </is>
      </c>
      <c r="C317" t="inlineStr">
        <is>
          <t>sale</t>
        </is>
      </c>
      <c r="D317" t="inlineStr">
        <is>
          <t>Да</t>
        </is>
      </c>
      <c r="E317" t="inlineStr"/>
      <c r="F317" t="inlineStr"/>
      <c r="G317" t="inlineStr">
        <is>
          <t>147.3</t>
        </is>
      </c>
      <c r="H317" t="inlineStr"/>
      <c r="I317" t="inlineStr"/>
      <c r="J317" t="inlineStr">
        <is>
          <t>30 348 266</t>
        </is>
      </c>
      <c r="K317" t="inlineStr"/>
      <c r="L317" t="inlineStr"/>
      <c r="M317" t="inlineStr">
        <is>
          <t>По адресу есть, но площадь другая</t>
        </is>
      </c>
      <c r="N317" t="inlineStr"/>
      <c r="O317" t="inlineStr"/>
      <c r="P317" t="inlineStr"/>
      <c r="Q317">
        <f>HYPERLINK("https://knru.ru/catalog/rudneva-ul-d-16-1/","ссылка")</f>
        <v/>
      </c>
      <c r="R317" t="inlineStr"/>
      <c r="S317" t="inlineStr"/>
    </row>
    <row r="318">
      <c r="A318" t="inlineStr">
        <is>
          <t>Выборгский</t>
        </is>
      </c>
      <c r="B318" t="inlineStr">
        <is>
          <t>Руднева ул., д. 18/1</t>
        </is>
      </c>
      <c r="C318" t="inlineStr">
        <is>
          <t>sale</t>
        </is>
      </c>
      <c r="D318" t="inlineStr">
        <is>
          <t>Да</t>
        </is>
      </c>
      <c r="E318" t="inlineStr"/>
      <c r="F318" t="inlineStr"/>
      <c r="G318" t="inlineStr">
        <is>
          <t>272.3</t>
        </is>
      </c>
      <c r="H318" t="inlineStr"/>
      <c r="I318" t="inlineStr"/>
      <c r="J318" t="inlineStr">
        <is>
          <t>48 788 993</t>
        </is>
      </c>
      <c r="K318" t="inlineStr"/>
      <c r="L318" t="inlineStr"/>
      <c r="M318" t="inlineStr">
        <is>
          <t>Нет у нас</t>
        </is>
      </c>
      <c r="N318" t="inlineStr"/>
      <c r="O318" t="inlineStr"/>
      <c r="P318" t="inlineStr"/>
      <c r="Q318">
        <f>HYPERLINK("https://knru.ru/catalog/rudneva-ul-d-18-1-1645498248/","ссылка")</f>
        <v/>
      </c>
      <c r="R318" t="inlineStr"/>
      <c r="S318" t="inlineStr"/>
    </row>
    <row r="319">
      <c r="A319" t="inlineStr">
        <is>
          <t>Выборгский</t>
        </is>
      </c>
      <c r="B319" t="inlineStr">
        <is>
          <t>Руднева ул., д. 18/1</t>
        </is>
      </c>
      <c r="C319" t="inlineStr">
        <is>
          <t>sale</t>
        </is>
      </c>
      <c r="D319" t="inlineStr">
        <is>
          <t>Да</t>
        </is>
      </c>
      <c r="E319" t="inlineStr"/>
      <c r="F319" t="inlineStr"/>
      <c r="G319" t="inlineStr">
        <is>
          <t>381.2</t>
        </is>
      </c>
      <c r="H319" t="inlineStr"/>
      <c r="I319" t="inlineStr"/>
      <c r="J319" t="inlineStr">
        <is>
          <t>59 958 810</t>
        </is>
      </c>
      <c r="K319" t="inlineStr"/>
      <c r="L319" t="inlineStr"/>
      <c r="M319" t="inlineStr">
        <is>
          <t>Нет у нас</t>
        </is>
      </c>
      <c r="N319" t="inlineStr"/>
      <c r="O319" t="inlineStr"/>
      <c r="P319" t="inlineStr"/>
      <c r="Q319">
        <f>HYPERLINK("https://knru.ru/catalog/rudneva-ul-d-18-1-2127675574/","ссылка")</f>
        <v/>
      </c>
      <c r="R319" t="inlineStr"/>
      <c r="S319" t="inlineStr"/>
    </row>
    <row r="320">
      <c r="A320" t="inlineStr">
        <is>
          <t>Выборгский</t>
        </is>
      </c>
      <c r="B320" t="inlineStr">
        <is>
          <t>Руднева ул., д. 18/1</t>
        </is>
      </c>
      <c r="C320" t="inlineStr">
        <is>
          <t>sale</t>
        </is>
      </c>
      <c r="D320" t="inlineStr">
        <is>
          <t>Да</t>
        </is>
      </c>
      <c r="E320" t="inlineStr"/>
      <c r="F320" t="inlineStr"/>
      <c r="G320" t="inlineStr">
        <is>
          <t>227.8</t>
        </is>
      </c>
      <c r="H320" t="inlineStr"/>
      <c r="I320" t="inlineStr"/>
      <c r="J320" t="inlineStr">
        <is>
          <t>38 184 328</t>
        </is>
      </c>
      <c r="K320" t="inlineStr"/>
      <c r="L320" t="inlineStr"/>
      <c r="M320" t="inlineStr">
        <is>
          <t>Нет у нас</t>
        </is>
      </c>
      <c r="N320" t="inlineStr"/>
      <c r="O320" t="inlineStr"/>
      <c r="P320" t="inlineStr"/>
      <c r="Q320">
        <f>HYPERLINK("https://knru.ru/catalog/rudneva-ul-d-18-1/","ссылка")</f>
        <v/>
      </c>
      <c r="R320" t="inlineStr"/>
      <c r="S320" t="inlineStr"/>
    </row>
    <row r="321">
      <c r="A321" t="inlineStr">
        <is>
          <t>Выборгский</t>
        </is>
      </c>
      <c r="B321" t="inlineStr">
        <is>
          <t>Светлановский пр-кт, 14к1стр1</t>
        </is>
      </c>
      <c r="C321" t="inlineStr">
        <is>
          <t>sale</t>
        </is>
      </c>
      <c r="D321" t="inlineStr">
        <is>
          <t>Да</t>
        </is>
      </c>
      <c r="E321" t="inlineStr"/>
      <c r="F321" t="inlineStr"/>
      <c r="G321" t="inlineStr">
        <is>
          <t>282</t>
        </is>
      </c>
      <c r="H321" t="inlineStr"/>
      <c r="I321" t="inlineStr"/>
      <c r="J321" t="inlineStr">
        <is>
          <t>58 421 610</t>
        </is>
      </c>
      <c r="K321" t="inlineStr"/>
      <c r="L321" t="inlineStr"/>
      <c r="M321" t="inlineStr">
        <is>
          <t>Нет у нас</t>
        </is>
      </c>
      <c r="N321" t="inlineStr"/>
      <c r="O321" t="inlineStr"/>
      <c r="P321" t="inlineStr"/>
      <c r="Q321">
        <f>HYPERLINK("https://knru.ru/catalog/svetlanovskij-pr-d-14-k-1/","ссылка")</f>
        <v/>
      </c>
      <c r="R321" t="inlineStr"/>
      <c r="S321" t="inlineStr"/>
    </row>
    <row r="322">
      <c r="A322" t="inlineStr">
        <is>
          <t>Выборгский</t>
        </is>
      </c>
      <c r="B322" t="inlineStr">
        <is>
          <t>Светлановский пр-кт, 45</t>
        </is>
      </c>
      <c r="C322" t="inlineStr">
        <is>
          <t>sale</t>
        </is>
      </c>
      <c r="D322" t="inlineStr">
        <is>
          <t>Да</t>
        </is>
      </c>
      <c r="E322" t="inlineStr"/>
      <c r="F322" t="inlineStr"/>
      <c r="G322" t="inlineStr">
        <is>
          <t>39.8</t>
        </is>
      </c>
      <c r="H322" t="inlineStr"/>
      <c r="I322" t="inlineStr"/>
      <c r="J322" t="inlineStr">
        <is>
          <t>13 930 000</t>
        </is>
      </c>
      <c r="K322" t="inlineStr"/>
      <c r="L322" t="inlineStr"/>
      <c r="M322" t="inlineStr">
        <is>
          <t>Нет у нас</t>
        </is>
      </c>
      <c r="N322" t="inlineStr"/>
      <c r="O322" t="inlineStr"/>
      <c r="P322" t="inlineStr"/>
      <c r="Q322">
        <f>HYPERLINK("https://knru.ru/catalog/svetlanovskiy-pr-d-45/","ссылка")</f>
        <v/>
      </c>
      <c r="R322" t="inlineStr"/>
      <c r="S322" t="inlineStr"/>
    </row>
    <row r="323">
      <c r="A323" t="inlineStr">
        <is>
          <t>Выборгский</t>
        </is>
      </c>
      <c r="B323" t="inlineStr">
        <is>
          <t>Сердобольская ул, 1</t>
        </is>
      </c>
      <c r="C323" t="inlineStr">
        <is>
          <t>sale</t>
        </is>
      </c>
      <c r="D323" t="inlineStr">
        <is>
          <t>Да</t>
        </is>
      </c>
      <c r="E323" t="inlineStr"/>
      <c r="F323" t="inlineStr"/>
      <c r="G323" t="inlineStr">
        <is>
          <t>408</t>
        </is>
      </c>
      <c r="H323" t="inlineStr"/>
      <c r="I323" t="inlineStr"/>
      <c r="J323" t="inlineStr">
        <is>
          <t>75 000 000</t>
        </is>
      </c>
      <c r="K323" t="inlineStr"/>
      <c r="L323" t="inlineStr"/>
      <c r="M323" t="inlineStr">
        <is>
          <t>Нет у нас</t>
        </is>
      </c>
      <c r="N323" t="inlineStr"/>
      <c r="O323" t="inlineStr"/>
      <c r="P323" t="inlineStr"/>
      <c r="Q323">
        <f>HYPERLINK("https://knru.ru/catalog/serdobolskaya-ul-1/","ссылка")</f>
        <v/>
      </c>
      <c r="R323" t="inlineStr"/>
      <c r="S323" t="inlineStr"/>
    </row>
    <row r="324">
      <c r="A324" t="inlineStr">
        <is>
          <t>Выборгский</t>
        </is>
      </c>
      <c r="B324" t="inlineStr">
        <is>
          <t>Смолячкова ул, 12к2</t>
        </is>
      </c>
      <c r="C324" t="inlineStr">
        <is>
          <t>sale</t>
        </is>
      </c>
      <c r="D324" t="inlineStr">
        <is>
          <t>Да</t>
        </is>
      </c>
      <c r="E324" t="inlineStr"/>
      <c r="F324" t="inlineStr"/>
      <c r="G324" t="inlineStr">
        <is>
          <t>145</t>
        </is>
      </c>
      <c r="H324" t="inlineStr"/>
      <c r="I324" t="inlineStr"/>
      <c r="J324" t="inlineStr">
        <is>
          <t>29 000 000</t>
        </is>
      </c>
      <c r="K324" t="inlineStr"/>
      <c r="L324" t="inlineStr"/>
      <c r="M324" t="inlineStr">
        <is>
          <t>Нет у нас</t>
        </is>
      </c>
      <c r="N324" t="inlineStr"/>
      <c r="O324" t="inlineStr"/>
      <c r="P324" t="inlineStr"/>
      <c r="Q324">
        <f>HYPERLINK("https://knru.ru/catalog/ul-smolyachkova-d-12-korp-2/","ссылка")</f>
        <v/>
      </c>
      <c r="R324" t="inlineStr"/>
      <c r="S324" t="inlineStr"/>
    </row>
    <row r="325">
      <c r="A325" t="inlineStr">
        <is>
          <t>Выборгский</t>
        </is>
      </c>
      <c r="B325" t="inlineStr">
        <is>
          <t>Торфяное тер., Ольгинская дор, 3/20</t>
        </is>
      </c>
      <c r="C325" t="inlineStr">
        <is>
          <t>sale</t>
        </is>
      </c>
      <c r="D325" t="inlineStr">
        <is>
          <t>Да</t>
        </is>
      </c>
      <c r="E325" t="inlineStr"/>
      <c r="F325" t="inlineStr"/>
      <c r="G325" t="inlineStr">
        <is>
          <t>547</t>
        </is>
      </c>
      <c r="H325" t="inlineStr"/>
      <c r="I325" t="inlineStr"/>
      <c r="J325" t="inlineStr">
        <is>
          <t>79 900 000</t>
        </is>
      </c>
      <c r="K325" t="inlineStr"/>
      <c r="L325" t="inlineStr"/>
      <c r="M325" t="inlineStr">
        <is>
          <t>По адресу есть, но площадь другая</t>
        </is>
      </c>
      <c r="N325" t="inlineStr"/>
      <c r="O325" t="inlineStr"/>
      <c r="P325" t="inlineStr"/>
      <c r="Q325">
        <f>HYPERLINK("https://knru.ru/catalog/pargolovo-olginskaya-doroga-d-3-20-1866587549/","ссылка")</f>
        <v/>
      </c>
      <c r="R325" t="inlineStr"/>
      <c r="S325" t="inlineStr"/>
    </row>
    <row r="326">
      <c r="A326" t="inlineStr">
        <is>
          <t>Выборгский</t>
        </is>
      </c>
      <c r="B326" t="inlineStr">
        <is>
          <t>Фёдора Абрамова, 18к1</t>
        </is>
      </c>
      <c r="C326" t="inlineStr">
        <is>
          <t>sale</t>
        </is>
      </c>
      <c r="D326" t="inlineStr">
        <is>
          <t>Да</t>
        </is>
      </c>
      <c r="E326" t="inlineStr"/>
      <c r="F326" t="inlineStr"/>
      <c r="G326" t="inlineStr">
        <is>
          <t>20</t>
        </is>
      </c>
      <c r="H326" t="inlineStr"/>
      <c r="I326" t="inlineStr"/>
      <c r="J326" t="inlineStr">
        <is>
          <t>10 450 000</t>
        </is>
      </c>
      <c r="K326" t="inlineStr"/>
      <c r="L326" t="inlineStr"/>
      <c r="M326" t="inlineStr">
        <is>
          <t>По адресу есть, но площадь другая</t>
        </is>
      </c>
      <c r="N326" t="inlineStr"/>
      <c r="O326" t="inlineStr"/>
      <c r="P326" t="inlineStr"/>
      <c r="Q326">
        <f>HYPERLINK("https://knru.ru/catalog/ul-fedora-abramova-d-18-k-1/","ссылка")</f>
        <v/>
      </c>
      <c r="R326" t="inlineStr"/>
      <c r="S326" t="inlineStr"/>
    </row>
    <row r="327">
      <c r="A327" t="inlineStr">
        <is>
          <t>Выборгский</t>
        </is>
      </c>
      <c r="B327" t="inlineStr">
        <is>
          <t>Фёдора Котанова ул, 5к1стр1</t>
        </is>
      </c>
      <c r="C327" t="inlineStr">
        <is>
          <t>sale</t>
        </is>
      </c>
      <c r="D327" t="inlineStr"/>
      <c r="E327" t="inlineStr">
        <is>
          <t>Да</t>
        </is>
      </c>
      <c r="F327" t="inlineStr"/>
      <c r="G327" t="inlineStr"/>
      <c r="H327" t="inlineStr">
        <is>
          <t>204.8</t>
        </is>
      </c>
      <c r="I327" t="inlineStr"/>
      <c r="J327" t="inlineStr"/>
      <c r="K327" t="inlineStr">
        <is>
          <t>92 160 000</t>
        </is>
      </c>
      <c r="L327" t="inlineStr"/>
      <c r="M327" t="inlineStr"/>
      <c r="N327" t="inlineStr">
        <is>
          <t>Нет у нас</t>
        </is>
      </c>
      <c r="O327" t="inlineStr"/>
      <c r="P327" t="inlineStr"/>
      <c r="Q327" t="inlineStr"/>
      <c r="R327">
        <f>HYPERLINK("https://nordwestinvest.ru/real-estates/prodaza-pomeshheniia-s-nds-2048m2-1","ссылка")</f>
        <v/>
      </c>
      <c r="S327" t="inlineStr"/>
    </row>
    <row r="328">
      <c r="A328" t="inlineStr">
        <is>
          <t>Выборгский</t>
        </is>
      </c>
      <c r="B328" t="inlineStr">
        <is>
          <t>Фёдора Котанова ул, 5к1стр1</t>
        </is>
      </c>
      <c r="C328" t="inlineStr">
        <is>
          <t>sale</t>
        </is>
      </c>
      <c r="D328" t="inlineStr"/>
      <c r="E328" t="inlineStr">
        <is>
          <t>Да</t>
        </is>
      </c>
      <c r="F328" t="inlineStr"/>
      <c r="G328" t="inlineStr"/>
      <c r="H328" t="inlineStr">
        <is>
          <t>91.5</t>
        </is>
      </c>
      <c r="I328" t="inlineStr"/>
      <c r="J328" t="inlineStr"/>
      <c r="K328" t="inlineStr">
        <is>
          <t>43 000 000</t>
        </is>
      </c>
      <c r="L328" t="inlineStr"/>
      <c r="M328" t="inlineStr"/>
      <c r="N328" t="inlineStr">
        <is>
          <t>Нет у нас</t>
        </is>
      </c>
      <c r="O328" t="inlineStr"/>
      <c r="P328" t="inlineStr"/>
      <c r="Q328" t="inlineStr"/>
      <c r="R328">
        <f>HYPERLINK("https://nordwestinvest.ru/real-estates/prodaza-s-nds-s-arendatorom-vb-915-m2","ссылка")</f>
        <v/>
      </c>
      <c r="S328" t="inlineStr"/>
    </row>
    <row r="329">
      <c r="A329" t="inlineStr">
        <is>
          <t>Выборгский</t>
        </is>
      </c>
      <c r="B329" t="inlineStr">
        <is>
          <t>Фёдора Котанова ул, 5к1стр1</t>
        </is>
      </c>
      <c r="C329" t="inlineStr">
        <is>
          <t>sale</t>
        </is>
      </c>
      <c r="D329" t="inlineStr"/>
      <c r="E329" t="inlineStr">
        <is>
          <t>Да</t>
        </is>
      </c>
      <c r="F329" t="inlineStr"/>
      <c r="G329" t="inlineStr"/>
      <c r="H329" t="inlineStr">
        <is>
          <t>108.7</t>
        </is>
      </c>
      <c r="I329" t="inlineStr"/>
      <c r="J329" t="inlineStr"/>
      <c r="K329" t="inlineStr">
        <is>
          <t>53 000 000</t>
        </is>
      </c>
      <c r="L329" t="inlineStr"/>
      <c r="M329" t="inlineStr"/>
      <c r="N329" t="inlineStr">
        <is>
          <t>Нет у нас</t>
        </is>
      </c>
      <c r="O329" t="inlineStr"/>
      <c r="P329" t="inlineStr"/>
      <c r="Q329" t="inlineStr"/>
      <c r="R329">
        <f>HYPERLINK("https://nordwestinvest.ru/real-estates/prodaza-s-nds-s-arendatorom-vkusvill-1087m2","ссылка")</f>
        <v/>
      </c>
      <c r="S329" t="inlineStr"/>
    </row>
    <row r="330">
      <c r="A330" t="inlineStr">
        <is>
          <t>Выборгский</t>
        </is>
      </c>
      <c r="B330" t="inlineStr">
        <is>
          <t>Шостаковича ул, 3</t>
        </is>
      </c>
      <c r="C330" t="inlineStr">
        <is>
          <t>sale</t>
        </is>
      </c>
      <c r="D330" t="inlineStr">
        <is>
          <t>Да</t>
        </is>
      </c>
      <c r="E330" t="inlineStr"/>
      <c r="F330" t="inlineStr"/>
      <c r="G330" t="inlineStr">
        <is>
          <t>94</t>
        </is>
      </c>
      <c r="H330" t="inlineStr"/>
      <c r="I330" t="inlineStr"/>
      <c r="J330" t="inlineStr">
        <is>
          <t>29 000 000</t>
        </is>
      </c>
      <c r="K330" t="inlineStr"/>
      <c r="L330" t="inlineStr"/>
      <c r="M330" t="inlineStr">
        <is>
          <t>Совпало</t>
        </is>
      </c>
      <c r="N330" t="inlineStr"/>
      <c r="O330" t="inlineStr"/>
      <c r="P330" t="inlineStr"/>
      <c r="Q330">
        <f>HYPERLINK("https://knru.ru/catalog/ul-shostakovicha-d-3-korp-1/","ссылка")</f>
        <v/>
      </c>
      <c r="R330" t="inlineStr"/>
      <c r="S330" t="inlineStr"/>
    </row>
    <row r="331">
      <c r="A331" t="inlineStr">
        <is>
          <t>Выборгский</t>
        </is>
      </c>
      <c r="B331" t="inlineStr">
        <is>
          <t>Шостаковича ул, 3к1</t>
        </is>
      </c>
      <c r="C331" t="inlineStr">
        <is>
          <t>sale</t>
        </is>
      </c>
      <c r="D331" t="inlineStr"/>
      <c r="E331" t="inlineStr">
        <is>
          <t>Да</t>
        </is>
      </c>
      <c r="F331" t="inlineStr"/>
      <c r="G331" t="inlineStr"/>
      <c r="H331" t="inlineStr">
        <is>
          <t>94</t>
        </is>
      </c>
      <c r="I331" t="inlineStr"/>
      <c r="J331" t="inlineStr"/>
      <c r="K331" t="inlineStr">
        <is>
          <t>27 000 000</t>
        </is>
      </c>
      <c r="L331" t="inlineStr"/>
      <c r="M331" t="inlineStr"/>
      <c r="N331" t="inlineStr">
        <is>
          <t>Совпало</t>
        </is>
      </c>
      <c r="O331" t="inlineStr"/>
      <c r="P331" t="inlineStr"/>
      <c r="Q331" t="inlineStr"/>
      <c r="R331">
        <f>HYPERLINK("https://nordwestinvest.ru/real-estates/prodaza-pomeshheniia-s-parikmaxerskoi-ozon-94m2","ссылка")</f>
        <v/>
      </c>
      <c r="S331" t="inlineStr"/>
    </row>
    <row r="332">
      <c r="A332" t="inlineStr">
        <is>
          <t>Выборгский</t>
        </is>
      </c>
      <c r="B332" t="inlineStr">
        <is>
          <t>Энгельса пр-кт</t>
        </is>
      </c>
      <c r="C332" t="inlineStr">
        <is>
          <t>sale</t>
        </is>
      </c>
      <c r="D332" t="inlineStr">
        <is>
          <t>Да</t>
        </is>
      </c>
      <c r="E332" t="inlineStr"/>
      <c r="F332" t="inlineStr"/>
      <c r="G332" t="inlineStr">
        <is>
          <t>15652</t>
        </is>
      </c>
      <c r="H332" t="inlineStr"/>
      <c r="I332" t="inlineStr"/>
      <c r="J332" t="inlineStr">
        <is>
          <t>140 000 000</t>
        </is>
      </c>
      <c r="K332" t="inlineStr"/>
      <c r="L332" t="inlineStr"/>
      <c r="M332" t="inlineStr">
        <is>
          <t>Нет у нас</t>
        </is>
      </c>
      <c r="N332" t="inlineStr"/>
      <c r="O332" t="inlineStr"/>
      <c r="P332" t="inlineStr"/>
      <c r="Q332">
        <f>HYPERLINK("https://knru.ru/catalog/engelsa-pr-kt/","ссылка")</f>
        <v/>
      </c>
      <c r="R332" t="inlineStr"/>
      <c r="S332" t="inlineStr"/>
    </row>
    <row r="333">
      <c r="A333" t="inlineStr">
        <is>
          <t>Выборгский</t>
        </is>
      </c>
      <c r="B333" t="inlineStr">
        <is>
          <t>Энгельса пр-кт, 115к1</t>
        </is>
      </c>
      <c r="C333" t="inlineStr">
        <is>
          <t>sale</t>
        </is>
      </c>
      <c r="D333" t="inlineStr">
        <is>
          <t>Да</t>
        </is>
      </c>
      <c r="E333" t="inlineStr"/>
      <c r="F333" t="inlineStr"/>
      <c r="G333" t="inlineStr">
        <is>
          <t>33</t>
        </is>
      </c>
      <c r="H333" t="inlineStr"/>
      <c r="I333" t="inlineStr"/>
      <c r="J333" t="inlineStr">
        <is>
          <t>16 300 000</t>
        </is>
      </c>
      <c r="K333" t="inlineStr"/>
      <c r="L333" t="inlineStr"/>
      <c r="M333" t="inlineStr">
        <is>
          <t>Совпало</t>
        </is>
      </c>
      <c r="N333" t="inlineStr"/>
      <c r="O333" t="inlineStr"/>
      <c r="P333" t="inlineStr"/>
      <c r="Q333">
        <f>HYPERLINK("https://knru.ru/catalog/pr-engelsa-d-115-k-1/","ссылка")</f>
        <v/>
      </c>
      <c r="R333" t="inlineStr"/>
      <c r="S333" t="inlineStr"/>
    </row>
    <row r="334">
      <c r="A334" t="inlineStr">
        <is>
          <t>Выборгский</t>
        </is>
      </c>
      <c r="B334" t="inlineStr">
        <is>
          <t>Энгельса пр-кт, 124к1 А</t>
        </is>
      </c>
      <c r="C334" t="inlineStr">
        <is>
          <t>sale</t>
        </is>
      </c>
      <c r="D334" t="inlineStr">
        <is>
          <t>Да</t>
        </is>
      </c>
      <c r="E334" t="inlineStr"/>
      <c r="F334" t="inlineStr"/>
      <c r="G334" t="inlineStr">
        <is>
          <t>498</t>
        </is>
      </c>
      <c r="H334" t="inlineStr"/>
      <c r="I334" t="inlineStr"/>
      <c r="J334" t="inlineStr">
        <is>
          <t>75 000 000</t>
        </is>
      </c>
      <c r="K334" t="inlineStr"/>
      <c r="L334" t="inlineStr"/>
      <c r="M334" t="inlineStr">
        <is>
          <t>Нет у нас</t>
        </is>
      </c>
      <c r="N334" t="inlineStr"/>
      <c r="O334" t="inlineStr"/>
      <c r="P334" t="inlineStr"/>
      <c r="Q334">
        <f>HYPERLINK("https://knru.ru/catalog/pr-engelsa-d-124-k-1-1540263492/","ссылка")</f>
        <v/>
      </c>
      <c r="R334" t="inlineStr"/>
      <c r="S334" t="inlineStr"/>
    </row>
    <row r="335">
      <c r="A335" t="inlineStr">
        <is>
          <t>Выборгский</t>
        </is>
      </c>
      <c r="B335" t="inlineStr">
        <is>
          <t>Энгельса пр-кт, 124к1 А</t>
        </is>
      </c>
      <c r="C335" t="inlineStr">
        <is>
          <t>sale</t>
        </is>
      </c>
      <c r="D335" t="inlineStr">
        <is>
          <t>Да</t>
        </is>
      </c>
      <c r="E335" t="inlineStr"/>
      <c r="F335" t="inlineStr"/>
      <c r="G335" t="inlineStr">
        <is>
          <t>878</t>
        </is>
      </c>
      <c r="H335" t="inlineStr"/>
      <c r="I335" t="inlineStr"/>
      <c r="J335" t="inlineStr">
        <is>
          <t>146 650 000</t>
        </is>
      </c>
      <c r="K335" t="inlineStr"/>
      <c r="L335" t="inlineStr"/>
      <c r="M335" t="inlineStr">
        <is>
          <t>Нет у нас</t>
        </is>
      </c>
      <c r="N335" t="inlineStr"/>
      <c r="O335" t="inlineStr"/>
      <c r="P335" t="inlineStr"/>
      <c r="Q335">
        <f>HYPERLINK("https://knru.ru/catalog/pr-engelsa-d-124-k-1-1145420814/","ссылка")</f>
        <v/>
      </c>
      <c r="R335" t="inlineStr"/>
      <c r="S335" t="inlineStr"/>
    </row>
    <row r="336">
      <c r="A336" t="inlineStr">
        <is>
          <t>Выборгский</t>
        </is>
      </c>
      <c r="B336" t="inlineStr">
        <is>
          <t>Энгельса пр-кт, 124к1 А</t>
        </is>
      </c>
      <c r="C336" t="inlineStr">
        <is>
          <t>sale</t>
        </is>
      </c>
      <c r="D336" t="inlineStr">
        <is>
          <t>Да</t>
        </is>
      </c>
      <c r="E336" t="inlineStr"/>
      <c r="F336" t="inlineStr"/>
      <c r="G336" t="inlineStr">
        <is>
          <t>871</t>
        </is>
      </c>
      <c r="H336" t="inlineStr"/>
      <c r="I336" t="inlineStr"/>
      <c r="J336" t="inlineStr">
        <is>
          <t>136 360 000</t>
        </is>
      </c>
      <c r="K336" t="inlineStr"/>
      <c r="L336" t="inlineStr"/>
      <c r="M336" t="inlineStr">
        <is>
          <t>Нет у нас</t>
        </is>
      </c>
      <c r="N336" t="inlineStr"/>
      <c r="O336" t="inlineStr"/>
      <c r="P336" t="inlineStr"/>
      <c r="Q336">
        <f>HYPERLINK("https://knru.ru/catalog/pr-engelsa-d-124-k-1/","ссылка")</f>
        <v/>
      </c>
      <c r="R336" t="inlineStr"/>
      <c r="S336" t="inlineStr"/>
    </row>
    <row r="337">
      <c r="A337" t="inlineStr">
        <is>
          <t>Выборгский</t>
        </is>
      </c>
      <c r="B337" t="inlineStr">
        <is>
          <t>Энгельса пр-кт, 21</t>
        </is>
      </c>
      <c r="C337" t="inlineStr">
        <is>
          <t>sale</t>
        </is>
      </c>
      <c r="D337" t="inlineStr">
        <is>
          <t>Да</t>
        </is>
      </c>
      <c r="E337" t="inlineStr"/>
      <c r="F337" t="inlineStr"/>
      <c r="G337" t="inlineStr">
        <is>
          <t>745</t>
        </is>
      </c>
      <c r="H337" t="inlineStr"/>
      <c r="I337" t="inlineStr"/>
      <c r="J337" t="inlineStr">
        <is>
          <t>124 000 000</t>
        </is>
      </c>
      <c r="K337" t="inlineStr"/>
      <c r="L337" t="inlineStr"/>
      <c r="M337" t="inlineStr">
        <is>
          <t>Совпало</t>
        </is>
      </c>
      <c r="N337" t="inlineStr"/>
      <c r="O337" t="inlineStr"/>
      <c r="P337" t="inlineStr"/>
      <c r="Q337">
        <f>HYPERLINK("https://knru.ru/catalog/pr-engelsa-d-21/","ссылка")</f>
        <v/>
      </c>
      <c r="R337" t="inlineStr"/>
      <c r="S337" t="inlineStr"/>
    </row>
    <row r="338">
      <c r="A338" t="inlineStr">
        <is>
          <t>Выборгский</t>
        </is>
      </c>
      <c r="B338" t="inlineStr">
        <is>
          <t>Энгельса пр-кт, 27 АБ</t>
        </is>
      </c>
      <c r="C338" t="inlineStr">
        <is>
          <t>sale</t>
        </is>
      </c>
      <c r="D338" t="inlineStr">
        <is>
          <t>Да</t>
        </is>
      </c>
      <c r="E338" t="inlineStr"/>
      <c r="F338" t="inlineStr"/>
      <c r="G338" t="inlineStr">
        <is>
          <t>50</t>
        </is>
      </c>
      <c r="H338" t="inlineStr"/>
      <c r="I338" t="inlineStr"/>
      <c r="J338" t="inlineStr">
        <is>
          <t>16 144 000</t>
        </is>
      </c>
      <c r="K338" t="inlineStr"/>
      <c r="L338" t="inlineStr"/>
      <c r="M338" t="inlineStr">
        <is>
          <t>Нет у нас</t>
        </is>
      </c>
      <c r="N338" t="inlineStr"/>
      <c r="O338" t="inlineStr"/>
      <c r="P338" t="inlineStr"/>
      <c r="Q338">
        <f>HYPERLINK("https://knru.ru/catalog/pr-engelsa-29/","ссылка")</f>
        <v/>
      </c>
      <c r="R338" t="inlineStr"/>
      <c r="S338" t="inlineStr"/>
    </row>
    <row r="339">
      <c r="A339" t="inlineStr">
        <is>
          <t>Выборгский</t>
        </is>
      </c>
      <c r="B339" t="inlineStr">
        <is>
          <t>Энгельса пр-кт, 27 АБ</t>
        </is>
      </c>
      <c r="C339" t="inlineStr">
        <is>
          <t>sale</t>
        </is>
      </c>
      <c r="D339" t="inlineStr">
        <is>
          <t>Да</t>
        </is>
      </c>
      <c r="E339" t="inlineStr"/>
      <c r="F339" t="inlineStr"/>
      <c r="G339" t="inlineStr">
        <is>
          <t>135.4</t>
        </is>
      </c>
      <c r="H339" t="inlineStr"/>
      <c r="I339" t="inlineStr"/>
      <c r="J339" t="inlineStr">
        <is>
          <t>81 228 000</t>
        </is>
      </c>
      <c r="K339" t="inlineStr"/>
      <c r="L339" t="inlineStr"/>
      <c r="M339" t="inlineStr">
        <is>
          <t>Нет у нас</t>
        </is>
      </c>
      <c r="N339" t="inlineStr"/>
      <c r="O339" t="inlineStr"/>
      <c r="P339" t="inlineStr"/>
      <c r="Q339">
        <f>HYPERLINK("https://knru.ru/catalog/pr-engelsa-27-lit-ts-558434/","ссылка")</f>
        <v/>
      </c>
      <c r="R339" t="inlineStr"/>
      <c r="S339" t="inlineStr"/>
    </row>
    <row r="340">
      <c r="A340" t="inlineStr">
        <is>
          <t>Выборгский</t>
        </is>
      </c>
      <c r="B340" t="inlineStr">
        <is>
          <t>Энгельса пр-кт, 27 АБ</t>
        </is>
      </c>
      <c r="C340" t="inlineStr">
        <is>
          <t>sale</t>
        </is>
      </c>
      <c r="D340" t="inlineStr">
        <is>
          <t>Да</t>
        </is>
      </c>
      <c r="E340" t="inlineStr"/>
      <c r="F340" t="inlineStr"/>
      <c r="G340" t="inlineStr">
        <is>
          <t>185</t>
        </is>
      </c>
      <c r="H340" t="inlineStr"/>
      <c r="I340" t="inlineStr"/>
      <c r="J340" t="inlineStr">
        <is>
          <t>72 153 900</t>
        </is>
      </c>
      <c r="K340" t="inlineStr"/>
      <c r="L340" t="inlineStr"/>
      <c r="M340" t="inlineStr">
        <is>
          <t>Нет у нас</t>
        </is>
      </c>
      <c r="N340" t="inlineStr"/>
      <c r="O340" t="inlineStr"/>
      <c r="P340" t="inlineStr"/>
      <c r="Q340">
        <f>HYPERLINK("https://knru.ru/catalog/pr-engelsa-27-lit-ts-558431/","ссылка")</f>
        <v/>
      </c>
      <c r="R340" t="inlineStr"/>
      <c r="S340" t="inlineStr"/>
    </row>
    <row r="341">
      <c r="A341" t="inlineStr">
        <is>
          <t>Выборгский</t>
        </is>
      </c>
      <c r="B341" t="inlineStr">
        <is>
          <t>Энгельса пр-кт, 27 АБ</t>
        </is>
      </c>
      <c r="C341" t="inlineStr">
        <is>
          <t>sale</t>
        </is>
      </c>
      <c r="D341" t="inlineStr">
        <is>
          <t>Да</t>
        </is>
      </c>
      <c r="E341" t="inlineStr"/>
      <c r="F341" t="inlineStr"/>
      <c r="G341" t="inlineStr">
        <is>
          <t>57.2</t>
        </is>
      </c>
      <c r="H341" t="inlineStr"/>
      <c r="I341" t="inlineStr"/>
      <c r="J341" t="inlineStr">
        <is>
          <t>21 149 200</t>
        </is>
      </c>
      <c r="K341" t="inlineStr"/>
      <c r="L341" t="inlineStr"/>
      <c r="M341" t="inlineStr">
        <is>
          <t>Нет у нас</t>
        </is>
      </c>
      <c r="N341" t="inlineStr"/>
      <c r="O341" t="inlineStr"/>
      <c r="P341" t="inlineStr"/>
      <c r="Q341">
        <f>HYPERLINK("https://knru.ru/catalog/pr-engelsa-27-lit-ts-558430/","ссылка")</f>
        <v/>
      </c>
      <c r="R341" t="inlineStr"/>
      <c r="S341" t="inlineStr"/>
    </row>
    <row r="342">
      <c r="A342" t="inlineStr">
        <is>
          <t>Выборгский</t>
        </is>
      </c>
      <c r="B342" t="inlineStr">
        <is>
          <t>Энгельса пр-кт, 27 АБ</t>
        </is>
      </c>
      <c r="C342" t="inlineStr">
        <is>
          <t>sale</t>
        </is>
      </c>
      <c r="D342" t="inlineStr">
        <is>
          <t>Да</t>
        </is>
      </c>
      <c r="E342" t="inlineStr"/>
      <c r="F342" t="inlineStr"/>
      <c r="G342" t="inlineStr">
        <is>
          <t>77.4</t>
        </is>
      </c>
      <c r="H342" t="inlineStr"/>
      <c r="I342" t="inlineStr"/>
      <c r="J342" t="inlineStr">
        <is>
          <t>32 491 200</t>
        </is>
      </c>
      <c r="K342" t="inlineStr"/>
      <c r="L342" t="inlineStr"/>
      <c r="M342" t="inlineStr">
        <is>
          <t>Нет у нас</t>
        </is>
      </c>
      <c r="N342" t="inlineStr"/>
      <c r="O342" t="inlineStr"/>
      <c r="P342" t="inlineStr"/>
      <c r="Q342">
        <f>HYPERLINK("https://knru.ru/catalog/pr-engelsa-27-lit-ts-558429/","ссылка")</f>
        <v/>
      </c>
      <c r="R342" t="inlineStr"/>
      <c r="S342" t="inlineStr"/>
    </row>
    <row r="343">
      <c r="A343" t="inlineStr">
        <is>
          <t>Выборгский</t>
        </is>
      </c>
      <c r="B343" t="inlineStr">
        <is>
          <t>Энгельса пр-кт, 27 АБ</t>
        </is>
      </c>
      <c r="C343" t="inlineStr">
        <is>
          <t>sale</t>
        </is>
      </c>
      <c r="D343" t="inlineStr">
        <is>
          <t>Да</t>
        </is>
      </c>
      <c r="E343" t="inlineStr"/>
      <c r="F343" t="inlineStr"/>
      <c r="G343" t="inlineStr">
        <is>
          <t>151.4</t>
        </is>
      </c>
      <c r="H343" t="inlineStr"/>
      <c r="I343" t="inlineStr"/>
      <c r="J343" t="inlineStr">
        <is>
          <t>93 868 000</t>
        </is>
      </c>
      <c r="K343" t="inlineStr"/>
      <c r="L343" t="inlineStr"/>
      <c r="M343" t="inlineStr">
        <is>
          <t>Нет у нас</t>
        </is>
      </c>
      <c r="N343" t="inlineStr"/>
      <c r="O343" t="inlineStr"/>
      <c r="P343" t="inlineStr"/>
      <c r="Q343">
        <f>HYPERLINK("https://knru.ru/catalog/pr-engelsa-27-lit-ts-558427/","ссылка")</f>
        <v/>
      </c>
      <c r="R343" t="inlineStr"/>
      <c r="S343" t="inlineStr"/>
    </row>
    <row r="344">
      <c r="A344" t="inlineStr">
        <is>
          <t>Выборгский</t>
        </is>
      </c>
      <c r="B344" t="inlineStr">
        <is>
          <t>Энгельса пр-кт, 27 АБ</t>
        </is>
      </c>
      <c r="C344" t="inlineStr">
        <is>
          <t>sale</t>
        </is>
      </c>
      <c r="D344" t="inlineStr">
        <is>
          <t>Да</t>
        </is>
      </c>
      <c r="E344" t="inlineStr"/>
      <c r="F344" t="inlineStr"/>
      <c r="G344" t="inlineStr">
        <is>
          <t>160.5</t>
        </is>
      </c>
      <c r="H344" t="inlineStr"/>
      <c r="I344" t="inlineStr"/>
      <c r="J344" t="inlineStr">
        <is>
          <t>99 534 800</t>
        </is>
      </c>
      <c r="K344" t="inlineStr"/>
      <c r="L344" t="inlineStr"/>
      <c r="M344" t="inlineStr">
        <is>
          <t>Нет у нас</t>
        </is>
      </c>
      <c r="N344" t="inlineStr"/>
      <c r="O344" t="inlineStr"/>
      <c r="P344" t="inlineStr"/>
      <c r="Q344">
        <f>HYPERLINK("https://knru.ru/catalog/pr-engelsa-27-lit-ts-558425/","ссылка")</f>
        <v/>
      </c>
      <c r="R344" t="inlineStr"/>
      <c r="S344" t="inlineStr"/>
    </row>
    <row r="345">
      <c r="A345" t="inlineStr">
        <is>
          <t>Выборгский</t>
        </is>
      </c>
      <c r="B345" t="inlineStr">
        <is>
          <t>Энгельса пр-кт, 27 АБ</t>
        </is>
      </c>
      <c r="C345" t="inlineStr">
        <is>
          <t>sale</t>
        </is>
      </c>
      <c r="D345" t="inlineStr">
        <is>
          <t>Да</t>
        </is>
      </c>
      <c r="E345" t="inlineStr"/>
      <c r="F345" t="inlineStr"/>
      <c r="G345" t="inlineStr">
        <is>
          <t>100.3</t>
        </is>
      </c>
      <c r="H345" t="inlineStr"/>
      <c r="I345" t="inlineStr"/>
      <c r="J345" t="inlineStr">
        <is>
          <t>36 108 000</t>
        </is>
      </c>
      <c r="K345" t="inlineStr"/>
      <c r="L345" t="inlineStr"/>
      <c r="M345" t="inlineStr">
        <is>
          <t>Нет у нас</t>
        </is>
      </c>
      <c r="N345" t="inlineStr"/>
      <c r="O345" t="inlineStr"/>
      <c r="P345" t="inlineStr"/>
      <c r="Q345">
        <f>HYPERLINK("https://knru.ru/catalog/pr-engelsa-27-lit-ts-557156/","ссылка")</f>
        <v/>
      </c>
      <c r="R345" t="inlineStr"/>
      <c r="S345" t="inlineStr"/>
    </row>
    <row r="346">
      <c r="A346" t="inlineStr">
        <is>
          <t>Выборгский</t>
        </is>
      </c>
      <c r="B346" t="inlineStr">
        <is>
          <t>Энгельса пр-кт, 27 АБ</t>
        </is>
      </c>
      <c r="C346" t="inlineStr">
        <is>
          <t>sale</t>
        </is>
      </c>
      <c r="D346" t="inlineStr">
        <is>
          <t>Да</t>
        </is>
      </c>
      <c r="E346" t="inlineStr"/>
      <c r="F346" t="inlineStr"/>
      <c r="G346" t="inlineStr">
        <is>
          <t>39.2</t>
        </is>
      </c>
      <c r="H346" t="inlineStr"/>
      <c r="I346" t="inlineStr"/>
      <c r="J346" t="inlineStr">
        <is>
          <t>14 903 600</t>
        </is>
      </c>
      <c r="K346" t="inlineStr"/>
      <c r="L346" t="inlineStr"/>
      <c r="M346" t="inlineStr">
        <is>
          <t>Нет у нас</t>
        </is>
      </c>
      <c r="N346" t="inlineStr"/>
      <c r="O346" t="inlineStr"/>
      <c r="P346" t="inlineStr"/>
      <c r="Q346">
        <f>HYPERLINK("https://knru.ru/catalog/pr-engelsa-27-lit-ts-557152/","ссылка")</f>
        <v/>
      </c>
      <c r="R346" t="inlineStr"/>
      <c r="S346" t="inlineStr"/>
    </row>
    <row r="347">
      <c r="A347" t="inlineStr">
        <is>
          <t>Выборгский</t>
        </is>
      </c>
      <c r="B347" t="inlineStr">
        <is>
          <t>Энгельса пр-кт, 27 литЦ</t>
        </is>
      </c>
      <c r="C347" t="inlineStr">
        <is>
          <t>sale</t>
        </is>
      </c>
      <c r="D347" t="inlineStr">
        <is>
          <t>Да</t>
        </is>
      </c>
      <c r="E347" t="inlineStr"/>
      <c r="F347" t="inlineStr"/>
      <c r="G347" t="inlineStr">
        <is>
          <t>689.3</t>
        </is>
      </c>
      <c r="H347" t="inlineStr"/>
      <c r="I347" t="inlineStr"/>
      <c r="J347" t="inlineStr">
        <is>
          <t>310 185 000</t>
        </is>
      </c>
      <c r="K347" t="inlineStr"/>
      <c r="L347" t="inlineStr"/>
      <c r="M347" t="inlineStr">
        <is>
          <t>Нет у нас</t>
        </is>
      </c>
      <c r="N347" t="inlineStr"/>
      <c r="O347" t="inlineStr"/>
      <c r="P347" t="inlineStr"/>
      <c r="Q347">
        <f>HYPERLINK("https://knru.ru/catalog/pr-engelsa-27-lit-ts-1260495170/","ссылка")</f>
        <v/>
      </c>
      <c r="R347" t="inlineStr"/>
      <c r="S347" t="inlineStr"/>
    </row>
    <row r="348">
      <c r="A348" t="inlineStr">
        <is>
          <t>Выборгский</t>
        </is>
      </c>
      <c r="B348" t="inlineStr">
        <is>
          <t>Энгельса пр-кт, 70/1</t>
        </is>
      </c>
      <c r="C348" t="inlineStr">
        <is>
          <t>sale</t>
        </is>
      </c>
      <c r="D348" t="inlineStr">
        <is>
          <t>Да</t>
        </is>
      </c>
      <c r="E348" t="inlineStr"/>
      <c r="F348" t="inlineStr"/>
      <c r="G348" t="inlineStr">
        <is>
          <t>52</t>
        </is>
      </c>
      <c r="H348" t="inlineStr"/>
      <c r="I348" t="inlineStr"/>
      <c r="J348" t="inlineStr">
        <is>
          <t>18 000 000</t>
        </is>
      </c>
      <c r="K348" t="inlineStr"/>
      <c r="L348" t="inlineStr"/>
      <c r="M348" t="inlineStr">
        <is>
          <t>Нет у нас</t>
        </is>
      </c>
      <c r="N348" t="inlineStr"/>
      <c r="O348" t="inlineStr"/>
      <c r="P348" t="inlineStr"/>
      <c r="Q348">
        <f>HYPERLINK("https://knru.ru/catalog/pr-engelsa-d-70/","ссылка")</f>
        <v/>
      </c>
      <c r="R348" t="inlineStr"/>
      <c r="S348" t="inlineStr"/>
    </row>
    <row r="349">
      <c r="A349" t="inlineStr">
        <is>
          <t>Выборгский</t>
        </is>
      </c>
      <c r="B349" t="inlineStr">
        <is>
          <t>Энгельса пр-кт, 97</t>
        </is>
      </c>
      <c r="C349" t="inlineStr">
        <is>
          <t>sale</t>
        </is>
      </c>
      <c r="D349" t="inlineStr"/>
      <c r="E349" t="inlineStr">
        <is>
          <t>Да</t>
        </is>
      </c>
      <c r="F349" t="inlineStr"/>
      <c r="G349" t="inlineStr"/>
      <c r="H349" t="inlineStr">
        <is>
          <t>124.1</t>
        </is>
      </c>
      <c r="I349" t="inlineStr"/>
      <c r="J349" t="inlineStr"/>
      <c r="K349" t="inlineStr">
        <is>
          <t>18 700 000</t>
        </is>
      </c>
      <c r="L349" t="inlineStr"/>
      <c r="M349" t="inlineStr"/>
      <c r="N349" t="inlineStr">
        <is>
          <t>По адресу есть, но площадь другая</t>
        </is>
      </c>
      <c r="O349" t="inlineStr"/>
      <c r="P349" t="inlineStr"/>
      <c r="Q349" t="inlineStr"/>
      <c r="R349">
        <f>HYPERLINK("https://nordwestinvest.ru/real-estates/prodaza-s-remontom-okupaemost-9-let-u-metro","ссылка")</f>
        <v/>
      </c>
      <c r="S349" t="inlineStr"/>
    </row>
    <row r="350">
      <c r="A350" t="inlineStr">
        <is>
          <t>Гатчинский муниципальный район</t>
        </is>
      </c>
      <c r="B350" t="inlineStr">
        <is>
          <t>25 Октября пр-кт, 37а</t>
        </is>
      </c>
      <c r="C350" t="inlineStr">
        <is>
          <t>sale</t>
        </is>
      </c>
      <c r="D350" t="inlineStr">
        <is>
          <t>Да</t>
        </is>
      </c>
      <c r="E350" t="inlineStr"/>
      <c r="F350" t="inlineStr"/>
      <c r="G350" t="inlineStr">
        <is>
          <t>230</t>
        </is>
      </c>
      <c r="H350" t="inlineStr"/>
      <c r="I350" t="inlineStr"/>
      <c r="J350" t="inlineStr">
        <is>
          <t>10 000 000</t>
        </is>
      </c>
      <c r="K350" t="inlineStr"/>
      <c r="L350" t="inlineStr"/>
      <c r="M350" t="inlineStr">
        <is>
          <t>Нет у нас</t>
        </is>
      </c>
      <c r="N350" t="inlineStr"/>
      <c r="O350" t="inlineStr"/>
      <c r="P350" t="inlineStr"/>
      <c r="Q350">
        <f>HYPERLINK("https://knru.ru/catalog/25-oktyabrya-pr-kt-37a/","ссылка")</f>
        <v/>
      </c>
      <c r="R350" t="inlineStr"/>
      <c r="S350" t="inlineStr"/>
    </row>
    <row r="351">
      <c r="A351" t="inlineStr">
        <is>
          <t>Гатчинский</t>
        </is>
      </c>
      <c r="B351" t="inlineStr">
        <is>
          <t>Пушкина, 16</t>
        </is>
      </c>
      <c r="C351" t="inlineStr">
        <is>
          <t>sale</t>
        </is>
      </c>
      <c r="D351" t="inlineStr">
        <is>
          <t>Да</t>
        </is>
      </c>
      <c r="E351" t="inlineStr"/>
      <c r="F351" t="inlineStr"/>
      <c r="G351" t="inlineStr">
        <is>
          <t>541</t>
        </is>
      </c>
      <c r="H351" t="inlineStr"/>
      <c r="I351" t="inlineStr"/>
      <c r="J351" t="inlineStr">
        <is>
          <t>42 000 000</t>
        </is>
      </c>
      <c r="K351" t="inlineStr"/>
      <c r="L351" t="inlineStr"/>
      <c r="M351" t="inlineStr">
        <is>
          <t>Нет у нас</t>
        </is>
      </c>
      <c r="N351" t="inlineStr"/>
      <c r="O351" t="inlineStr"/>
      <c r="P351" t="inlineStr"/>
      <c r="Q351">
        <f>HYPERLINK("https://knru.ru/catalog/pos-tajtsy-ul-pushkina-d-16/","ссылка")</f>
        <v/>
      </c>
      <c r="R351" t="inlineStr"/>
      <c r="S351" t="inlineStr"/>
    </row>
    <row r="352">
      <c r="A352" t="inlineStr">
        <is>
          <t>Дудергоф</t>
        </is>
      </c>
      <c r="B352" t="inlineStr">
        <is>
          <t>Промышленная ул, 1</t>
        </is>
      </c>
      <c r="C352" t="inlineStr">
        <is>
          <t>sale</t>
        </is>
      </c>
      <c r="D352" t="inlineStr">
        <is>
          <t>Да</t>
        </is>
      </c>
      <c r="E352" t="inlineStr"/>
      <c r="F352" t="inlineStr"/>
      <c r="G352" t="inlineStr">
        <is>
          <t>4530</t>
        </is>
      </c>
      <c r="H352" t="inlineStr"/>
      <c r="I352" t="inlineStr"/>
      <c r="J352" t="inlineStr">
        <is>
          <t>22 650 000</t>
        </is>
      </c>
      <c r="K352" t="inlineStr"/>
      <c r="L352" t="inlineStr"/>
      <c r="M352" t="inlineStr">
        <is>
          <t>Нет у нас</t>
        </is>
      </c>
      <c r="N352" t="inlineStr"/>
      <c r="O352" t="inlineStr"/>
      <c r="P352" t="inlineStr"/>
      <c r="Q352">
        <f>HYPERLINK("https://knru.ru/catalog/promyshlennaya-ul-1/","ссылка")</f>
        <v/>
      </c>
      <c r="R352" t="inlineStr"/>
      <c r="S352" t="inlineStr"/>
    </row>
    <row r="353">
      <c r="A353" t="inlineStr">
        <is>
          <t>Дюны</t>
        </is>
      </c>
      <c r="B353" t="inlineStr">
        <is>
          <t>Новое, 45 литК</t>
        </is>
      </c>
      <c r="C353" t="inlineStr">
        <is>
          <t>sale</t>
        </is>
      </c>
      <c r="D353" t="inlineStr">
        <is>
          <t>Да</t>
        </is>
      </c>
      <c r="E353" t="inlineStr"/>
      <c r="F353" t="inlineStr"/>
      <c r="G353" t="inlineStr">
        <is>
          <t>3888</t>
        </is>
      </c>
      <c r="H353" t="inlineStr"/>
      <c r="I353" t="inlineStr"/>
      <c r="J353" t="inlineStr">
        <is>
          <t>110 000 000</t>
        </is>
      </c>
      <c r="K353" t="inlineStr"/>
      <c r="L353" t="inlineStr"/>
      <c r="M353" t="inlineStr">
        <is>
          <t>Нет у нас</t>
        </is>
      </c>
      <c r="N353" t="inlineStr"/>
      <c r="O353" t="inlineStr"/>
      <c r="P353" t="inlineStr"/>
      <c r="Q353">
        <f>HYPERLINK("https://knru.ru/catalog/novoe-45-litk/","ссылка")</f>
        <v/>
      </c>
      <c r="R353" t="inlineStr"/>
      <c r="S353" t="inlineStr"/>
    </row>
    <row r="354">
      <c r="A354" t="inlineStr">
        <is>
          <t>ЖК "Уютный" Новоселье</t>
        </is>
      </c>
      <c r="B354" t="inlineStr">
        <is>
          <t>Ленинградская обл, Новоселье гп, Невская ул, 3</t>
        </is>
      </c>
      <c r="C354" t="inlineStr">
        <is>
          <t>sale</t>
        </is>
      </c>
      <c r="D354" t="inlineStr"/>
      <c r="E354" t="inlineStr">
        <is>
          <t>Да</t>
        </is>
      </c>
      <c r="F354" t="inlineStr"/>
      <c r="G354" t="inlineStr"/>
      <c r="H354" t="inlineStr">
        <is>
          <t>102.3</t>
        </is>
      </c>
      <c r="I354" t="inlineStr"/>
      <c r="J354" t="inlineStr"/>
      <c r="K354" t="inlineStr">
        <is>
          <t>20 000 000</t>
        </is>
      </c>
      <c r="L354" t="inlineStr"/>
      <c r="M354" t="inlineStr"/>
      <c r="N354" t="inlineStr">
        <is>
          <t>Нет у нас</t>
        </is>
      </c>
      <c r="O354" t="inlineStr"/>
      <c r="P354" t="inlineStr"/>
      <c r="Q354" t="inlineStr"/>
      <c r="R354">
        <f>HYPERLINK("https://nordwestinvest.ru/real-estates/prodaza-psn-1023-m2-s-arendatorom","ссылка")</f>
        <v/>
      </c>
      <c r="S354" t="inlineStr"/>
    </row>
    <row r="355">
      <c r="A355" t="inlineStr">
        <is>
          <t>ЖК "Уютный" Новоселье</t>
        </is>
      </c>
      <c r="B355" t="inlineStr">
        <is>
          <t>Невская ул, 11/1</t>
        </is>
      </c>
      <c r="C355" t="inlineStr">
        <is>
          <t>sale</t>
        </is>
      </c>
      <c r="D355" t="inlineStr">
        <is>
          <t>Да</t>
        </is>
      </c>
      <c r="E355" t="inlineStr"/>
      <c r="F355" t="inlineStr"/>
      <c r="G355" t="inlineStr">
        <is>
          <t>113.5</t>
        </is>
      </c>
      <c r="H355" t="inlineStr"/>
      <c r="I355" t="inlineStr"/>
      <c r="J355" t="inlineStr">
        <is>
          <t>18 160 000</t>
        </is>
      </c>
      <c r="K355" t="inlineStr"/>
      <c r="L355" t="inlineStr"/>
      <c r="M355" t="inlineStr">
        <is>
          <t>Нет у нас</t>
        </is>
      </c>
      <c r="N355" t="inlineStr"/>
      <c r="O355" t="inlineStr"/>
      <c r="P355" t="inlineStr"/>
      <c r="Q355">
        <f>HYPERLINK("https://knru.ru/catalog/p-novosele-ul-nevskaya-d-11-1/","ссылка")</f>
        <v/>
      </c>
      <c r="R355" t="inlineStr"/>
      <c r="S355" t="inlineStr"/>
    </row>
    <row r="356">
      <c r="A356" t="inlineStr">
        <is>
          <t>ЖК "Уютный" Новоселье</t>
        </is>
      </c>
      <c r="B356" t="inlineStr">
        <is>
          <t>Невская ул, 7-4</t>
        </is>
      </c>
      <c r="C356" t="inlineStr">
        <is>
          <t>sale</t>
        </is>
      </c>
      <c r="D356" t="inlineStr">
        <is>
          <t>Да</t>
        </is>
      </c>
      <c r="E356" t="inlineStr"/>
      <c r="F356" t="inlineStr"/>
      <c r="G356" t="inlineStr">
        <is>
          <t>149.1</t>
        </is>
      </c>
      <c r="H356" t="inlineStr"/>
      <c r="I356" t="inlineStr"/>
      <c r="J356" t="inlineStr">
        <is>
          <t>23 857 600</t>
        </is>
      </c>
      <c r="K356" t="inlineStr"/>
      <c r="L356" t="inlineStr"/>
      <c r="M356" t="inlineStr">
        <is>
          <t>Нет у нас</t>
        </is>
      </c>
      <c r="N356" t="inlineStr"/>
      <c r="O356" t="inlineStr"/>
      <c r="P356" t="inlineStr"/>
      <c r="Q356">
        <f>HYPERLINK("https://knru.ru/catalog/lo-novosele-zhk-quot-uyutnyj-novosele-quot-559191/","ссылка")</f>
        <v/>
      </c>
      <c r="R356" t="inlineStr"/>
      <c r="S356" t="inlineStr"/>
    </row>
    <row r="357">
      <c r="A357" t="inlineStr">
        <is>
          <t>ЖК "Уютный" Новоселье</t>
        </is>
      </c>
      <c r="B357" t="inlineStr">
        <is>
          <t>Невская ул, 9</t>
        </is>
      </c>
      <c r="C357" t="inlineStr">
        <is>
          <t>sale</t>
        </is>
      </c>
      <c r="D357" t="inlineStr">
        <is>
          <t>Да</t>
        </is>
      </c>
      <c r="E357" t="inlineStr"/>
      <c r="F357" t="inlineStr"/>
      <c r="G357" t="inlineStr">
        <is>
          <t>102.7</t>
        </is>
      </c>
      <c r="H357" t="inlineStr"/>
      <c r="I357" t="inlineStr"/>
      <c r="J357" t="inlineStr">
        <is>
          <t>16 432 000</t>
        </is>
      </c>
      <c r="K357" t="inlineStr"/>
      <c r="L357" t="inlineStr"/>
      <c r="M357" t="inlineStr">
        <is>
          <t>Нет у нас</t>
        </is>
      </c>
      <c r="N357" t="inlineStr"/>
      <c r="O357" t="inlineStr"/>
      <c r="P357" t="inlineStr"/>
      <c r="Q357">
        <f>HYPERLINK("https://knru.ru/catalog/p-novosele-ul-nevskaya-d-9/","ссылка")</f>
        <v/>
      </c>
      <c r="R357" t="inlineStr"/>
      <c r="S357" t="inlineStr"/>
    </row>
    <row r="358">
      <c r="A358" t="inlineStr">
        <is>
          <t>ЖК ID Кудрово</t>
        </is>
      </c>
      <c r="B358" t="inlineStr">
        <is>
          <t>Ленинградская обл, Кудрово г, Строителей пр-кт, 16</t>
        </is>
      </c>
      <c r="C358" t="inlineStr">
        <is>
          <t>sale</t>
        </is>
      </c>
      <c r="D358" t="inlineStr"/>
      <c r="E358" t="inlineStr">
        <is>
          <t>Да</t>
        </is>
      </c>
      <c r="F358" t="inlineStr"/>
      <c r="G358" t="inlineStr"/>
      <c r="H358" t="inlineStr">
        <is>
          <t>79.3</t>
        </is>
      </c>
      <c r="I358" t="inlineStr"/>
      <c r="J358" t="inlineStr"/>
      <c r="K358" t="inlineStr">
        <is>
          <t>20 000 000</t>
        </is>
      </c>
      <c r="L358" t="inlineStr"/>
      <c r="M358" t="inlineStr"/>
      <c r="N358" t="inlineStr">
        <is>
          <t>Нет у нас</t>
        </is>
      </c>
      <c r="O358" t="inlineStr"/>
      <c r="P358" t="inlineStr"/>
      <c r="Q358" t="inlineStr"/>
      <c r="R358">
        <f>HYPERLINK("https://nordwestinvest.ru/real-estates/pomeshhenie-s-krasnym-i-belym-v-kudrovo","ссылка")</f>
        <v/>
      </c>
      <c r="S358" t="inlineStr"/>
    </row>
    <row r="359">
      <c r="A359" t="inlineStr">
        <is>
          <t>ЖК ID Кудрово</t>
        </is>
      </c>
      <c r="B359" t="inlineStr">
        <is>
          <t>Ленинградская обл, Сиверский гп, Строителей ул, 1а</t>
        </is>
      </c>
      <c r="C359" t="inlineStr">
        <is>
          <t>sale</t>
        </is>
      </c>
      <c r="D359" t="inlineStr"/>
      <c r="E359" t="inlineStr">
        <is>
          <t>Да</t>
        </is>
      </c>
      <c r="F359" t="inlineStr"/>
      <c r="G359" t="inlineStr"/>
      <c r="H359" t="inlineStr">
        <is>
          <t>242</t>
        </is>
      </c>
      <c r="I359" t="inlineStr"/>
      <c r="J359" t="inlineStr"/>
      <c r="K359" t="inlineStr">
        <is>
          <t>45 000 000</t>
        </is>
      </c>
      <c r="L359" t="inlineStr"/>
      <c r="M359" t="inlineStr"/>
      <c r="N359" t="inlineStr">
        <is>
          <t>Нет у нас</t>
        </is>
      </c>
      <c r="O359" t="inlineStr"/>
      <c r="P359" t="inlineStr"/>
      <c r="Q359" t="inlineStr"/>
      <c r="R359">
        <f>HYPERLINK("https://nordwestinvest.ru/real-estates/prodaza-gab-s-nadeznymi-arendatorami","ссылка")</f>
        <v/>
      </c>
      <c r="S359" t="inlineStr"/>
    </row>
    <row r="360">
      <c r="A360" t="inlineStr">
        <is>
          <t>ЖК ID Кудрово</t>
        </is>
      </c>
      <c r="B360" t="inlineStr">
        <is>
          <t>Строителей пр-кт</t>
        </is>
      </c>
      <c r="C360" t="inlineStr">
        <is>
          <t>sale</t>
        </is>
      </c>
      <c r="D360" t="inlineStr">
        <is>
          <t>Да</t>
        </is>
      </c>
      <c r="E360" t="inlineStr"/>
      <c r="F360" t="inlineStr"/>
      <c r="G360" t="inlineStr">
        <is>
          <t>96.5</t>
        </is>
      </c>
      <c r="H360" t="inlineStr"/>
      <c r="I360" t="inlineStr"/>
      <c r="J360" t="inlineStr">
        <is>
          <t>28 480 000</t>
        </is>
      </c>
      <c r="K360" t="inlineStr"/>
      <c r="L360" t="inlineStr"/>
      <c r="M360" t="inlineStr">
        <is>
          <t>Нет у нас</t>
        </is>
      </c>
      <c r="N360" t="inlineStr"/>
      <c r="O360" t="inlineStr"/>
      <c r="P360" t="inlineStr"/>
      <c r="Q360">
        <f>HYPERLINK("https://knru.ru/catalog/pr-t-stroitelej-k-4-1/","ссылка")</f>
        <v/>
      </c>
      <c r="R360" t="inlineStr"/>
      <c r="S360" t="inlineStr"/>
    </row>
    <row r="361">
      <c r="A361" t="inlineStr">
        <is>
          <t>ЖК ID Кудрово</t>
        </is>
      </c>
      <c r="B361" t="inlineStr">
        <is>
          <t>Строителей пр-кт, 16</t>
        </is>
      </c>
      <c r="C361" t="inlineStr">
        <is>
          <t>sale</t>
        </is>
      </c>
      <c r="D361" t="inlineStr">
        <is>
          <t>Да</t>
        </is>
      </c>
      <c r="E361" t="inlineStr"/>
      <c r="F361" t="inlineStr"/>
      <c r="G361" t="inlineStr">
        <is>
          <t>284.9</t>
        </is>
      </c>
      <c r="H361" t="inlineStr"/>
      <c r="I361" t="inlineStr"/>
      <c r="J361" t="inlineStr">
        <is>
          <t>45 012 620</t>
        </is>
      </c>
      <c r="K361" t="inlineStr"/>
      <c r="L361" t="inlineStr"/>
      <c r="M361" t="inlineStr">
        <is>
          <t>Нет у нас</t>
        </is>
      </c>
      <c r="N361" t="inlineStr"/>
      <c r="O361" t="inlineStr"/>
      <c r="P361" t="inlineStr"/>
      <c r="Q361">
        <f>HYPERLINK("https://knru.ru/catalog/kudrovo-pr-stroitelej-d-16-560474/","ссылка")</f>
        <v/>
      </c>
      <c r="R361" t="inlineStr"/>
      <c r="S361" t="inlineStr"/>
    </row>
    <row r="362">
      <c r="A362" t="inlineStr">
        <is>
          <t>ЖК ID Кудрово</t>
        </is>
      </c>
      <c r="B362" t="inlineStr">
        <is>
          <t>Строителей пр-кт, 5к1</t>
        </is>
      </c>
      <c r="C362" t="inlineStr">
        <is>
          <t>sale</t>
        </is>
      </c>
      <c r="D362" t="inlineStr">
        <is>
          <t>Да</t>
        </is>
      </c>
      <c r="E362" t="inlineStr"/>
      <c r="F362" t="inlineStr"/>
      <c r="G362" t="inlineStr">
        <is>
          <t>153.5</t>
        </is>
      </c>
      <c r="H362" t="inlineStr"/>
      <c r="I362" t="inlineStr"/>
      <c r="J362" t="inlineStr">
        <is>
          <t>52 203 600</t>
        </is>
      </c>
      <c r="K362" t="inlineStr"/>
      <c r="L362" t="inlineStr"/>
      <c r="M362" t="inlineStr">
        <is>
          <t>По адресу есть, но площадь другая</t>
        </is>
      </c>
      <c r="N362" t="inlineStr"/>
      <c r="O362" t="inlineStr"/>
      <c r="P362" t="inlineStr"/>
      <c r="Q362">
        <f>HYPERLINK("https://knru.ru/catalog/pr-t-stroiteley-d-5-k-1-7466080/","ссылка")</f>
        <v/>
      </c>
      <c r="R362" t="inlineStr"/>
      <c r="S362" t="inlineStr"/>
    </row>
    <row r="363">
      <c r="A363" t="inlineStr">
        <is>
          <t>ЖК ID Кудрово</t>
        </is>
      </c>
      <c r="B363" t="inlineStr">
        <is>
          <t>Строителей пр-кт, 5к1</t>
        </is>
      </c>
      <c r="C363" t="inlineStr">
        <is>
          <t>sale</t>
        </is>
      </c>
      <c r="D363" t="inlineStr">
        <is>
          <t>Да</t>
        </is>
      </c>
      <c r="E363" t="inlineStr"/>
      <c r="F363" t="inlineStr"/>
      <c r="G363" t="inlineStr">
        <is>
          <t>75.4</t>
        </is>
      </c>
      <c r="H363" t="inlineStr"/>
      <c r="I363" t="inlineStr"/>
      <c r="J363" t="inlineStr">
        <is>
          <t>25 639 400</t>
        </is>
      </c>
      <c r="K363" t="inlineStr"/>
      <c r="L363" t="inlineStr"/>
      <c r="M363" t="inlineStr">
        <is>
          <t>По адресу есть, но площадь другая</t>
        </is>
      </c>
      <c r="N363" t="inlineStr"/>
      <c r="O363" t="inlineStr"/>
      <c r="P363" t="inlineStr"/>
      <c r="Q363">
        <f>HYPERLINK("https://knru.ru/catalog/pr-t-stroiteley-d-5-k-1-2108345061/","ссылка")</f>
        <v/>
      </c>
      <c r="R363" t="inlineStr"/>
      <c r="S363" t="inlineStr"/>
    </row>
    <row r="364">
      <c r="A364" t="inlineStr">
        <is>
          <t>ЖК Ромашки</t>
        </is>
      </c>
      <c r="B364" t="inlineStr">
        <is>
          <t>Шоссе в Лаврики ул, 64к3</t>
        </is>
      </c>
      <c r="C364" t="inlineStr">
        <is>
          <t>sale</t>
        </is>
      </c>
      <c r="D364" t="inlineStr">
        <is>
          <t>Да</t>
        </is>
      </c>
      <c r="E364" t="inlineStr"/>
      <c r="F364" t="inlineStr"/>
      <c r="G364" t="inlineStr">
        <is>
          <t>150</t>
        </is>
      </c>
      <c r="H364" t="inlineStr"/>
      <c r="I364" t="inlineStr"/>
      <c r="J364" t="inlineStr">
        <is>
          <t>21 750 000</t>
        </is>
      </c>
      <c r="K364" t="inlineStr"/>
      <c r="L364" t="inlineStr"/>
      <c r="M364" t="inlineStr">
        <is>
          <t>Нет у нас</t>
        </is>
      </c>
      <c r="N364" t="inlineStr"/>
      <c r="O364" t="inlineStr"/>
      <c r="P364" t="inlineStr"/>
      <c r="Q364">
        <f>HYPERLINK("https://knru.ru/catalog/p-murino-ul-shosse-v-lavriki-d-64-k-3/","ссылка")</f>
        <v/>
      </c>
      <c r="R364" t="inlineStr"/>
      <c r="S364" t="inlineStr"/>
    </row>
    <row r="365">
      <c r="A365" t="inlineStr">
        <is>
          <t>Западный мкр</t>
        </is>
      </c>
      <c r="B365" t="inlineStr">
        <is>
          <t>Авиаторов Балтики пр-кт, 5</t>
        </is>
      </c>
      <c r="C365" t="inlineStr">
        <is>
          <t>sale</t>
        </is>
      </c>
      <c r="D365" t="inlineStr">
        <is>
          <t>Да</t>
        </is>
      </c>
      <c r="E365" t="inlineStr"/>
      <c r="F365" t="inlineStr"/>
      <c r="G365" t="inlineStr">
        <is>
          <t>265</t>
        </is>
      </c>
      <c r="H365" t="inlineStr"/>
      <c r="I365" t="inlineStr"/>
      <c r="J365" t="inlineStr">
        <is>
          <t>15 000 000</t>
        </is>
      </c>
      <c r="K365" t="inlineStr"/>
      <c r="L365" t="inlineStr"/>
      <c r="M365" t="inlineStr">
        <is>
          <t>По адресу есть, но площадь другая</t>
        </is>
      </c>
      <c r="N365" t="inlineStr"/>
      <c r="O365" t="inlineStr"/>
      <c r="P365" t="inlineStr"/>
      <c r="Q365">
        <f>HYPERLINK("https://knru.ru/catalog/murino-pr-aviatorov-baltiki-d-5/","ссылка")</f>
        <v/>
      </c>
      <c r="R365" t="inlineStr"/>
      <c r="S365" t="inlineStr"/>
    </row>
    <row r="366">
      <c r="A366" t="inlineStr">
        <is>
          <t>Кабаловка</t>
        </is>
      </c>
      <c r="B366" t="inlineStr">
        <is>
          <t>Подгорная ул, 57</t>
        </is>
      </c>
      <c r="C366" t="inlineStr">
        <is>
          <t>sale</t>
        </is>
      </c>
      <c r="D366" t="inlineStr">
        <is>
          <t>Да</t>
        </is>
      </c>
      <c r="E366" t="inlineStr"/>
      <c r="F366" t="inlineStr"/>
      <c r="G366" t="inlineStr">
        <is>
          <t>927</t>
        </is>
      </c>
      <c r="H366" t="inlineStr"/>
      <c r="I366" t="inlineStr"/>
      <c r="J366" t="inlineStr">
        <is>
          <t>90 000 000</t>
        </is>
      </c>
      <c r="K366" t="inlineStr"/>
      <c r="L366" t="inlineStr"/>
      <c r="M366" t="inlineStr">
        <is>
          <t>Нет у нас</t>
        </is>
      </c>
      <c r="N366" t="inlineStr"/>
      <c r="O366" t="inlineStr"/>
      <c r="P366" t="inlineStr"/>
      <c r="Q366">
        <f>HYPERLINK("https://knru.ru/catalog/podgornaya-ul-57/","ссылка")</f>
        <v/>
      </c>
      <c r="R366" t="inlineStr"/>
      <c r="S366" t="inlineStr"/>
    </row>
    <row r="367">
      <c r="A367" t="inlineStr">
        <is>
          <t>Калининский</t>
        </is>
      </c>
      <c r="B367" t="inlineStr">
        <is>
          <t>Академика Константинова ул</t>
        </is>
      </c>
      <c r="C367" t="inlineStr">
        <is>
          <t>sale</t>
        </is>
      </c>
      <c r="D367" t="inlineStr">
        <is>
          <t>Да</t>
        </is>
      </c>
      <c r="E367" t="inlineStr"/>
      <c r="F367" t="inlineStr"/>
      <c r="G367" t="inlineStr">
        <is>
          <t>93.7</t>
        </is>
      </c>
      <c r="H367" t="inlineStr"/>
      <c r="I367" t="inlineStr"/>
      <c r="J367" t="inlineStr">
        <is>
          <t>20 611 800</t>
        </is>
      </c>
      <c r="K367" t="inlineStr"/>
      <c r="L367" t="inlineStr"/>
      <c r="M367" t="inlineStr">
        <is>
          <t>Нет у нас</t>
        </is>
      </c>
      <c r="N367" t="inlineStr"/>
      <c r="O367" t="inlineStr"/>
      <c r="P367" t="inlineStr"/>
      <c r="Q367">
        <f>HYPERLINK("https://knru.ru/catalog/ul-akademika-konstantinova/","ссылка")</f>
        <v/>
      </c>
      <c r="R367" t="inlineStr"/>
      <c r="S367" t="inlineStr"/>
    </row>
    <row r="368">
      <c r="A368" t="inlineStr">
        <is>
          <t>Калининский</t>
        </is>
      </c>
      <c r="B368" t="inlineStr">
        <is>
          <t>Академика Константинова ул, 1 Е</t>
        </is>
      </c>
      <c r="C368" t="inlineStr">
        <is>
          <t>sale</t>
        </is>
      </c>
      <c r="D368" t="inlineStr"/>
      <c r="E368" t="inlineStr">
        <is>
          <t>Да</t>
        </is>
      </c>
      <c r="F368" t="inlineStr"/>
      <c r="G368" t="inlineStr"/>
      <c r="H368" t="inlineStr">
        <is>
          <t>55</t>
        </is>
      </c>
      <c r="I368" t="inlineStr"/>
      <c r="J368" t="inlineStr"/>
      <c r="K368" t="inlineStr">
        <is>
          <t>25 000 000</t>
        </is>
      </c>
      <c r="L368" t="inlineStr"/>
      <c r="M368" t="inlineStr"/>
      <c r="N368" t="inlineStr">
        <is>
          <t>Нет у нас</t>
        </is>
      </c>
      <c r="O368" t="inlineStr"/>
      <c r="P368" t="inlineStr"/>
      <c r="Q368" t="inlineStr"/>
      <c r="R368">
        <f>HYPERLINK("https://nordwestinvest.ru/real-estates/prodaza-scastlivyi-vzgliad-pred-kassovaia-zona-55m","ссылка")</f>
        <v/>
      </c>
      <c r="S368" t="inlineStr"/>
    </row>
    <row r="369">
      <c r="A369" t="inlineStr">
        <is>
          <t>Калининский</t>
        </is>
      </c>
      <c r="B369" t="inlineStr">
        <is>
          <t>Академика Лебедева ул, 31</t>
        </is>
      </c>
      <c r="C369" t="inlineStr">
        <is>
          <t>sale</t>
        </is>
      </c>
      <c r="D369" t="inlineStr"/>
      <c r="E369" t="inlineStr">
        <is>
          <t>Да</t>
        </is>
      </c>
      <c r="F369" t="inlineStr"/>
      <c r="G369" t="inlineStr"/>
      <c r="H369" t="inlineStr">
        <is>
          <t>58</t>
        </is>
      </c>
      <c r="I369" t="inlineStr"/>
      <c r="J369" t="inlineStr"/>
      <c r="K369" t="inlineStr">
        <is>
          <t>45 320 000</t>
        </is>
      </c>
      <c r="L369" t="inlineStr"/>
      <c r="M369" t="inlineStr"/>
      <c r="N369" t="inlineStr">
        <is>
          <t>Нет у нас</t>
        </is>
      </c>
      <c r="O369" t="inlineStr"/>
      <c r="P369" t="inlineStr"/>
      <c r="Q369" t="inlineStr"/>
      <c r="R369">
        <f>HYPERLINK("https://nordwestinvest.ru/real-estates/prodaza-gab-s-setevym-arendatorom","ссылка")</f>
        <v/>
      </c>
      <c r="S369" t="inlineStr"/>
    </row>
    <row r="370">
      <c r="A370" t="inlineStr">
        <is>
          <t>Калининский</t>
        </is>
      </c>
      <c r="B370" t="inlineStr">
        <is>
          <t>Бобруйская ул, 7</t>
        </is>
      </c>
      <c r="C370" t="inlineStr">
        <is>
          <t>sale</t>
        </is>
      </c>
      <c r="D370" t="inlineStr">
        <is>
          <t>Да</t>
        </is>
      </c>
      <c r="E370" t="inlineStr"/>
      <c r="F370" t="inlineStr"/>
      <c r="G370" t="inlineStr">
        <is>
          <t>13381</t>
        </is>
      </c>
      <c r="H370" t="inlineStr"/>
      <c r="I370" t="inlineStr"/>
      <c r="J370" t="inlineStr">
        <is>
          <t>850 000 000</t>
        </is>
      </c>
      <c r="K370" t="inlineStr"/>
      <c r="L370" t="inlineStr"/>
      <c r="M370" t="inlineStr">
        <is>
          <t>Нет у нас</t>
        </is>
      </c>
      <c r="N370" t="inlineStr"/>
      <c r="O370" t="inlineStr"/>
      <c r="P370" t="inlineStr"/>
      <c r="Q370">
        <f>HYPERLINK("https://knru.ru/catalog/bobrujskaya-ul-7-551736/","ссылка")</f>
        <v/>
      </c>
      <c r="R370" t="inlineStr"/>
      <c r="S370" t="inlineStr"/>
    </row>
    <row r="371">
      <c r="A371" t="inlineStr">
        <is>
          <t>Калининский</t>
        </is>
      </c>
      <c r="B371" t="inlineStr">
        <is>
          <t>Гражданский пр-кт, 113к3</t>
        </is>
      </c>
      <c r="C371" t="inlineStr">
        <is>
          <t>sale</t>
        </is>
      </c>
      <c r="D371" t="inlineStr">
        <is>
          <t>Да</t>
        </is>
      </c>
      <c r="E371" t="inlineStr"/>
      <c r="F371" t="inlineStr"/>
      <c r="G371" t="inlineStr">
        <is>
          <t>73.9</t>
        </is>
      </c>
      <c r="H371" t="inlineStr"/>
      <c r="I371" t="inlineStr"/>
      <c r="J371" t="inlineStr">
        <is>
          <t>24 500 000</t>
        </is>
      </c>
      <c r="K371" t="inlineStr"/>
      <c r="L371" t="inlineStr"/>
      <c r="M371" t="inlineStr">
        <is>
          <t>По адресу есть, но площадь другая</t>
        </is>
      </c>
      <c r="N371" t="inlineStr"/>
      <c r="O371" t="inlineStr"/>
      <c r="P371" t="inlineStr"/>
      <c r="Q371">
        <f>HYPERLINK("https://knru.ru/catalog/grazhdanskiy-pr-kt-113k3-1951564805/","ссылка")</f>
        <v/>
      </c>
      <c r="R371" t="inlineStr"/>
      <c r="S371" t="inlineStr"/>
    </row>
    <row r="372">
      <c r="A372" t="inlineStr">
        <is>
          <t>Калининский</t>
        </is>
      </c>
      <c r="B372" t="inlineStr">
        <is>
          <t>Гражданский пр-кт, 113к3</t>
        </is>
      </c>
      <c r="C372" t="inlineStr">
        <is>
          <t>sale</t>
        </is>
      </c>
      <c r="D372" t="inlineStr">
        <is>
          <t>Да</t>
        </is>
      </c>
      <c r="E372" t="inlineStr"/>
      <c r="F372" t="inlineStr"/>
      <c r="G372" t="inlineStr">
        <is>
          <t>48.4</t>
        </is>
      </c>
      <c r="H372" t="inlineStr"/>
      <c r="I372" t="inlineStr"/>
      <c r="J372" t="inlineStr">
        <is>
          <t>15 400 000</t>
        </is>
      </c>
      <c r="K372" t="inlineStr"/>
      <c r="L372" t="inlineStr"/>
      <c r="M372" t="inlineStr">
        <is>
          <t>По адресу есть, но площадь другая</t>
        </is>
      </c>
      <c r="N372" t="inlineStr"/>
      <c r="O372" t="inlineStr"/>
      <c r="P372" t="inlineStr"/>
      <c r="Q372">
        <f>HYPERLINK("https://knru.ru/catalog/grazhdanskiy-pr-kt-113k3-1322926956/","ссылка")</f>
        <v/>
      </c>
      <c r="R372" t="inlineStr"/>
      <c r="S372" t="inlineStr"/>
    </row>
    <row r="373">
      <c r="A373" t="inlineStr">
        <is>
          <t>Калининский</t>
        </is>
      </c>
      <c r="B373" t="inlineStr">
        <is>
          <t>Гражданский пр-кт, 113к3</t>
        </is>
      </c>
      <c r="C373" t="inlineStr">
        <is>
          <t>sale</t>
        </is>
      </c>
      <c r="D373" t="inlineStr">
        <is>
          <t>Да</t>
        </is>
      </c>
      <c r="E373" t="inlineStr"/>
      <c r="F373" t="inlineStr"/>
      <c r="G373" t="inlineStr">
        <is>
          <t>24</t>
        </is>
      </c>
      <c r="H373" t="inlineStr"/>
      <c r="I373" t="inlineStr"/>
      <c r="J373" t="inlineStr">
        <is>
          <t>10 300 000</t>
        </is>
      </c>
      <c r="K373" t="inlineStr"/>
      <c r="L373" t="inlineStr"/>
      <c r="M373" t="inlineStr">
        <is>
          <t>По адресу есть, но площадь другая</t>
        </is>
      </c>
      <c r="N373" t="inlineStr"/>
      <c r="O373" t="inlineStr"/>
      <c r="P373" t="inlineStr"/>
      <c r="Q373">
        <f>HYPERLINK("https://knru.ru/catalog/grazhdanskiy-pr-kt-113k3-1720420455/","ссылка")</f>
        <v/>
      </c>
      <c r="R373" t="inlineStr"/>
      <c r="S373" t="inlineStr"/>
    </row>
    <row r="374">
      <c r="A374" t="inlineStr">
        <is>
          <t>Калининский</t>
        </is>
      </c>
      <c r="B374" t="inlineStr">
        <is>
          <t>Гражданский пр-кт, 76</t>
        </is>
      </c>
      <c r="C374" t="inlineStr">
        <is>
          <t>sale</t>
        </is>
      </c>
      <c r="D374" t="inlineStr"/>
      <c r="E374" t="inlineStr">
        <is>
          <t>Да</t>
        </is>
      </c>
      <c r="F374" t="inlineStr"/>
      <c r="G374" t="inlineStr"/>
      <c r="H374" t="inlineStr">
        <is>
          <t>60</t>
        </is>
      </c>
      <c r="I374" t="inlineStr"/>
      <c r="J374" t="inlineStr"/>
      <c r="K374" t="inlineStr">
        <is>
          <t>24 000 000</t>
        </is>
      </c>
      <c r="L374" t="inlineStr"/>
      <c r="M374" t="inlineStr"/>
      <c r="N374" t="inlineStr">
        <is>
          <t>Нет у нас</t>
        </is>
      </c>
      <c r="O374" t="inlineStr"/>
      <c r="P374" t="inlineStr"/>
      <c r="Q374" t="inlineStr"/>
      <c r="R374">
        <f>HYPERLINK("https://nordwestinvest.ru/real-estates/prodaza-pomeshheniia-s-wildberries-1","ссылка")</f>
        <v/>
      </c>
      <c r="S374" t="inlineStr"/>
    </row>
    <row r="375">
      <c r="A375" t="inlineStr">
        <is>
          <t>Калининский</t>
        </is>
      </c>
      <c r="B375" t="inlineStr">
        <is>
          <t>Гражданский пр-кт, 88к3</t>
        </is>
      </c>
      <c r="C375" t="inlineStr">
        <is>
          <t>sale</t>
        </is>
      </c>
      <c r="D375" t="inlineStr"/>
      <c r="E375" t="inlineStr">
        <is>
          <t>Да</t>
        </is>
      </c>
      <c r="F375" t="inlineStr"/>
      <c r="G375" t="inlineStr"/>
      <c r="H375" t="inlineStr">
        <is>
          <t>95.7</t>
        </is>
      </c>
      <c r="I375" t="inlineStr"/>
      <c r="J375" t="inlineStr"/>
      <c r="K375" t="inlineStr">
        <is>
          <t>24 882 000</t>
        </is>
      </c>
      <c r="L375" t="inlineStr"/>
      <c r="M375" t="inlineStr"/>
      <c r="N375" t="inlineStr">
        <is>
          <t>Нет у нас</t>
        </is>
      </c>
      <c r="O375" t="inlineStr"/>
      <c r="P375" t="inlineStr"/>
      <c r="Q375" t="inlineStr"/>
      <c r="R375">
        <f>HYPERLINK("https://nordwestinvest.ru/real-estates/prodaza-ofisa-riadom-s-metro-akademiceskaia-957m2","ссылка")</f>
        <v/>
      </c>
      <c r="S375" t="inlineStr"/>
    </row>
    <row r="376">
      <c r="A376" t="inlineStr">
        <is>
          <t>Калининский</t>
        </is>
      </c>
      <c r="B376" t="inlineStr">
        <is>
          <t>Гражданский пр-кт, 9</t>
        </is>
      </c>
      <c r="C376" t="inlineStr">
        <is>
          <t>sale</t>
        </is>
      </c>
      <c r="D376" t="inlineStr"/>
      <c r="E376" t="inlineStr">
        <is>
          <t>Да</t>
        </is>
      </c>
      <c r="F376" t="inlineStr"/>
      <c r="G376" t="inlineStr"/>
      <c r="H376" t="inlineStr">
        <is>
          <t>238.1</t>
        </is>
      </c>
      <c r="I376" t="inlineStr"/>
      <c r="J376" t="inlineStr"/>
      <c r="K376" t="inlineStr">
        <is>
          <t>34 500 000</t>
        </is>
      </c>
      <c r="L376" t="inlineStr"/>
      <c r="M376" t="inlineStr"/>
      <c r="N376" t="inlineStr">
        <is>
          <t>Нет у нас</t>
        </is>
      </c>
      <c r="O376" t="inlineStr"/>
      <c r="P376" t="inlineStr"/>
      <c r="Q376" t="inlineStr"/>
      <c r="R376">
        <f>HYPERLINK("https://nordwestinvest.ru/real-estates/prodaza-s-arendatorom-vozle-pesexodnogo-238-m2","ссылка")</f>
        <v/>
      </c>
      <c r="S376" t="inlineStr"/>
    </row>
    <row r="377">
      <c r="A377" t="inlineStr">
        <is>
          <t>Калининский</t>
        </is>
      </c>
      <c r="B377" t="inlineStr">
        <is>
          <t>Гражданский пр-кт, 9к11 А</t>
        </is>
      </c>
      <c r="C377" t="inlineStr">
        <is>
          <t>sale</t>
        </is>
      </c>
      <c r="D377" t="inlineStr">
        <is>
          <t>Да</t>
        </is>
      </c>
      <c r="E377" t="inlineStr"/>
      <c r="F377" t="inlineStr"/>
      <c r="G377" t="inlineStr">
        <is>
          <t>234</t>
        </is>
      </c>
      <c r="H377" t="inlineStr"/>
      <c r="I377" t="inlineStr"/>
      <c r="J377" t="inlineStr">
        <is>
          <t>50 000 000</t>
        </is>
      </c>
      <c r="K377" t="inlineStr"/>
      <c r="L377" t="inlineStr"/>
      <c r="M377" t="inlineStr">
        <is>
          <t>Нет у нас</t>
        </is>
      </c>
      <c r="N377" t="inlineStr"/>
      <c r="O377" t="inlineStr"/>
      <c r="P377" t="inlineStr"/>
      <c r="Q377">
        <f>HYPERLINK("https://knru.ru/catalog/grazhdanskiy-pr-t-d-9/","ссылка")</f>
        <v/>
      </c>
      <c r="R377" t="inlineStr"/>
      <c r="S377" t="inlineStr"/>
    </row>
    <row r="378">
      <c r="A378" t="inlineStr">
        <is>
          <t>Калининский</t>
        </is>
      </c>
      <c r="B378" t="inlineStr">
        <is>
          <t>Демьяна Бедного ул, 18к1</t>
        </is>
      </c>
      <c r="C378" t="inlineStr">
        <is>
          <t>sale</t>
        </is>
      </c>
      <c r="D378" t="inlineStr"/>
      <c r="E378" t="inlineStr">
        <is>
          <t>Да</t>
        </is>
      </c>
      <c r="F378" t="inlineStr"/>
      <c r="G378" t="inlineStr"/>
      <c r="H378" t="inlineStr">
        <is>
          <t>790.2</t>
        </is>
      </c>
      <c r="I378" t="inlineStr"/>
      <c r="J378" t="inlineStr"/>
      <c r="K378" t="inlineStr">
        <is>
          <t>86 922 000</t>
        </is>
      </c>
      <c r="L378" t="inlineStr"/>
      <c r="M378" t="inlineStr"/>
      <c r="N378" t="inlineStr">
        <is>
          <t>Нет у нас</t>
        </is>
      </c>
      <c r="O378" t="inlineStr"/>
      <c r="P378" t="inlineStr"/>
      <c r="Q378" t="inlineStr"/>
      <c r="R378">
        <f>HYPERLINK("https://nordwestinvest.ru/real-estates/prodaza-pomeshheniia-7902","ссылка")</f>
        <v/>
      </c>
      <c r="S378" t="inlineStr"/>
    </row>
    <row r="379">
      <c r="A379" t="inlineStr">
        <is>
          <t>Калининский</t>
        </is>
      </c>
      <c r="B379" t="inlineStr">
        <is>
          <t>Демьяна Бедного ул, 18к1</t>
        </is>
      </c>
      <c r="C379" t="inlineStr">
        <is>
          <t>sale</t>
        </is>
      </c>
      <c r="D379" t="inlineStr"/>
      <c r="E379" t="inlineStr">
        <is>
          <t>Да</t>
        </is>
      </c>
      <c r="F379" t="inlineStr"/>
      <c r="G379" t="inlineStr"/>
      <c r="H379" t="inlineStr">
        <is>
          <t>1143</t>
        </is>
      </c>
      <c r="I379" t="inlineStr"/>
      <c r="J379" t="inlineStr"/>
      <c r="K379" t="inlineStr">
        <is>
          <t>125 785 000</t>
        </is>
      </c>
      <c r="L379" t="inlineStr"/>
      <c r="M379" t="inlineStr"/>
      <c r="N379" t="inlineStr">
        <is>
          <t>Нет у нас</t>
        </is>
      </c>
      <c r="O379" t="inlineStr"/>
      <c r="P379" t="inlineStr"/>
      <c r="Q379" t="inlineStr"/>
      <c r="R379">
        <f>HYPERLINK("https://nordwestinvest.ru/real-estates/prodaza-pomeshheniia-2","ссылка")</f>
        <v/>
      </c>
      <c r="S379" t="inlineStr"/>
    </row>
    <row r="380">
      <c r="A380" t="inlineStr">
        <is>
          <t>Калининский</t>
        </is>
      </c>
      <c r="B380" t="inlineStr">
        <is>
          <t>Демьяна Бедного ул, 28</t>
        </is>
      </c>
      <c r="C380" t="inlineStr">
        <is>
          <t>sale</t>
        </is>
      </c>
      <c r="D380" t="inlineStr">
        <is>
          <t>Да</t>
        </is>
      </c>
      <c r="E380" t="inlineStr"/>
      <c r="F380" t="inlineStr"/>
      <c r="G380" t="inlineStr">
        <is>
          <t>156</t>
        </is>
      </c>
      <c r="H380" t="inlineStr"/>
      <c r="I380" t="inlineStr"/>
      <c r="J380" t="inlineStr">
        <is>
          <t>45 000 000</t>
        </is>
      </c>
      <c r="K380" t="inlineStr"/>
      <c r="L380" t="inlineStr"/>
      <c r="M380" t="inlineStr">
        <is>
          <t>Нет у нас</t>
        </is>
      </c>
      <c r="N380" t="inlineStr"/>
      <c r="O380" t="inlineStr"/>
      <c r="P380" t="inlineStr"/>
      <c r="Q380">
        <f>HYPERLINK("https://knru.ru/catalog/ul-demyana-bednogo-d-28-1-522915011/","ссылка")</f>
        <v/>
      </c>
      <c r="R380" t="inlineStr"/>
      <c r="S380" t="inlineStr"/>
    </row>
    <row r="381">
      <c r="A381" t="inlineStr">
        <is>
          <t>Калининский</t>
        </is>
      </c>
      <c r="B381" t="inlineStr">
        <is>
          <t>Демьяна Бедного ул, 28</t>
        </is>
      </c>
      <c r="C381" t="inlineStr">
        <is>
          <t>sale</t>
        </is>
      </c>
      <c r="D381" t="inlineStr">
        <is>
          <t>Да</t>
        </is>
      </c>
      <c r="E381" t="inlineStr"/>
      <c r="F381" t="inlineStr"/>
      <c r="G381" t="inlineStr">
        <is>
          <t>125</t>
        </is>
      </c>
      <c r="H381" t="inlineStr"/>
      <c r="I381" t="inlineStr"/>
      <c r="J381" t="inlineStr">
        <is>
          <t>35 000 000</t>
        </is>
      </c>
      <c r="K381" t="inlineStr"/>
      <c r="L381" t="inlineStr"/>
      <c r="M381" t="inlineStr">
        <is>
          <t>Нет у нас</t>
        </is>
      </c>
      <c r="N381" t="inlineStr"/>
      <c r="O381" t="inlineStr"/>
      <c r="P381" t="inlineStr"/>
      <c r="Q381">
        <f>HYPERLINK("https://knru.ru/catalog/ul-demyana-bednogo-d-28-1/","ссылка")</f>
        <v/>
      </c>
      <c r="R381" t="inlineStr"/>
      <c r="S381" t="inlineStr"/>
    </row>
    <row r="382">
      <c r="A382" t="inlineStr">
        <is>
          <t>Калининский</t>
        </is>
      </c>
      <c r="B382" t="inlineStr">
        <is>
          <t>Демьяна Бедного ул, 28к1</t>
        </is>
      </c>
      <c r="C382" t="inlineStr">
        <is>
          <t>sale</t>
        </is>
      </c>
      <c r="D382" t="inlineStr"/>
      <c r="E382" t="inlineStr">
        <is>
          <t>Да</t>
        </is>
      </c>
      <c r="F382" t="inlineStr"/>
      <c r="G382" t="inlineStr"/>
      <c r="H382" t="inlineStr">
        <is>
          <t>156</t>
        </is>
      </c>
      <c r="I382" t="inlineStr"/>
      <c r="J382" t="inlineStr"/>
      <c r="K382" t="inlineStr">
        <is>
          <t>47 000 000</t>
        </is>
      </c>
      <c r="L382" t="inlineStr"/>
      <c r="M382" t="inlineStr"/>
      <c r="N382" t="inlineStr">
        <is>
          <t>Нет у нас</t>
        </is>
      </c>
      <c r="O382" t="inlineStr"/>
      <c r="P382" t="inlineStr"/>
      <c r="Q382" t="inlineStr"/>
      <c r="R382">
        <f>HYPERLINK("https://nordwestinvest.ru/real-estates/prodaza-pomeshheniia-s-arendatorami156m2","ссылка")</f>
        <v/>
      </c>
      <c r="S382" t="inlineStr"/>
    </row>
    <row r="383">
      <c r="A383" t="inlineStr">
        <is>
          <t>Калининский</t>
        </is>
      </c>
      <c r="B383" t="inlineStr">
        <is>
          <t>Жукова ул, 17к2стр1</t>
        </is>
      </c>
      <c r="C383" t="inlineStr">
        <is>
          <t>sale</t>
        </is>
      </c>
      <c r="D383" t="inlineStr">
        <is>
          <t>Да</t>
        </is>
      </c>
      <c r="E383" t="inlineStr"/>
      <c r="F383" t="inlineStr"/>
      <c r="G383" t="inlineStr">
        <is>
          <t>8800</t>
        </is>
      </c>
      <c r="H383" t="inlineStr"/>
      <c r="I383" t="inlineStr"/>
      <c r="J383" t="inlineStr">
        <is>
          <t>165 000 000</t>
        </is>
      </c>
      <c r="K383" t="inlineStr"/>
      <c r="L383" t="inlineStr"/>
      <c r="M383" t="inlineStr">
        <is>
          <t>Нет у нас</t>
        </is>
      </c>
      <c r="N383" t="inlineStr"/>
      <c r="O383" t="inlineStr"/>
      <c r="P383" t="inlineStr"/>
      <c r="Q383">
        <f>HYPERLINK("https://knru.ru/catalog/zhukova-ul-17k2str1/","ссылка")</f>
        <v/>
      </c>
      <c r="R383" t="inlineStr"/>
      <c r="S383" t="inlineStr"/>
    </row>
    <row r="384">
      <c r="A384" t="inlineStr">
        <is>
          <t>Калининский</t>
        </is>
      </c>
      <c r="B384" t="inlineStr">
        <is>
          <t>Жукова ул, 1к2</t>
        </is>
      </c>
      <c r="C384" t="inlineStr">
        <is>
          <t>sale</t>
        </is>
      </c>
      <c r="D384" t="inlineStr"/>
      <c r="E384" t="inlineStr">
        <is>
          <t>Да</t>
        </is>
      </c>
      <c r="F384" t="inlineStr"/>
      <c r="G384" t="inlineStr"/>
      <c r="H384" t="inlineStr">
        <is>
          <t>1913</t>
        </is>
      </c>
      <c r="I384" t="inlineStr"/>
      <c r="J384" t="inlineStr"/>
      <c r="K384" t="inlineStr">
        <is>
          <t>270 000 000</t>
        </is>
      </c>
      <c r="L384" t="inlineStr"/>
      <c r="M384" t="inlineStr"/>
      <c r="N384" t="inlineStr">
        <is>
          <t>Нет у нас</t>
        </is>
      </c>
      <c r="O384" t="inlineStr"/>
      <c r="P384" t="inlineStr"/>
      <c r="Q384" t="inlineStr"/>
      <c r="R384">
        <f>HYPERLINK("https://nordwestinvest.ru/real-estates/prodam-tc-s-zemelnym-ucastkom","ссылка")</f>
        <v/>
      </c>
      <c r="S384" t="inlineStr"/>
    </row>
    <row r="385">
      <c r="A385" t="inlineStr">
        <is>
          <t>Калининский</t>
        </is>
      </c>
      <c r="B385" t="inlineStr">
        <is>
          <t>Кондратьевский пр-кт, 26</t>
        </is>
      </c>
      <c r="C385" t="inlineStr">
        <is>
          <t>sale</t>
        </is>
      </c>
      <c r="D385" t="inlineStr">
        <is>
          <t>Да</t>
        </is>
      </c>
      <c r="E385" t="inlineStr"/>
      <c r="F385" t="inlineStr"/>
      <c r="G385" t="inlineStr">
        <is>
          <t>167</t>
        </is>
      </c>
      <c r="H385" t="inlineStr"/>
      <c r="I385" t="inlineStr"/>
      <c r="J385" t="inlineStr">
        <is>
          <t>41 560 000</t>
        </is>
      </c>
      <c r="K385" t="inlineStr"/>
      <c r="L385" t="inlineStr"/>
      <c r="M385" t="inlineStr">
        <is>
          <t>Нет у нас</t>
        </is>
      </c>
      <c r="N385" t="inlineStr"/>
      <c r="O385" t="inlineStr"/>
      <c r="P385" t="inlineStr"/>
      <c r="Q385">
        <f>HYPERLINK("https://knru.ru/catalog/kondratevskiy-pr-d-26/","ссылка")</f>
        <v/>
      </c>
      <c r="R385" t="inlineStr"/>
      <c r="S385" t="inlineStr"/>
    </row>
    <row r="386">
      <c r="A386" t="inlineStr">
        <is>
          <t>Калининский</t>
        </is>
      </c>
      <c r="B386" t="inlineStr">
        <is>
          <t>Кондратьевский пр-кт, 36</t>
        </is>
      </c>
      <c r="C386" t="inlineStr">
        <is>
          <t>sale</t>
        </is>
      </c>
      <c r="D386" t="inlineStr">
        <is>
          <t>Да</t>
        </is>
      </c>
      <c r="E386" t="inlineStr"/>
      <c r="F386" t="inlineStr"/>
      <c r="G386" t="inlineStr">
        <is>
          <t>700</t>
        </is>
      </c>
      <c r="H386" t="inlineStr"/>
      <c r="I386" t="inlineStr"/>
      <c r="J386" t="inlineStr">
        <is>
          <t>115 000 000</t>
        </is>
      </c>
      <c r="K386" t="inlineStr"/>
      <c r="L386" t="inlineStr"/>
      <c r="M386" t="inlineStr">
        <is>
          <t>Нет у нас</t>
        </is>
      </c>
      <c r="N386" t="inlineStr"/>
      <c r="O386" t="inlineStr"/>
      <c r="P386" t="inlineStr"/>
      <c r="Q386">
        <f>HYPERLINK("https://knru.ru/catalog/kondratevskiy-pr-d-36/","ссылка")</f>
        <v/>
      </c>
      <c r="R386" t="inlineStr"/>
      <c r="S386" t="inlineStr"/>
    </row>
    <row r="387">
      <c r="A387" t="inlineStr">
        <is>
          <t>Калининский</t>
        </is>
      </c>
      <c r="B387" t="inlineStr">
        <is>
          <t>Кондратьевский пр-кт, 49</t>
        </is>
      </c>
      <c r="C387" t="inlineStr">
        <is>
          <t>sale</t>
        </is>
      </c>
      <c r="D387" t="inlineStr">
        <is>
          <t>Да</t>
        </is>
      </c>
      <c r="E387" t="inlineStr"/>
      <c r="F387" t="inlineStr"/>
      <c r="G387" t="inlineStr">
        <is>
          <t>201</t>
        </is>
      </c>
      <c r="H387" t="inlineStr"/>
      <c r="I387" t="inlineStr"/>
      <c r="J387" t="inlineStr">
        <is>
          <t>59 900 000</t>
        </is>
      </c>
      <c r="K387" t="inlineStr"/>
      <c r="L387" t="inlineStr"/>
      <c r="M387" t="inlineStr">
        <is>
          <t>Совпало</t>
        </is>
      </c>
      <c r="N387" t="inlineStr"/>
      <c r="O387" t="inlineStr"/>
      <c r="P387" t="inlineStr"/>
      <c r="Q387">
        <f>HYPERLINK("https://knru.ru/catalog/kondratevskiy-pr-kt-49-374153272/","ссылка")</f>
        <v/>
      </c>
      <c r="R387" t="inlineStr"/>
      <c r="S387" t="inlineStr"/>
    </row>
    <row r="388">
      <c r="A388" t="inlineStr">
        <is>
          <t>Калининский</t>
        </is>
      </c>
      <c r="B388" t="inlineStr">
        <is>
          <t>Лыжный пер, 6стр1</t>
        </is>
      </c>
      <c r="C388" t="inlineStr">
        <is>
          <t>sale</t>
        </is>
      </c>
      <c r="D388" t="inlineStr"/>
      <c r="E388" t="inlineStr">
        <is>
          <t>Да</t>
        </is>
      </c>
      <c r="F388" t="inlineStr"/>
      <c r="G388" t="inlineStr"/>
      <c r="H388" t="inlineStr">
        <is>
          <t>4240.1</t>
        </is>
      </c>
      <c r="I388" t="inlineStr"/>
      <c r="J388" t="inlineStr"/>
      <c r="K388" t="inlineStr">
        <is>
          <t>550 000 000</t>
        </is>
      </c>
      <c r="L388" t="inlineStr"/>
      <c r="M388" t="inlineStr"/>
      <c r="N388" t="inlineStr">
        <is>
          <t>Нет у нас</t>
        </is>
      </c>
      <c r="O388" t="inlineStr"/>
      <c r="P388" t="inlineStr"/>
      <c r="Q388" t="inlineStr"/>
      <c r="R388">
        <f>HYPERLINK("https://nordwestinvest.ru/real-estates/prodaza-torgovogo-kompleksa-na-lyznom-pereulke","ссылка")</f>
        <v/>
      </c>
      <c r="S388" t="inlineStr"/>
    </row>
    <row r="389">
      <c r="A389" t="inlineStr">
        <is>
          <t>Калининский</t>
        </is>
      </c>
      <c r="B389" t="inlineStr">
        <is>
          <t>Маршала Блюхера пр-кт, 74к2 стр 1</t>
        </is>
      </c>
      <c r="C389" t="inlineStr">
        <is>
          <t>sale</t>
        </is>
      </c>
      <c r="D389" t="inlineStr">
        <is>
          <t>Да</t>
        </is>
      </c>
      <c r="E389" t="inlineStr"/>
      <c r="F389" t="inlineStr"/>
      <c r="G389" t="inlineStr">
        <is>
          <t>2364</t>
        </is>
      </c>
      <c r="H389" t="inlineStr"/>
      <c r="I389" t="inlineStr"/>
      <c r="J389" t="inlineStr">
        <is>
          <t>283 680 000</t>
        </is>
      </c>
      <c r="K389" t="inlineStr"/>
      <c r="L389" t="inlineStr"/>
      <c r="M389" t="inlineStr">
        <is>
          <t>Нет у нас</t>
        </is>
      </c>
      <c r="N389" t="inlineStr"/>
      <c r="O389" t="inlineStr"/>
      <c r="P389" t="inlineStr"/>
      <c r="Q389">
        <f>HYPERLINK("https://knru.ru/catalog/marshala-blyukhera-pr-kt-74k2-str-1/","ссылка")</f>
        <v/>
      </c>
      <c r="R389" t="inlineStr"/>
      <c r="S389" t="inlineStr"/>
    </row>
    <row r="390">
      <c r="A390" t="inlineStr">
        <is>
          <t>Калининский</t>
        </is>
      </c>
      <c r="B390" t="inlineStr">
        <is>
          <t>Маршала Блюхера пр-кт, 7к2</t>
        </is>
      </c>
      <c r="C390" t="inlineStr">
        <is>
          <t>sale</t>
        </is>
      </c>
      <c r="D390" t="inlineStr">
        <is>
          <t>Да</t>
        </is>
      </c>
      <c r="E390" t="inlineStr"/>
      <c r="F390" t="inlineStr"/>
      <c r="G390" t="inlineStr">
        <is>
          <t>140</t>
        </is>
      </c>
      <c r="H390" t="inlineStr"/>
      <c r="I390" t="inlineStr"/>
      <c r="J390" t="inlineStr">
        <is>
          <t>60 000 000</t>
        </is>
      </c>
      <c r="K390" t="inlineStr"/>
      <c r="L390" t="inlineStr"/>
      <c r="M390" t="inlineStr">
        <is>
          <t>Совпало</t>
        </is>
      </c>
      <c r="N390" t="inlineStr"/>
      <c r="O390" t="inlineStr"/>
      <c r="P390" t="inlineStr"/>
      <c r="Q390">
        <f>HYPERLINK("https://knru.ru/catalog/pr-marshala-blyukhera-d-7-k-2/","ссылка")</f>
        <v/>
      </c>
      <c r="R390" t="inlineStr"/>
      <c r="S390" t="inlineStr"/>
    </row>
    <row r="391">
      <c r="A391" t="inlineStr">
        <is>
          <t>Калининский</t>
        </is>
      </c>
      <c r="B391" t="inlineStr">
        <is>
          <t>Муринская дор, 53стр1</t>
        </is>
      </c>
      <c r="C391" t="inlineStr">
        <is>
          <t>sale</t>
        </is>
      </c>
      <c r="D391" t="inlineStr">
        <is>
          <t>Да</t>
        </is>
      </c>
      <c r="E391" t="inlineStr"/>
      <c r="F391" t="inlineStr"/>
      <c r="G391" t="inlineStr">
        <is>
          <t>487</t>
        </is>
      </c>
      <c r="H391" t="inlineStr"/>
      <c r="I391" t="inlineStr"/>
      <c r="J391" t="inlineStr">
        <is>
          <t>130 000 000</t>
        </is>
      </c>
      <c r="K391" t="inlineStr"/>
      <c r="L391" t="inlineStr"/>
      <c r="M391" t="inlineStr">
        <is>
          <t>Нет у нас</t>
        </is>
      </c>
      <c r="N391" t="inlineStr"/>
      <c r="O391" t="inlineStr"/>
      <c r="P391" t="inlineStr"/>
      <c r="Q391">
        <f>HYPERLINK("https://knru.ru/catalog/murinskaya-doroga-d-53/","ссылка")</f>
        <v/>
      </c>
      <c r="R391" t="inlineStr"/>
      <c r="S391" t="inlineStr"/>
    </row>
    <row r="392">
      <c r="A392" t="inlineStr">
        <is>
          <t>Калининский</t>
        </is>
      </c>
      <c r="B392" t="inlineStr">
        <is>
          <t>Науки пр-кт, 16к1</t>
        </is>
      </c>
      <c r="C392" t="inlineStr">
        <is>
          <t>sale</t>
        </is>
      </c>
      <c r="D392" t="inlineStr">
        <is>
          <t>Да</t>
        </is>
      </c>
      <c r="E392" t="inlineStr"/>
      <c r="F392" t="inlineStr"/>
      <c r="G392" t="inlineStr">
        <is>
          <t>701</t>
        </is>
      </c>
      <c r="H392" t="inlineStr"/>
      <c r="I392" t="inlineStr"/>
      <c r="J392" t="inlineStr">
        <is>
          <t>350 000 000</t>
        </is>
      </c>
      <c r="K392" t="inlineStr"/>
      <c r="L392" t="inlineStr"/>
      <c r="M392" t="inlineStr">
        <is>
          <t>Совпало</t>
        </is>
      </c>
      <c r="N392" t="inlineStr"/>
      <c r="O392" t="inlineStr"/>
      <c r="P392" t="inlineStr"/>
      <c r="Q392">
        <f>HYPERLINK("https://knru.ru/catalog/pr-nauki-d-16-k-1/","ссылка")</f>
        <v/>
      </c>
      <c r="R392" t="inlineStr"/>
      <c r="S392" t="inlineStr"/>
    </row>
    <row r="393">
      <c r="A393" t="inlineStr">
        <is>
          <t>Калининский</t>
        </is>
      </c>
      <c r="B393" t="inlineStr">
        <is>
          <t>Науки пр-кт, 36</t>
        </is>
      </c>
      <c r="C393" t="inlineStr">
        <is>
          <t>sale</t>
        </is>
      </c>
      <c r="D393" t="inlineStr"/>
      <c r="E393" t="inlineStr">
        <is>
          <t>Да</t>
        </is>
      </c>
      <c r="F393" t="inlineStr"/>
      <c r="G393" t="inlineStr"/>
      <c r="H393" t="inlineStr">
        <is>
          <t>134.5</t>
        </is>
      </c>
      <c r="I393" t="inlineStr"/>
      <c r="J393" t="inlineStr"/>
      <c r="K393" t="inlineStr">
        <is>
          <t>26 000 000</t>
        </is>
      </c>
      <c r="L393" t="inlineStr"/>
      <c r="M393" t="inlineStr"/>
      <c r="N393" t="inlineStr">
        <is>
          <t>Нет у нас</t>
        </is>
      </c>
      <c r="O393" t="inlineStr"/>
      <c r="P393" t="inlineStr"/>
      <c r="Q393" t="inlineStr"/>
      <c r="R393">
        <f>HYPERLINK("https://nordwestinvest.ru/real-estates/prodaza-2-x-etazei-na-pr-nauki-1","ссылка")</f>
        <v/>
      </c>
      <c r="S393" t="inlineStr"/>
    </row>
    <row r="394">
      <c r="A394" t="inlineStr">
        <is>
          <t>Калининский</t>
        </is>
      </c>
      <c r="B394" t="inlineStr">
        <is>
          <t>Науки пр-кт, 47к2</t>
        </is>
      </c>
      <c r="C394" t="inlineStr">
        <is>
          <t>sale</t>
        </is>
      </c>
      <c r="D394" t="inlineStr">
        <is>
          <t>Да</t>
        </is>
      </c>
      <c r="E394" t="inlineStr"/>
      <c r="F394" t="inlineStr"/>
      <c r="G394" t="inlineStr">
        <is>
          <t>549</t>
        </is>
      </c>
      <c r="H394" t="inlineStr"/>
      <c r="I394" t="inlineStr"/>
      <c r="J394" t="inlineStr">
        <is>
          <t>94 900 000</t>
        </is>
      </c>
      <c r="K394" t="inlineStr"/>
      <c r="L394" t="inlineStr"/>
      <c r="M394" t="inlineStr">
        <is>
          <t>Нет у нас</t>
        </is>
      </c>
      <c r="N394" t="inlineStr"/>
      <c r="O394" t="inlineStr"/>
      <c r="P394" t="inlineStr"/>
      <c r="Q394">
        <f>HYPERLINK("https://knru.ru/catalog/nauki-pr-kt-47k2/","ссылка")</f>
        <v/>
      </c>
      <c r="R394" t="inlineStr"/>
      <c r="S394" t="inlineStr"/>
    </row>
    <row r="395">
      <c r="A395" t="inlineStr">
        <is>
          <t>Калининский</t>
        </is>
      </c>
      <c r="B395" t="inlineStr">
        <is>
          <t>Обручевых ул</t>
        </is>
      </c>
      <c r="C395" t="inlineStr">
        <is>
          <t>sale</t>
        </is>
      </c>
      <c r="D395" t="inlineStr">
        <is>
          <t>Да</t>
        </is>
      </c>
      <c r="E395" t="inlineStr"/>
      <c r="F395" t="inlineStr"/>
      <c r="G395" t="inlineStr">
        <is>
          <t>3326</t>
        </is>
      </c>
      <c r="H395" t="inlineStr"/>
      <c r="I395" t="inlineStr"/>
      <c r="J395" t="inlineStr">
        <is>
          <t>42 000 000</t>
        </is>
      </c>
      <c r="K395" t="inlineStr"/>
      <c r="L395" t="inlineStr"/>
      <c r="M395" t="inlineStr">
        <is>
          <t>Нет у нас</t>
        </is>
      </c>
      <c r="N395" t="inlineStr"/>
      <c r="O395" t="inlineStr"/>
      <c r="P395" t="inlineStr"/>
      <c r="Q395">
        <f>HYPERLINK("https://knru.ru/catalog/obruchevyx-ul/","ссылка")</f>
        <v/>
      </c>
      <c r="R395" t="inlineStr"/>
      <c r="S395" t="inlineStr"/>
    </row>
    <row r="396">
      <c r="A396" t="inlineStr">
        <is>
          <t>Калининский</t>
        </is>
      </c>
      <c r="B396" t="inlineStr">
        <is>
          <t>Пискарёвский пр-кт, 159к8 А</t>
        </is>
      </c>
      <c r="C396" t="inlineStr">
        <is>
          <t>sale</t>
        </is>
      </c>
      <c r="D396" t="inlineStr">
        <is>
          <t>Да</t>
        </is>
      </c>
      <c r="E396" t="inlineStr"/>
      <c r="F396" t="inlineStr"/>
      <c r="G396" t="inlineStr">
        <is>
          <t>30.2</t>
        </is>
      </c>
      <c r="H396" t="inlineStr"/>
      <c r="I396" t="inlineStr"/>
      <c r="J396" t="inlineStr">
        <is>
          <t>12 375 000</t>
        </is>
      </c>
      <c r="K396" t="inlineStr"/>
      <c r="L396" t="inlineStr"/>
      <c r="M396" t="inlineStr">
        <is>
          <t>Нет у нас</t>
        </is>
      </c>
      <c r="N396" t="inlineStr"/>
      <c r="O396" t="inlineStr"/>
      <c r="P396" t="inlineStr"/>
      <c r="Q396">
        <f>HYPERLINK("https://knru.ru/catalog/piskarevskij-prospekt-d-159k8-561410/","ссылка")</f>
        <v/>
      </c>
      <c r="R396" t="inlineStr"/>
      <c r="S396" t="inlineStr"/>
    </row>
    <row r="397">
      <c r="A397" t="inlineStr">
        <is>
          <t>Калининский</t>
        </is>
      </c>
      <c r="B397" t="inlineStr">
        <is>
          <t>Пискарёвский пр-кт, 159к8 А</t>
        </is>
      </c>
      <c r="C397" t="inlineStr">
        <is>
          <t>sale</t>
        </is>
      </c>
      <c r="D397" t="inlineStr">
        <is>
          <t>Да</t>
        </is>
      </c>
      <c r="E397" t="inlineStr"/>
      <c r="F397" t="inlineStr"/>
      <c r="G397" t="inlineStr">
        <is>
          <t>59.7</t>
        </is>
      </c>
      <c r="H397" t="inlineStr"/>
      <c r="I397" t="inlineStr"/>
      <c r="J397" t="inlineStr">
        <is>
          <t>15 900 000</t>
        </is>
      </c>
      <c r="K397" t="inlineStr"/>
      <c r="L397" t="inlineStr"/>
      <c r="M397" t="inlineStr">
        <is>
          <t>Нет у нас</t>
        </is>
      </c>
      <c r="N397" t="inlineStr"/>
      <c r="O397" t="inlineStr"/>
      <c r="P397" t="inlineStr"/>
      <c r="Q397">
        <f>HYPERLINK("https://knru.ru/catalog/piskarevskij-prospekt-d-159k8-561393/","ссылка")</f>
        <v/>
      </c>
      <c r="R397" t="inlineStr"/>
      <c r="S397" t="inlineStr"/>
    </row>
    <row r="398">
      <c r="A398" t="inlineStr">
        <is>
          <t>Калининский</t>
        </is>
      </c>
      <c r="B398" t="inlineStr">
        <is>
          <t>Пискарёвский пр-кт, 159к8 А</t>
        </is>
      </c>
      <c r="C398" t="inlineStr">
        <is>
          <t>sale</t>
        </is>
      </c>
      <c r="D398" t="inlineStr">
        <is>
          <t>Да</t>
        </is>
      </c>
      <c r="E398" t="inlineStr"/>
      <c r="F398" t="inlineStr"/>
      <c r="G398" t="inlineStr">
        <is>
          <t>48.4</t>
        </is>
      </c>
      <c r="H398" t="inlineStr"/>
      <c r="I398" t="inlineStr"/>
      <c r="J398" t="inlineStr">
        <is>
          <t>15 000 000</t>
        </is>
      </c>
      <c r="K398" t="inlineStr"/>
      <c r="L398" t="inlineStr"/>
      <c r="M398" t="inlineStr">
        <is>
          <t>Нет у нас</t>
        </is>
      </c>
      <c r="N398" t="inlineStr"/>
      <c r="O398" t="inlineStr"/>
      <c r="P398" t="inlineStr"/>
      <c r="Q398">
        <f>HYPERLINK("https://knru.ru/catalog/piskarevskij-prospekt-d-159k8-561391/","ссылка")</f>
        <v/>
      </c>
      <c r="R398" t="inlineStr"/>
      <c r="S398" t="inlineStr"/>
    </row>
    <row r="399">
      <c r="A399" t="inlineStr">
        <is>
          <t>Калининский</t>
        </is>
      </c>
      <c r="B399" t="inlineStr">
        <is>
          <t>Пискарёвский пр-кт, 159к8 А</t>
        </is>
      </c>
      <c r="C399" t="inlineStr">
        <is>
          <t>sale</t>
        </is>
      </c>
      <c r="D399" t="inlineStr">
        <is>
          <t>Да</t>
        </is>
      </c>
      <c r="E399" t="inlineStr"/>
      <c r="F399" t="inlineStr"/>
      <c r="G399" t="inlineStr">
        <is>
          <t>91.2</t>
        </is>
      </c>
      <c r="H399" t="inlineStr"/>
      <c r="I399" t="inlineStr"/>
      <c r="J399" t="inlineStr">
        <is>
          <t>29 900 000</t>
        </is>
      </c>
      <c r="K399" t="inlineStr"/>
      <c r="L399" t="inlineStr"/>
      <c r="M399" t="inlineStr">
        <is>
          <t>Нет у нас</t>
        </is>
      </c>
      <c r="N399" t="inlineStr"/>
      <c r="O399" t="inlineStr"/>
      <c r="P399" t="inlineStr"/>
      <c r="Q399">
        <f>HYPERLINK("https://knru.ru/catalog/piskarevskij-prospekt-d-159k8-561385/","ссылка")</f>
        <v/>
      </c>
      <c r="R399" t="inlineStr"/>
      <c r="S399" t="inlineStr"/>
    </row>
    <row r="400">
      <c r="A400" t="inlineStr">
        <is>
          <t>Калининский</t>
        </is>
      </c>
      <c r="B400" t="inlineStr">
        <is>
          <t>Пискарёвский пр-кт, 159к8 А</t>
        </is>
      </c>
      <c r="C400" t="inlineStr">
        <is>
          <t>sale</t>
        </is>
      </c>
      <c r="D400" t="inlineStr">
        <is>
          <t>Да</t>
        </is>
      </c>
      <c r="E400" t="inlineStr"/>
      <c r="F400" t="inlineStr"/>
      <c r="G400" t="inlineStr">
        <is>
          <t>12.9</t>
        </is>
      </c>
      <c r="H400" t="inlineStr"/>
      <c r="I400" t="inlineStr"/>
      <c r="J400" t="inlineStr">
        <is>
          <t>1 800 000</t>
        </is>
      </c>
      <c r="K400" t="inlineStr"/>
      <c r="L400" t="inlineStr"/>
      <c r="M400" t="inlineStr">
        <is>
          <t>Нет у нас</t>
        </is>
      </c>
      <c r="N400" t="inlineStr"/>
      <c r="O400" t="inlineStr"/>
      <c r="P400" t="inlineStr"/>
      <c r="Q400">
        <f>HYPERLINK("https://knru.ru/catalog/piskarevskij-prospekt-d-159k8-561375/","ссылка")</f>
        <v/>
      </c>
      <c r="R400" t="inlineStr"/>
      <c r="S400" t="inlineStr"/>
    </row>
    <row r="401">
      <c r="A401" t="inlineStr">
        <is>
          <t>Калининский</t>
        </is>
      </c>
      <c r="B401" t="inlineStr">
        <is>
          <t>Пискарёвский пр-кт, 159к8 А</t>
        </is>
      </c>
      <c r="C401" t="inlineStr">
        <is>
          <t>sale</t>
        </is>
      </c>
      <c r="D401" t="inlineStr">
        <is>
          <t>Да</t>
        </is>
      </c>
      <c r="E401" t="inlineStr"/>
      <c r="F401" t="inlineStr"/>
      <c r="G401" t="inlineStr">
        <is>
          <t>9.3</t>
        </is>
      </c>
      <c r="H401" t="inlineStr"/>
      <c r="I401" t="inlineStr"/>
      <c r="J401" t="inlineStr">
        <is>
          <t>5 980 000</t>
        </is>
      </c>
      <c r="K401" t="inlineStr"/>
      <c r="L401" t="inlineStr"/>
      <c r="M401" t="inlineStr">
        <is>
          <t>Нет у нас</t>
        </is>
      </c>
      <c r="N401" t="inlineStr"/>
      <c r="O401" t="inlineStr"/>
      <c r="P401" t="inlineStr"/>
      <c r="Q401">
        <f>HYPERLINK("https://knru.ru/catalog/piskarevskij-prospekt-d-159k8-561371/","ссылка")</f>
        <v/>
      </c>
      <c r="R401" t="inlineStr"/>
      <c r="S401" t="inlineStr"/>
    </row>
    <row r="402">
      <c r="A402" t="inlineStr">
        <is>
          <t>Калининский</t>
        </is>
      </c>
      <c r="B402" t="inlineStr">
        <is>
          <t>Пискарёвский пр-кт, 159к8 А</t>
        </is>
      </c>
      <c r="C402" t="inlineStr">
        <is>
          <t>sale</t>
        </is>
      </c>
      <c r="D402" t="inlineStr">
        <is>
          <t>Да</t>
        </is>
      </c>
      <c r="E402" t="inlineStr"/>
      <c r="F402" t="inlineStr"/>
      <c r="G402" t="inlineStr">
        <is>
          <t>65.2</t>
        </is>
      </c>
      <c r="H402" t="inlineStr"/>
      <c r="I402" t="inlineStr"/>
      <c r="J402" t="inlineStr">
        <is>
          <t>11 125 000</t>
        </is>
      </c>
      <c r="K402" t="inlineStr"/>
      <c r="L402" t="inlineStr"/>
      <c r="M402" t="inlineStr">
        <is>
          <t>Нет у нас</t>
        </is>
      </c>
      <c r="N402" t="inlineStr"/>
      <c r="O402" t="inlineStr"/>
      <c r="P402" t="inlineStr"/>
      <c r="Q402">
        <f>HYPERLINK("https://knru.ru/catalog/piskarevskij-prospekt-d-159k8-561369/","ссылка")</f>
        <v/>
      </c>
      <c r="R402" t="inlineStr"/>
      <c r="S402" t="inlineStr"/>
    </row>
    <row r="403">
      <c r="A403" t="inlineStr">
        <is>
          <t>Калининский</t>
        </is>
      </c>
      <c r="B403" t="inlineStr">
        <is>
          <t>Полюстровский пр-кт, 83 И</t>
        </is>
      </c>
      <c r="C403" t="inlineStr">
        <is>
          <t>sale</t>
        </is>
      </c>
      <c r="D403" t="inlineStr">
        <is>
          <t>Да</t>
        </is>
      </c>
      <c r="E403" t="inlineStr"/>
      <c r="F403" t="inlineStr"/>
      <c r="G403" t="inlineStr">
        <is>
          <t>6902</t>
        </is>
      </c>
      <c r="H403" t="inlineStr"/>
      <c r="I403" t="inlineStr"/>
      <c r="J403" t="inlineStr">
        <is>
          <t>300 000 000</t>
        </is>
      </c>
      <c r="K403" t="inlineStr"/>
      <c r="L403" t="inlineStr"/>
      <c r="M403" t="inlineStr">
        <is>
          <t>Нет у нас</t>
        </is>
      </c>
      <c r="N403" t="inlineStr"/>
      <c r="O403" t="inlineStr"/>
      <c r="P403" t="inlineStr"/>
      <c r="Q403">
        <f>HYPERLINK("https://knru.ru/catalog/polyustrovskiy-pr-kt-d-83/","ссылка")</f>
        <v/>
      </c>
      <c r="R403" t="inlineStr"/>
      <c r="S403" t="inlineStr"/>
    </row>
    <row r="404">
      <c r="A404" t="inlineStr">
        <is>
          <t>Калининский</t>
        </is>
      </c>
      <c r="B404" t="inlineStr">
        <is>
          <t>Светлановский пр.</t>
        </is>
      </c>
      <c r="C404" t="inlineStr">
        <is>
          <t>sale</t>
        </is>
      </c>
      <c r="D404" t="inlineStr">
        <is>
          <t>Да</t>
        </is>
      </c>
      <c r="E404" t="inlineStr"/>
      <c r="F404" t="inlineStr"/>
      <c r="G404" t="inlineStr">
        <is>
          <t>292.9</t>
        </is>
      </c>
      <c r="H404" t="inlineStr"/>
      <c r="I404" t="inlineStr"/>
      <c r="J404" t="inlineStr">
        <is>
          <t>81 000 000</t>
        </is>
      </c>
      <c r="K404" t="inlineStr"/>
      <c r="L404" t="inlineStr"/>
      <c r="M404" t="inlineStr">
        <is>
          <t>Нет у нас</t>
        </is>
      </c>
      <c r="N404" t="inlineStr"/>
      <c r="O404" t="inlineStr"/>
      <c r="P404" t="inlineStr"/>
      <c r="Q404">
        <f>HYPERLINK("https://knru.ru/catalog/svetlanovskiy-pr-539971944/","ссылка")</f>
        <v/>
      </c>
      <c r="R404" t="inlineStr"/>
      <c r="S404" t="inlineStr"/>
    </row>
    <row r="405">
      <c r="A405" t="inlineStr">
        <is>
          <t>Калининский</t>
        </is>
      </c>
      <c r="B405" t="inlineStr">
        <is>
          <t>Светлановский пр.</t>
        </is>
      </c>
      <c r="C405" t="inlineStr">
        <is>
          <t>sale</t>
        </is>
      </c>
      <c r="D405" t="inlineStr">
        <is>
          <t>Да</t>
        </is>
      </c>
      <c r="E405" t="inlineStr"/>
      <c r="F405" t="inlineStr"/>
      <c r="G405" t="inlineStr">
        <is>
          <t>131.6</t>
        </is>
      </c>
      <c r="H405" t="inlineStr"/>
      <c r="I405" t="inlineStr"/>
      <c r="J405" t="inlineStr">
        <is>
          <t>35 534 700</t>
        </is>
      </c>
      <c r="K405" t="inlineStr"/>
      <c r="L405" t="inlineStr"/>
      <c r="M405" t="inlineStr">
        <is>
          <t>Нет у нас</t>
        </is>
      </c>
      <c r="N405" t="inlineStr"/>
      <c r="O405" t="inlineStr"/>
      <c r="P405" t="inlineStr"/>
      <c r="Q405">
        <f>HYPERLINK("https://knru.ru/catalog/svetlanovskiy-pr-846990480/","ссылка")</f>
        <v/>
      </c>
      <c r="R405" t="inlineStr"/>
      <c r="S405" t="inlineStr"/>
    </row>
    <row r="406">
      <c r="A406" t="inlineStr">
        <is>
          <t>Калининский</t>
        </is>
      </c>
      <c r="B406" t="inlineStr">
        <is>
          <t>Светлановский пр.</t>
        </is>
      </c>
      <c r="C406" t="inlineStr">
        <is>
          <t>sale</t>
        </is>
      </c>
      <c r="D406" t="inlineStr">
        <is>
          <t>Да</t>
        </is>
      </c>
      <c r="E406" t="inlineStr"/>
      <c r="F406" t="inlineStr"/>
      <c r="G406" t="inlineStr">
        <is>
          <t>35.6</t>
        </is>
      </c>
      <c r="H406" t="inlineStr"/>
      <c r="I406" t="inlineStr"/>
      <c r="J406" t="inlineStr">
        <is>
          <t>10 677 000</t>
        </is>
      </c>
      <c r="K406" t="inlineStr"/>
      <c r="L406" t="inlineStr"/>
      <c r="M406" t="inlineStr">
        <is>
          <t>Нет у нас</t>
        </is>
      </c>
      <c r="N406" t="inlineStr"/>
      <c r="O406" t="inlineStr"/>
      <c r="P406" t="inlineStr"/>
      <c r="Q406">
        <f>HYPERLINK("https://knru.ru/catalog/svetlanovskiy-pr-535129954/","ссылка")</f>
        <v/>
      </c>
      <c r="R406" t="inlineStr"/>
      <c r="S406" t="inlineStr"/>
    </row>
    <row r="407">
      <c r="A407" t="inlineStr">
        <is>
          <t>Калининский</t>
        </is>
      </c>
      <c r="B407" t="inlineStr">
        <is>
          <t>Светлановский пр.</t>
        </is>
      </c>
      <c r="C407" t="inlineStr">
        <is>
          <t>sale</t>
        </is>
      </c>
      <c r="D407" t="inlineStr">
        <is>
          <t>Да</t>
        </is>
      </c>
      <c r="E407" t="inlineStr"/>
      <c r="F407" t="inlineStr"/>
      <c r="G407" t="inlineStr">
        <is>
          <t>101.5</t>
        </is>
      </c>
      <c r="H407" t="inlineStr"/>
      <c r="I407" t="inlineStr"/>
      <c r="J407" t="inlineStr">
        <is>
          <t>27 706 770</t>
        </is>
      </c>
      <c r="K407" t="inlineStr"/>
      <c r="L407" t="inlineStr"/>
      <c r="M407" t="inlineStr">
        <is>
          <t>Нет у нас</t>
        </is>
      </c>
      <c r="N407" t="inlineStr"/>
      <c r="O407" t="inlineStr"/>
      <c r="P407" t="inlineStr"/>
      <c r="Q407">
        <f>HYPERLINK("https://knru.ru/catalog/svetlanovskiy-pr/","ссылка")</f>
        <v/>
      </c>
      <c r="R407" t="inlineStr"/>
      <c r="S407" t="inlineStr"/>
    </row>
    <row r="408">
      <c r="A408" t="inlineStr">
        <is>
          <t>Калининский</t>
        </is>
      </c>
      <c r="B408" t="inlineStr">
        <is>
          <t>Светлановский пр-кт, 109</t>
        </is>
      </c>
      <c r="C408" t="inlineStr">
        <is>
          <t>sale</t>
        </is>
      </c>
      <c r="D408" t="inlineStr"/>
      <c r="E408" t="inlineStr">
        <is>
          <t>Да</t>
        </is>
      </c>
      <c r="F408" t="inlineStr"/>
      <c r="G408" t="inlineStr"/>
      <c r="H408" t="inlineStr">
        <is>
          <t>84.5</t>
        </is>
      </c>
      <c r="I408" t="inlineStr"/>
      <c r="J408" t="inlineStr"/>
      <c r="K408" t="inlineStr">
        <is>
          <t>29 000 000</t>
        </is>
      </c>
      <c r="L408" t="inlineStr"/>
      <c r="M408" t="inlineStr"/>
      <c r="N408" t="inlineStr">
        <is>
          <t>Нет у нас</t>
        </is>
      </c>
      <c r="O408" t="inlineStr"/>
      <c r="P408" t="inlineStr"/>
      <c r="Q408" t="inlineStr"/>
      <c r="R408">
        <f>HYPERLINK("https://nordwestinvest.ru/real-estates/prodaza-pomeshheniia-s-wildberries-845-m2","ссылка")</f>
        <v/>
      </c>
      <c r="S408" t="inlineStr"/>
    </row>
    <row r="409">
      <c r="A409" t="inlineStr">
        <is>
          <t>Калининский</t>
        </is>
      </c>
      <c r="B409" t="inlineStr">
        <is>
          <t>Светлановский пр-кт, 109к1</t>
        </is>
      </c>
      <c r="C409" t="inlineStr">
        <is>
          <t>sale</t>
        </is>
      </c>
      <c r="D409" t="inlineStr">
        <is>
          <t>Да</t>
        </is>
      </c>
      <c r="E409" t="inlineStr"/>
      <c r="F409" t="inlineStr"/>
      <c r="G409" t="inlineStr">
        <is>
          <t>85</t>
        </is>
      </c>
      <c r="H409" t="inlineStr"/>
      <c r="I409" t="inlineStr"/>
      <c r="J409" t="inlineStr">
        <is>
          <t>25 000 000</t>
        </is>
      </c>
      <c r="K409" t="inlineStr"/>
      <c r="L409" t="inlineStr"/>
      <c r="M409" t="inlineStr">
        <is>
          <t>Нет у нас</t>
        </is>
      </c>
      <c r="N409" t="inlineStr"/>
      <c r="O409" t="inlineStr"/>
      <c r="P409" t="inlineStr"/>
      <c r="Q409">
        <f>HYPERLINK("https://knru.ru/catalog/svetlanovskiy-pr-d-109-korp-1/","ссылка")</f>
        <v/>
      </c>
      <c r="R409" t="inlineStr"/>
      <c r="S409" t="inlineStr"/>
    </row>
    <row r="410">
      <c r="A410" t="inlineStr">
        <is>
          <t>Калининский</t>
        </is>
      </c>
      <c r="B410" t="inlineStr">
        <is>
          <t>Светлановский пр-кт, 85</t>
        </is>
      </c>
      <c r="C410" t="inlineStr">
        <is>
          <t>sale</t>
        </is>
      </c>
      <c r="D410" t="inlineStr">
        <is>
          <t>Да</t>
        </is>
      </c>
      <c r="E410" t="inlineStr"/>
      <c r="F410" t="inlineStr"/>
      <c r="G410" t="inlineStr">
        <is>
          <t>141.4</t>
        </is>
      </c>
      <c r="H410" t="inlineStr"/>
      <c r="I410" t="inlineStr"/>
      <c r="J410" t="inlineStr">
        <is>
          <t>53 017 500</t>
        </is>
      </c>
      <c r="K410" t="inlineStr"/>
      <c r="L410" t="inlineStr"/>
      <c r="M410" t="inlineStr">
        <is>
          <t>По адресу есть, но площадь другая</t>
        </is>
      </c>
      <c r="N410" t="inlineStr"/>
      <c r="O410" t="inlineStr"/>
      <c r="P410" t="inlineStr"/>
      <c r="Q410">
        <f>HYPERLINK("https://knru.ru/catalog/svetlanovskiy-pr-d-85-1700683247/","ссылка")</f>
        <v/>
      </c>
      <c r="R410" t="inlineStr"/>
      <c r="S410" t="inlineStr"/>
    </row>
    <row r="411">
      <c r="A411" t="inlineStr">
        <is>
          <t>Калининский</t>
        </is>
      </c>
      <c r="B411" t="inlineStr">
        <is>
          <t>Светлановский пр-кт, 85</t>
        </is>
      </c>
      <c r="C411" t="inlineStr">
        <is>
          <t>sale</t>
        </is>
      </c>
      <c r="D411" t="inlineStr">
        <is>
          <t>Да</t>
        </is>
      </c>
      <c r="E411" t="inlineStr"/>
      <c r="F411" t="inlineStr"/>
      <c r="G411" t="inlineStr">
        <is>
          <t>300.2</t>
        </is>
      </c>
      <c r="H411" t="inlineStr"/>
      <c r="I411" t="inlineStr"/>
      <c r="J411" t="inlineStr">
        <is>
          <t>108 072 000</t>
        </is>
      </c>
      <c r="K411" t="inlineStr"/>
      <c r="L411" t="inlineStr"/>
      <c r="M411" t="inlineStr">
        <is>
          <t>По адресу есть, но площадь другая</t>
        </is>
      </c>
      <c r="N411" t="inlineStr"/>
      <c r="O411" t="inlineStr"/>
      <c r="P411" t="inlineStr"/>
      <c r="Q411">
        <f>HYPERLINK("https://knru.ru/catalog/svetlanovskiy-pr-d-85-1370007296/","ссылка")</f>
        <v/>
      </c>
      <c r="R411" t="inlineStr"/>
      <c r="S411" t="inlineStr"/>
    </row>
    <row r="412">
      <c r="A412" t="inlineStr">
        <is>
          <t>Калининский</t>
        </is>
      </c>
      <c r="B412" t="inlineStr">
        <is>
          <t>Светлановский пр-кт, 85</t>
        </is>
      </c>
      <c r="C412" t="inlineStr">
        <is>
          <t>sale</t>
        </is>
      </c>
      <c r="D412" t="inlineStr">
        <is>
          <t>Да</t>
        </is>
      </c>
      <c r="E412" t="inlineStr"/>
      <c r="F412" t="inlineStr"/>
      <c r="G412" t="inlineStr">
        <is>
          <t>101.5</t>
        </is>
      </c>
      <c r="H412" t="inlineStr"/>
      <c r="I412" t="inlineStr"/>
      <c r="J412" t="inlineStr">
        <is>
          <t>27 706 770</t>
        </is>
      </c>
      <c r="K412" t="inlineStr"/>
      <c r="L412" t="inlineStr"/>
      <c r="M412" t="inlineStr">
        <is>
          <t>По адресу есть, но площадь другая</t>
        </is>
      </c>
      <c r="N412" t="inlineStr"/>
      <c r="O412" t="inlineStr"/>
      <c r="P412" t="inlineStr"/>
      <c r="Q412">
        <f>HYPERLINK("https://knru.ru/catalog/svetlanovskiy-pr-d-85-534048350/","ссылка")</f>
        <v/>
      </c>
      <c r="R412" t="inlineStr"/>
      <c r="S412" t="inlineStr"/>
    </row>
    <row r="413">
      <c r="A413" t="inlineStr">
        <is>
          <t>Калининский</t>
        </is>
      </c>
      <c r="B413" t="inlineStr">
        <is>
          <t>Светлановский пр-кт, 85</t>
        </is>
      </c>
      <c r="C413" t="inlineStr">
        <is>
          <t>sale</t>
        </is>
      </c>
      <c r="D413" t="inlineStr">
        <is>
          <t>Да</t>
        </is>
      </c>
      <c r="E413" t="inlineStr"/>
      <c r="F413" t="inlineStr"/>
      <c r="G413" t="inlineStr">
        <is>
          <t>326</t>
        </is>
      </c>
      <c r="H413" t="inlineStr"/>
      <c r="I413" t="inlineStr"/>
      <c r="J413" t="inlineStr">
        <is>
          <t>81 000 000</t>
        </is>
      </c>
      <c r="K413" t="inlineStr"/>
      <c r="L413" t="inlineStr"/>
      <c r="M413" t="inlineStr">
        <is>
          <t>По адресу есть, но площадь другая</t>
        </is>
      </c>
      <c r="N413" t="inlineStr"/>
      <c r="O413" t="inlineStr"/>
      <c r="P413" t="inlineStr"/>
      <c r="Q413">
        <f>HYPERLINK("https://knru.ru/catalog/svetlanovskiy-pr-d-85/","ссылка")</f>
        <v/>
      </c>
      <c r="R413" t="inlineStr"/>
      <c r="S413" t="inlineStr"/>
    </row>
    <row r="414">
      <c r="A414" t="inlineStr">
        <is>
          <t>Калининский</t>
        </is>
      </c>
      <c r="B414" t="inlineStr">
        <is>
          <t>Светлановский пр-кт, 85</t>
        </is>
      </c>
      <c r="C414" t="inlineStr">
        <is>
          <t>sale</t>
        </is>
      </c>
      <c r="D414" t="inlineStr">
        <is>
          <t>Да</t>
        </is>
      </c>
      <c r="E414" t="inlineStr"/>
      <c r="F414" t="inlineStr"/>
      <c r="G414" t="inlineStr">
        <is>
          <t>95.5</t>
        </is>
      </c>
      <c r="H414" t="inlineStr"/>
      <c r="I414" t="inlineStr"/>
      <c r="J414" t="inlineStr">
        <is>
          <t>22 000 000</t>
        </is>
      </c>
      <c r="K414" t="inlineStr"/>
      <c r="L414" t="inlineStr"/>
      <c r="M414" t="inlineStr">
        <is>
          <t>По адресу есть, но площадь другая</t>
        </is>
      </c>
      <c r="N414" t="inlineStr"/>
      <c r="O414" t="inlineStr"/>
      <c r="P414" t="inlineStr"/>
      <c r="Q414">
        <f>HYPERLINK("https://knru.ru/catalog/svetlanovskij-pr-d-85-551996/","ссылка")</f>
        <v/>
      </c>
      <c r="R414" t="inlineStr"/>
      <c r="S414" t="inlineStr"/>
    </row>
    <row r="415">
      <c r="A415" t="inlineStr">
        <is>
          <t>Калининский</t>
        </is>
      </c>
      <c r="B415" t="inlineStr">
        <is>
          <t>ул Академика Константинова, 1</t>
        </is>
      </c>
      <c r="C415" t="inlineStr">
        <is>
          <t>sale</t>
        </is>
      </c>
      <c r="D415" t="inlineStr">
        <is>
          <t>Да</t>
        </is>
      </c>
      <c r="E415" t="inlineStr"/>
      <c r="F415" t="inlineStr"/>
      <c r="G415" t="inlineStr">
        <is>
          <t>100</t>
        </is>
      </c>
      <c r="H415" t="inlineStr"/>
      <c r="I415" t="inlineStr"/>
      <c r="J415" t="inlineStr">
        <is>
          <t>32 073 600</t>
        </is>
      </c>
      <c r="K415" t="inlineStr"/>
      <c r="L415" t="inlineStr"/>
      <c r="M415" t="inlineStr">
        <is>
          <t>Совпало</t>
        </is>
      </c>
      <c r="N415" t="inlineStr"/>
      <c r="O415" t="inlineStr"/>
      <c r="P415" t="inlineStr"/>
      <c r="Q415">
        <f>HYPERLINK("https://knru.ru/catalog/ul-akademika-konstantinova-558635/","ссылка")</f>
        <v/>
      </c>
      <c r="R415" t="inlineStr"/>
      <c r="S415" t="inlineStr"/>
    </row>
    <row r="416">
      <c r="A416" t="inlineStr">
        <is>
          <t>Киевское ш.</t>
        </is>
      </c>
      <c r="B416" t="inlineStr">
        <is>
          <t>Киевское ш</t>
        </is>
      </c>
      <c r="C416" t="inlineStr">
        <is>
          <t>sale</t>
        </is>
      </c>
      <c r="D416" t="inlineStr">
        <is>
          <t>Да</t>
        </is>
      </c>
      <c r="E416" t="inlineStr"/>
      <c r="F416" t="inlineStr"/>
      <c r="G416" t="inlineStr">
        <is>
          <t>1481</t>
        </is>
      </c>
      <c r="H416" t="inlineStr"/>
      <c r="I416" t="inlineStr"/>
      <c r="J416" t="inlineStr">
        <is>
          <t>170 000 000</t>
        </is>
      </c>
      <c r="K416" t="inlineStr"/>
      <c r="L416" t="inlineStr"/>
      <c r="M416" t="inlineStr">
        <is>
          <t>Нет у нас</t>
        </is>
      </c>
      <c r="N416" t="inlineStr"/>
      <c r="O416" t="inlineStr"/>
      <c r="P416" t="inlineStr"/>
      <c r="Q416">
        <f>HYPERLINK("https://knru.ru/catalog/kievskoe-shosse/","ссылка")</f>
        <v/>
      </c>
      <c r="R416" t="inlineStr"/>
      <c r="S416" t="inlineStr"/>
    </row>
    <row r="417">
      <c r="A417" t="inlineStr">
        <is>
          <t>Киевское ш.</t>
        </is>
      </c>
      <c r="B417" t="inlineStr">
        <is>
          <t>Киевское ш, 235</t>
        </is>
      </c>
      <c r="C417" t="inlineStr">
        <is>
          <t>sale</t>
        </is>
      </c>
      <c r="D417" t="inlineStr">
        <is>
          <t>Да</t>
        </is>
      </c>
      <c r="E417" t="inlineStr"/>
      <c r="F417" t="inlineStr"/>
      <c r="G417" t="inlineStr">
        <is>
          <t>10715</t>
        </is>
      </c>
      <c r="H417" t="inlineStr"/>
      <c r="I417" t="inlineStr"/>
      <c r="J417" t="inlineStr">
        <is>
          <t>57 325 250</t>
        </is>
      </c>
      <c r="K417" t="inlineStr"/>
      <c r="L417" t="inlineStr"/>
      <c r="M417" t="inlineStr">
        <is>
          <t>Нет у нас</t>
        </is>
      </c>
      <c r="N417" t="inlineStr"/>
      <c r="O417" t="inlineStr"/>
      <c r="P417" t="inlineStr"/>
      <c r="Q417">
        <f>HYPERLINK("https://knru.ru/catalog/kievskoe-sh-235-558506/","ссылка")</f>
        <v/>
      </c>
      <c r="R417" t="inlineStr"/>
      <c r="S417" t="inlineStr"/>
    </row>
    <row r="418">
      <c r="A418" t="inlineStr">
        <is>
          <t>Киевское ш.</t>
        </is>
      </c>
      <c r="B418" t="inlineStr">
        <is>
          <t>Киевское ш, 235</t>
        </is>
      </c>
      <c r="C418" t="inlineStr">
        <is>
          <t>sale</t>
        </is>
      </c>
      <c r="D418" t="inlineStr">
        <is>
          <t>Да</t>
        </is>
      </c>
      <c r="E418" t="inlineStr"/>
      <c r="F418" t="inlineStr"/>
      <c r="G418" t="inlineStr">
        <is>
          <t>5714</t>
        </is>
      </c>
      <c r="H418" t="inlineStr"/>
      <c r="I418" t="inlineStr"/>
      <c r="J418" t="inlineStr">
        <is>
          <t>30 569 900</t>
        </is>
      </c>
      <c r="K418" t="inlineStr"/>
      <c r="L418" t="inlineStr"/>
      <c r="M418" t="inlineStr">
        <is>
          <t>Нет у нас</t>
        </is>
      </c>
      <c r="N418" t="inlineStr"/>
      <c r="O418" t="inlineStr"/>
      <c r="P418" t="inlineStr"/>
      <c r="Q418">
        <f>HYPERLINK("https://knru.ru/catalog/kievskoe-sh-235-557131/","ссылка")</f>
        <v/>
      </c>
      <c r="R418" t="inlineStr"/>
      <c r="S418" t="inlineStr"/>
    </row>
    <row r="419">
      <c r="A419" t="inlineStr">
        <is>
          <t>Киевское ш.</t>
        </is>
      </c>
      <c r="B419" t="inlineStr">
        <is>
          <t>Киевское ш, 235</t>
        </is>
      </c>
      <c r="C419" t="inlineStr">
        <is>
          <t>sale</t>
        </is>
      </c>
      <c r="D419" t="inlineStr">
        <is>
          <t>Да</t>
        </is>
      </c>
      <c r="E419" t="inlineStr"/>
      <c r="F419" t="inlineStr"/>
      <c r="G419" t="inlineStr">
        <is>
          <t>11855</t>
        </is>
      </c>
      <c r="H419" t="inlineStr"/>
      <c r="I419" t="inlineStr"/>
      <c r="J419" t="inlineStr">
        <is>
          <t>355 650 000</t>
        </is>
      </c>
      <c r="K419" t="inlineStr"/>
      <c r="L419" t="inlineStr"/>
      <c r="M419" t="inlineStr">
        <is>
          <t>Нет у нас</t>
        </is>
      </c>
      <c r="N419" t="inlineStr"/>
      <c r="O419" t="inlineStr"/>
      <c r="P419" t="inlineStr"/>
      <c r="Q419">
        <f>HYPERLINK("https://knru.ru/catalog/kievskoe-sh-235-557097/","ссылка")</f>
        <v/>
      </c>
      <c r="R419" t="inlineStr"/>
      <c r="S419" t="inlineStr"/>
    </row>
    <row r="420">
      <c r="A420" t="inlineStr">
        <is>
          <t>Киевское ш.</t>
        </is>
      </c>
      <c r="B420" t="inlineStr">
        <is>
          <t>Киевское ш, 235</t>
        </is>
      </c>
      <c r="C420" t="inlineStr">
        <is>
          <t>sale</t>
        </is>
      </c>
      <c r="D420" t="inlineStr">
        <is>
          <t>Да</t>
        </is>
      </c>
      <c r="E420" t="inlineStr"/>
      <c r="F420" t="inlineStr"/>
      <c r="G420" t="inlineStr">
        <is>
          <t>5001</t>
        </is>
      </c>
      <c r="H420" t="inlineStr"/>
      <c r="I420" t="inlineStr"/>
      <c r="J420" t="inlineStr">
        <is>
          <t>26 755 350</t>
        </is>
      </c>
      <c r="K420" t="inlineStr"/>
      <c r="L420" t="inlineStr"/>
      <c r="M420" t="inlineStr">
        <is>
          <t>Нет у нас</t>
        </is>
      </c>
      <c r="N420" t="inlineStr"/>
      <c r="O420" t="inlineStr"/>
      <c r="P420" t="inlineStr"/>
      <c r="Q420">
        <f>HYPERLINK("https://knru.ru/catalog/kievskoe-sh-235/","ссылка")</f>
        <v/>
      </c>
      <c r="R420" t="inlineStr"/>
      <c r="S420" t="inlineStr"/>
    </row>
    <row r="421">
      <c r="A421" t="inlineStr">
        <is>
          <t>Кировский</t>
        </is>
      </c>
      <c r="B421" t="inlineStr">
        <is>
          <t>Балтийская ул, 30 А</t>
        </is>
      </c>
      <c r="C421" t="inlineStr">
        <is>
          <t>sale</t>
        </is>
      </c>
      <c r="D421" t="inlineStr">
        <is>
          <t>Да</t>
        </is>
      </c>
      <c r="E421" t="inlineStr"/>
      <c r="F421" t="inlineStr"/>
      <c r="G421" t="inlineStr">
        <is>
          <t>266</t>
        </is>
      </c>
      <c r="H421" t="inlineStr"/>
      <c r="I421" t="inlineStr"/>
      <c r="J421" t="inlineStr">
        <is>
          <t>39 501 000</t>
        </is>
      </c>
      <c r="K421" t="inlineStr"/>
      <c r="L421" t="inlineStr"/>
      <c r="M421" t="inlineStr">
        <is>
          <t>По адресу есть, но площадь другая</t>
        </is>
      </c>
      <c r="N421" t="inlineStr"/>
      <c r="O421" t="inlineStr"/>
      <c r="P421" t="inlineStr"/>
      <c r="Q421">
        <f>HYPERLINK("https://knru.ru/catalog/baltijskaya-ul-d-30a/","ссылка")</f>
        <v/>
      </c>
      <c r="R421" t="inlineStr"/>
      <c r="S421" t="inlineStr"/>
    </row>
    <row r="422">
      <c r="A422" t="inlineStr">
        <is>
          <t>Кировский</t>
        </is>
      </c>
      <c r="B422" t="inlineStr">
        <is>
          <t>Ветеранов пр-кт, 101</t>
        </is>
      </c>
      <c r="C422" t="inlineStr">
        <is>
          <t>sale</t>
        </is>
      </c>
      <c r="D422" t="inlineStr">
        <is>
          <t>Да</t>
        </is>
      </c>
      <c r="E422" t="inlineStr"/>
      <c r="F422" t="inlineStr"/>
      <c r="G422" t="inlineStr">
        <is>
          <t>2659.6</t>
        </is>
      </c>
      <c r="H422" t="inlineStr"/>
      <c r="I422" t="inlineStr"/>
      <c r="J422" t="inlineStr">
        <is>
          <t>352 000 000</t>
        </is>
      </c>
      <c r="K422" t="inlineStr"/>
      <c r="L422" t="inlineStr"/>
      <c r="M422" t="inlineStr">
        <is>
          <t>По адресу есть, но площадь другая</t>
        </is>
      </c>
      <c r="N422" t="inlineStr"/>
      <c r="O422" t="inlineStr"/>
      <c r="P422" t="inlineStr"/>
      <c r="Q422">
        <f>HYPERLINK("https://knru.ru/catalog/pr-veteranov-d-101/","ссылка")</f>
        <v/>
      </c>
      <c r="R422" t="inlineStr"/>
      <c r="S422" t="inlineStr"/>
    </row>
    <row r="423">
      <c r="A423" t="inlineStr">
        <is>
          <t>Кировский</t>
        </is>
      </c>
      <c r="B423" t="inlineStr">
        <is>
          <t>Ветеранов пр-кт, 110 А</t>
        </is>
      </c>
      <c r="C423" t="inlineStr">
        <is>
          <t>sale</t>
        </is>
      </c>
      <c r="D423" t="inlineStr">
        <is>
          <t>Да</t>
        </is>
      </c>
      <c r="E423" t="inlineStr"/>
      <c r="F423" t="inlineStr"/>
      <c r="G423" t="inlineStr">
        <is>
          <t>277</t>
        </is>
      </c>
      <c r="H423" t="inlineStr"/>
      <c r="I423" t="inlineStr"/>
      <c r="J423" t="inlineStr">
        <is>
          <t>85 000 000</t>
        </is>
      </c>
      <c r="K423" t="inlineStr"/>
      <c r="L423" t="inlineStr"/>
      <c r="M423" t="inlineStr">
        <is>
          <t>Нет у нас</t>
        </is>
      </c>
      <c r="N423" t="inlineStr"/>
      <c r="O423" t="inlineStr"/>
      <c r="P423" t="inlineStr"/>
      <c r="Q423">
        <f>HYPERLINK("https://knru.ru/catalog/pr-veteranov-d-110/","ссылка")</f>
        <v/>
      </c>
      <c r="R423" t="inlineStr"/>
      <c r="S423" t="inlineStr"/>
    </row>
    <row r="424">
      <c r="A424" t="inlineStr">
        <is>
          <t>Кировский</t>
        </is>
      </c>
      <c r="B424" t="inlineStr">
        <is>
          <t>Ветеранов, 89</t>
        </is>
      </c>
      <c r="C424" t="inlineStr">
        <is>
          <t>sale</t>
        </is>
      </c>
      <c r="D424" t="inlineStr">
        <is>
          <t>Да</t>
        </is>
      </c>
      <c r="E424" t="inlineStr"/>
      <c r="F424" t="inlineStr"/>
      <c r="G424" t="inlineStr">
        <is>
          <t>7215</t>
        </is>
      </c>
      <c r="H424" t="inlineStr"/>
      <c r="I424" t="inlineStr"/>
      <c r="J424" t="inlineStr">
        <is>
          <t>900 000 000</t>
        </is>
      </c>
      <c r="K424" t="inlineStr"/>
      <c r="L424" t="inlineStr"/>
      <c r="M424" t="inlineStr">
        <is>
          <t>По адресу есть, но площадь другая</t>
        </is>
      </c>
      <c r="N424" t="inlineStr"/>
      <c r="O424" t="inlineStr"/>
      <c r="P424" t="inlineStr"/>
      <c r="Q424">
        <f>HYPERLINK("https://knru.ru/catalog/veteranov-pr-kt-d-89/","ссылка")</f>
        <v/>
      </c>
      <c r="R424" t="inlineStr"/>
      <c r="S424" t="inlineStr"/>
    </row>
    <row r="425">
      <c r="A425" t="inlineStr">
        <is>
          <t>Кировский</t>
        </is>
      </c>
      <c r="B425" t="inlineStr">
        <is>
          <t>Двинская ул, 6стр1</t>
        </is>
      </c>
      <c r="C425" t="inlineStr">
        <is>
          <t>sale</t>
        </is>
      </c>
      <c r="D425" t="inlineStr">
        <is>
          <t>Да</t>
        </is>
      </c>
      <c r="E425" t="inlineStr"/>
      <c r="F425" t="inlineStr"/>
      <c r="G425" t="inlineStr">
        <is>
          <t>104</t>
        </is>
      </c>
      <c r="H425" t="inlineStr"/>
      <c r="I425" t="inlineStr"/>
      <c r="J425" t="inlineStr">
        <is>
          <t>23 000 000</t>
        </is>
      </c>
      <c r="K425" t="inlineStr"/>
      <c r="L425" t="inlineStr"/>
      <c r="M425" t="inlineStr">
        <is>
          <t>Нет у нас</t>
        </is>
      </c>
      <c r="N425" t="inlineStr"/>
      <c r="O425" t="inlineStr"/>
      <c r="P425" t="inlineStr"/>
      <c r="Q425">
        <f>HYPERLINK("https://knru.ru/catalog/ul-dvinskaya-d-6/","ссылка")</f>
        <v/>
      </c>
      <c r="R425" t="inlineStr"/>
      <c r="S425" t="inlineStr"/>
    </row>
    <row r="426">
      <c r="A426" t="inlineStr">
        <is>
          <t>Кировский</t>
        </is>
      </c>
      <c r="B426" t="inlineStr">
        <is>
          <t>Зои Космодемьянской ул, 17/26</t>
        </is>
      </c>
      <c r="C426" t="inlineStr">
        <is>
          <t>sale</t>
        </is>
      </c>
      <c r="D426" t="inlineStr">
        <is>
          <t>Да</t>
        </is>
      </c>
      <c r="E426" t="inlineStr"/>
      <c r="F426" t="inlineStr"/>
      <c r="G426" t="inlineStr">
        <is>
          <t>96</t>
        </is>
      </c>
      <c r="H426" t="inlineStr"/>
      <c r="I426" t="inlineStr"/>
      <c r="J426" t="inlineStr">
        <is>
          <t>9 900 000</t>
        </is>
      </c>
      <c r="K426" t="inlineStr"/>
      <c r="L426" t="inlineStr"/>
      <c r="M426" t="inlineStr">
        <is>
          <t>Совпало</t>
        </is>
      </c>
      <c r="N426" t="inlineStr"/>
      <c r="O426" t="inlineStr"/>
      <c r="P426" t="inlineStr"/>
      <c r="Q426">
        <f>HYPERLINK("https://knru.ru/catalog/zoi-kosmodemyanskoy-ul-17-26/","ссылка")</f>
        <v/>
      </c>
      <c r="R426" t="inlineStr"/>
      <c r="S426" t="inlineStr"/>
    </row>
    <row r="427">
      <c r="A427" t="inlineStr">
        <is>
          <t>Кировский</t>
        </is>
      </c>
      <c r="B427" t="inlineStr">
        <is>
          <t>Краснопутиловская ул, 25</t>
        </is>
      </c>
      <c r="C427" t="inlineStr">
        <is>
          <t>sale</t>
        </is>
      </c>
      <c r="D427" t="inlineStr">
        <is>
          <t>Да</t>
        </is>
      </c>
      <c r="E427" t="inlineStr"/>
      <c r="F427" t="inlineStr"/>
      <c r="G427" t="inlineStr">
        <is>
          <t>127.5</t>
        </is>
      </c>
      <c r="H427" t="inlineStr"/>
      <c r="I427" t="inlineStr"/>
      <c r="J427" t="inlineStr">
        <is>
          <t>11 200 000</t>
        </is>
      </c>
      <c r="K427" t="inlineStr"/>
      <c r="L427" t="inlineStr"/>
      <c r="M427" t="inlineStr">
        <is>
          <t>Нет у нас</t>
        </is>
      </c>
      <c r="N427" t="inlineStr"/>
      <c r="O427" t="inlineStr"/>
      <c r="P427" t="inlineStr"/>
      <c r="Q427">
        <f>HYPERLINK("https://knru.ru/catalog/krasnoputilovskaya-ul-d-25/","ссылка")</f>
        <v/>
      </c>
      <c r="R427" t="inlineStr"/>
      <c r="S427" t="inlineStr"/>
    </row>
    <row r="428">
      <c r="A428" t="inlineStr">
        <is>
          <t>Кировский</t>
        </is>
      </c>
      <c r="B428" t="inlineStr">
        <is>
          <t>Краснопутиловская ул, 31</t>
        </is>
      </c>
      <c r="C428" t="inlineStr">
        <is>
          <t>sale</t>
        </is>
      </c>
      <c r="D428" t="inlineStr">
        <is>
          <t>Да</t>
        </is>
      </c>
      <c r="E428" t="inlineStr"/>
      <c r="F428" t="inlineStr"/>
      <c r="G428" t="inlineStr">
        <is>
          <t>976</t>
        </is>
      </c>
      <c r="H428" t="inlineStr"/>
      <c r="I428" t="inlineStr"/>
      <c r="J428" t="inlineStr">
        <is>
          <t>135 000 000</t>
        </is>
      </c>
      <c r="K428" t="inlineStr"/>
      <c r="L428" t="inlineStr"/>
      <c r="M428" t="inlineStr">
        <is>
          <t>Нет у нас</t>
        </is>
      </c>
      <c r="N428" t="inlineStr"/>
      <c r="O428" t="inlineStr"/>
      <c r="P428" t="inlineStr"/>
      <c r="Q428">
        <f>HYPERLINK("https://knru.ru/catalog/krasnoputilovskaya-ul-31/","ссылка")</f>
        <v/>
      </c>
      <c r="R428" t="inlineStr"/>
      <c r="S428" t="inlineStr"/>
    </row>
    <row r="429">
      <c r="A429" t="inlineStr">
        <is>
          <t>Кировский</t>
        </is>
      </c>
      <c r="B429" t="inlineStr">
        <is>
          <t>Маршала Казакова ул, 1к1 В</t>
        </is>
      </c>
      <c r="C429" t="inlineStr">
        <is>
          <t>sale</t>
        </is>
      </c>
      <c r="D429" t="inlineStr">
        <is>
          <t>Да</t>
        </is>
      </c>
      <c r="E429" t="inlineStr"/>
      <c r="F429" t="inlineStr"/>
      <c r="G429" t="inlineStr">
        <is>
          <t>565</t>
        </is>
      </c>
      <c r="H429" t="inlineStr"/>
      <c r="I429" t="inlineStr"/>
      <c r="J429" t="inlineStr">
        <is>
          <t>79 100 000</t>
        </is>
      </c>
      <c r="K429" t="inlineStr"/>
      <c r="L429" t="inlineStr"/>
      <c r="M429" t="inlineStr">
        <is>
          <t>Нет у нас</t>
        </is>
      </c>
      <c r="N429" t="inlineStr"/>
      <c r="O429" t="inlineStr"/>
      <c r="P429" t="inlineStr"/>
      <c r="Q429">
        <f>HYPERLINK("https://knru.ru/catalog/ul-marshala-kazakova-d-1/","ссылка")</f>
        <v/>
      </c>
      <c r="R429" t="inlineStr"/>
      <c r="S429" t="inlineStr"/>
    </row>
    <row r="430">
      <c r="A430" t="inlineStr">
        <is>
          <t>Кировский</t>
        </is>
      </c>
      <c r="B430" t="inlineStr">
        <is>
          <t>Морской Пехоты ул, 28</t>
        </is>
      </c>
      <c r="C430" t="inlineStr">
        <is>
          <t>sale</t>
        </is>
      </c>
      <c r="D430" t="inlineStr">
        <is>
          <t>Да</t>
        </is>
      </c>
      <c r="E430" t="inlineStr"/>
      <c r="F430" t="inlineStr"/>
      <c r="G430" t="inlineStr">
        <is>
          <t>350.7</t>
        </is>
      </c>
      <c r="H430" t="inlineStr"/>
      <c r="I430" t="inlineStr"/>
      <c r="J430" t="inlineStr">
        <is>
          <t>52 464 720</t>
        </is>
      </c>
      <c r="K430" t="inlineStr"/>
      <c r="L430" t="inlineStr"/>
      <c r="M430" t="inlineStr">
        <is>
          <t>Нет у нас</t>
        </is>
      </c>
      <c r="N430" t="inlineStr"/>
      <c r="O430" t="inlineStr"/>
      <c r="P430" t="inlineStr"/>
      <c r="Q430">
        <f>HYPERLINK("https://knru.ru/catalog/ul-morskoy-pekhoty-d-28/","ссылка")</f>
        <v/>
      </c>
      <c r="R430" t="inlineStr"/>
      <c r="S430" t="inlineStr"/>
    </row>
    <row r="431">
      <c r="A431" t="inlineStr">
        <is>
          <t>Кировский</t>
        </is>
      </c>
      <c r="B431" t="inlineStr">
        <is>
          <t>Нарвский пр-кт, 24 А</t>
        </is>
      </c>
      <c r="C431" t="inlineStr">
        <is>
          <t>sale</t>
        </is>
      </c>
      <c r="D431" t="inlineStr">
        <is>
          <t>Да</t>
        </is>
      </c>
      <c r="E431" t="inlineStr"/>
      <c r="F431" t="inlineStr"/>
      <c r="G431" t="inlineStr">
        <is>
          <t>305</t>
        </is>
      </c>
      <c r="H431" t="inlineStr"/>
      <c r="I431" t="inlineStr"/>
      <c r="J431" t="inlineStr">
        <is>
          <t>120 000 000</t>
        </is>
      </c>
      <c r="K431" t="inlineStr"/>
      <c r="L431" t="inlineStr"/>
      <c r="M431" t="inlineStr">
        <is>
          <t>По адресу есть, но площадь другая</t>
        </is>
      </c>
      <c r="N431" t="inlineStr"/>
      <c r="O431" t="inlineStr"/>
      <c r="P431" t="inlineStr"/>
      <c r="Q431">
        <f>HYPERLINK("https://knru.ru/catalog/narvskiy-pr-d-24/","ссылка")</f>
        <v/>
      </c>
      <c r="R431" t="inlineStr"/>
      <c r="S431" t="inlineStr"/>
    </row>
    <row r="432">
      <c r="A432" t="inlineStr">
        <is>
          <t>Кировский</t>
        </is>
      </c>
      <c r="B432" t="inlineStr">
        <is>
          <t>Невский пр-кт, 110 А</t>
        </is>
      </c>
      <c r="C432" t="inlineStr">
        <is>
          <t>sale</t>
        </is>
      </c>
      <c r="D432" t="inlineStr"/>
      <c r="E432" t="inlineStr">
        <is>
          <t>Да</t>
        </is>
      </c>
      <c r="F432" t="inlineStr"/>
      <c r="G432" t="inlineStr"/>
      <c r="H432" t="inlineStr">
        <is>
          <t>14200</t>
        </is>
      </c>
      <c r="I432" t="inlineStr"/>
      <c r="J432" t="inlineStr"/>
      <c r="K432" t="inlineStr">
        <is>
          <t>95 000 000</t>
        </is>
      </c>
      <c r="L432" t="inlineStr"/>
      <c r="M432" t="inlineStr"/>
      <c r="N432" t="inlineStr">
        <is>
          <t>Нет у нас</t>
        </is>
      </c>
      <c r="O432" t="inlineStr"/>
      <c r="P432" t="inlineStr"/>
      <c r="Q432" t="inlineStr"/>
      <c r="R432">
        <f>HYPERLINK("https://nordwestinvest.ru/real-estates/prodaza-zu-14-ga","ссылка")</f>
        <v/>
      </c>
      <c r="S432" t="inlineStr"/>
    </row>
    <row r="433">
      <c r="A433" t="inlineStr">
        <is>
          <t>Кировский</t>
        </is>
      </c>
      <c r="B433" t="inlineStr">
        <is>
          <t>Невский пр-кт, 110 А</t>
        </is>
      </c>
      <c r="C433" t="inlineStr">
        <is>
          <t>sale</t>
        </is>
      </c>
      <c r="D433" t="inlineStr"/>
      <c r="E433" t="inlineStr">
        <is>
          <t>Да</t>
        </is>
      </c>
      <c r="F433" t="inlineStr"/>
      <c r="G433" t="inlineStr"/>
      <c r="H433" t="inlineStr">
        <is>
          <t>1850</t>
        </is>
      </c>
      <c r="I433" t="inlineStr"/>
      <c r="J433" t="inlineStr"/>
      <c r="K433" t="inlineStr">
        <is>
          <t>95 000 000</t>
        </is>
      </c>
      <c r="L433" t="inlineStr"/>
      <c r="M433" t="inlineStr"/>
      <c r="N433" t="inlineStr">
        <is>
          <t>Нет у нас</t>
        </is>
      </c>
      <c r="O433" t="inlineStr"/>
      <c r="P433" t="inlineStr"/>
      <c r="Q433" t="inlineStr"/>
      <c r="R433">
        <f>HYPERLINK("https://nordwestinvest.ru/real-estates/prodaza-osz-s-zu-14-ga","ссылка")</f>
        <v/>
      </c>
      <c r="S433" t="inlineStr"/>
    </row>
    <row r="434">
      <c r="A434" t="inlineStr">
        <is>
          <t>Кировский</t>
        </is>
      </c>
      <c r="B434" t="inlineStr">
        <is>
          <t>Обводного канала наб, 24 А</t>
        </is>
      </c>
      <c r="C434" t="inlineStr">
        <is>
          <t>sale</t>
        </is>
      </c>
      <c r="D434" t="inlineStr">
        <is>
          <t>Да</t>
        </is>
      </c>
      <c r="E434" t="inlineStr"/>
      <c r="F434" t="inlineStr"/>
      <c r="G434" t="inlineStr">
        <is>
          <t>5773</t>
        </is>
      </c>
      <c r="H434" t="inlineStr"/>
      <c r="I434" t="inlineStr"/>
      <c r="J434" t="inlineStr">
        <is>
          <t>565 000 000</t>
        </is>
      </c>
      <c r="K434" t="inlineStr"/>
      <c r="L434" t="inlineStr"/>
      <c r="M434" t="inlineStr">
        <is>
          <t>По адресу есть, но площадь другая</t>
        </is>
      </c>
      <c r="N434" t="inlineStr"/>
      <c r="O434" t="inlineStr"/>
      <c r="P434" t="inlineStr"/>
      <c r="Q434">
        <f>HYPERLINK("https://knru.ru/catalog/obvodnogo-kanala-nab-24-a/","ссылка")</f>
        <v/>
      </c>
      <c r="R434" t="inlineStr"/>
      <c r="S434" t="inlineStr"/>
    </row>
    <row r="435">
      <c r="A435" t="inlineStr">
        <is>
          <t>Кировский</t>
        </is>
      </c>
      <c r="B435" t="inlineStr">
        <is>
          <t>Социалистическая ул, 24 А</t>
        </is>
      </c>
      <c r="C435" t="inlineStr">
        <is>
          <t>sale</t>
        </is>
      </c>
      <c r="D435" t="inlineStr"/>
      <c r="E435" t="inlineStr">
        <is>
          <t>Да</t>
        </is>
      </c>
      <c r="F435" t="inlineStr"/>
      <c r="G435" t="inlineStr"/>
      <c r="H435" t="inlineStr">
        <is>
          <t>97</t>
        </is>
      </c>
      <c r="I435" t="inlineStr"/>
      <c r="J435" t="inlineStr"/>
      <c r="K435" t="inlineStr">
        <is>
          <t>32 000 000</t>
        </is>
      </c>
      <c r="L435" t="inlineStr"/>
      <c r="M435" t="inlineStr"/>
      <c r="N435" t="inlineStr">
        <is>
          <t>По адресу есть, но площадь другая</t>
        </is>
      </c>
      <c r="O435" t="inlineStr"/>
      <c r="P435" t="inlineStr"/>
      <c r="Q435" t="inlineStr"/>
      <c r="R435">
        <f>HYPERLINK("https://nordwestinvest.ru/real-estates/prodaza-s-arendatorom-novyi-remont-metro-3","ссылка")</f>
        <v/>
      </c>
      <c r="S435" t="inlineStr"/>
    </row>
    <row r="436">
      <c r="A436" t="inlineStr">
        <is>
          <t>Кировский</t>
        </is>
      </c>
      <c r="B436" t="inlineStr">
        <is>
          <t>Стачек пр-кт, 170</t>
        </is>
      </c>
      <c r="C436" t="inlineStr">
        <is>
          <t>sale</t>
        </is>
      </c>
      <c r="D436" t="inlineStr">
        <is>
          <t>Да</t>
        </is>
      </c>
      <c r="E436" t="inlineStr"/>
      <c r="F436" t="inlineStr"/>
      <c r="G436" t="inlineStr">
        <is>
          <t>607</t>
        </is>
      </c>
      <c r="H436" t="inlineStr"/>
      <c r="I436" t="inlineStr"/>
      <c r="J436" t="inlineStr">
        <is>
          <t>125 000 000</t>
        </is>
      </c>
      <c r="K436" t="inlineStr"/>
      <c r="L436" t="inlineStr"/>
      <c r="M436" t="inlineStr">
        <is>
          <t>Совпало</t>
        </is>
      </c>
      <c r="N436" t="inlineStr"/>
      <c r="O436" t="inlineStr"/>
      <c r="P436" t="inlineStr"/>
      <c r="Q436">
        <f>HYPERLINK("https://knru.ru/catalog/pr-stachek-d-170/","ссылка")</f>
        <v/>
      </c>
      <c r="R436" t="inlineStr"/>
      <c r="S436" t="inlineStr"/>
    </row>
    <row r="437">
      <c r="A437" t="inlineStr">
        <is>
          <t>Кировский</t>
        </is>
      </c>
      <c r="B437" t="inlineStr">
        <is>
          <t>Стачек пр-кт, 28 А</t>
        </is>
      </c>
      <c r="C437" t="inlineStr">
        <is>
          <t>sale</t>
        </is>
      </c>
      <c r="D437" t="inlineStr">
        <is>
          <t>Да</t>
        </is>
      </c>
      <c r="E437" t="inlineStr"/>
      <c r="F437" t="inlineStr"/>
      <c r="G437" t="inlineStr">
        <is>
          <t>280</t>
        </is>
      </c>
      <c r="H437" t="inlineStr"/>
      <c r="I437" t="inlineStr"/>
      <c r="J437" t="inlineStr">
        <is>
          <t>60 000 000</t>
        </is>
      </c>
      <c r="K437" t="inlineStr"/>
      <c r="L437" t="inlineStr"/>
      <c r="M437" t="inlineStr">
        <is>
          <t>Нет у нас</t>
        </is>
      </c>
      <c r="N437" t="inlineStr"/>
      <c r="O437" t="inlineStr"/>
      <c r="P437" t="inlineStr"/>
      <c r="Q437">
        <f>HYPERLINK("https://knru.ru/catalog/pr-stachek-28/","ссылка")</f>
        <v/>
      </c>
      <c r="R437" t="inlineStr"/>
      <c r="S437" t="inlineStr"/>
    </row>
    <row r="438">
      <c r="A438" t="inlineStr">
        <is>
          <t>Кировский</t>
        </is>
      </c>
      <c r="B438" t="inlineStr">
        <is>
          <t>Стачек пр-кт, 41</t>
        </is>
      </c>
      <c r="C438" t="inlineStr">
        <is>
          <t>sale</t>
        </is>
      </c>
      <c r="D438" t="inlineStr"/>
      <c r="E438" t="inlineStr">
        <is>
          <t>Да</t>
        </is>
      </c>
      <c r="F438" t="inlineStr"/>
      <c r="G438" t="inlineStr"/>
      <c r="H438" t="inlineStr">
        <is>
          <t>124.2</t>
        </is>
      </c>
      <c r="I438" t="inlineStr"/>
      <c r="J438" t="inlineStr"/>
      <c r="K438" t="inlineStr">
        <is>
          <t>35 000 000</t>
        </is>
      </c>
      <c r="L438" t="inlineStr"/>
      <c r="M438" t="inlineStr"/>
      <c r="N438" t="inlineStr">
        <is>
          <t>Совпало</t>
        </is>
      </c>
      <c r="O438" t="inlineStr"/>
      <c r="P438" t="inlineStr"/>
      <c r="Q438" t="inlineStr"/>
      <c r="R438">
        <f>HYPERLINK("https://nordwestinvest.ru/real-estates/prodaza-pomeshheniia-s-vitrinami-na-trafike","ссылка")</f>
        <v/>
      </c>
      <c r="S438" t="inlineStr"/>
    </row>
    <row r="439">
      <c r="A439" t="inlineStr">
        <is>
          <t>Кировский</t>
        </is>
      </c>
      <c r="B439" t="inlineStr">
        <is>
          <t>Стачек пр-кт, 62</t>
        </is>
      </c>
      <c r="C439" t="inlineStr">
        <is>
          <t>sale</t>
        </is>
      </c>
      <c r="D439" t="inlineStr">
        <is>
          <t>Да</t>
        </is>
      </c>
      <c r="E439" t="inlineStr"/>
      <c r="F439" t="inlineStr"/>
      <c r="G439" t="inlineStr">
        <is>
          <t>45.1</t>
        </is>
      </c>
      <c r="H439" t="inlineStr"/>
      <c r="I439" t="inlineStr"/>
      <c r="J439" t="inlineStr">
        <is>
          <t>10 598 500</t>
        </is>
      </c>
      <c r="K439" t="inlineStr"/>
      <c r="L439" t="inlineStr"/>
      <c r="M439" t="inlineStr">
        <is>
          <t>Нет у нас</t>
        </is>
      </c>
      <c r="N439" t="inlineStr"/>
      <c r="O439" t="inlineStr"/>
      <c r="P439" t="inlineStr"/>
      <c r="Q439">
        <f>HYPERLINK("https://knru.ru/catalog/stachek-pr-kt-62/","ссылка")</f>
        <v/>
      </c>
      <c r="R439" t="inlineStr"/>
      <c r="S439" t="inlineStr"/>
    </row>
    <row r="440">
      <c r="A440" t="inlineStr">
        <is>
          <t>Кировский</t>
        </is>
      </c>
      <c r="B440" t="inlineStr">
        <is>
          <t>Стачек пр-кт, 75</t>
        </is>
      </c>
      <c r="C440" t="inlineStr">
        <is>
          <t>sale</t>
        </is>
      </c>
      <c r="D440" t="inlineStr"/>
      <c r="E440" t="inlineStr">
        <is>
          <t>Да</t>
        </is>
      </c>
      <c r="F440" t="inlineStr"/>
      <c r="G440" t="inlineStr"/>
      <c r="H440" t="inlineStr">
        <is>
          <t>34.3</t>
        </is>
      </c>
      <c r="I440" t="inlineStr"/>
      <c r="J440" t="inlineStr"/>
      <c r="K440" t="inlineStr">
        <is>
          <t>30 000 000</t>
        </is>
      </c>
      <c r="L440" t="inlineStr"/>
      <c r="M440" t="inlineStr"/>
      <c r="N440" t="inlineStr">
        <is>
          <t>Совпало</t>
        </is>
      </c>
      <c r="O440" t="inlineStr"/>
      <c r="P440" t="inlineStr"/>
      <c r="Q440" t="inlineStr"/>
      <c r="R440">
        <f>HYPERLINK("https://nordwestinvest.ru/real-estates/prodaza-pomeshheniia-s-arendatorom-produkty","ссылка")</f>
        <v/>
      </c>
      <c r="S440" t="inlineStr"/>
    </row>
    <row r="441">
      <c r="A441" t="inlineStr">
        <is>
          <t>Кировский</t>
        </is>
      </c>
      <c r="B441" t="inlineStr">
        <is>
          <t>Стачек, 59</t>
        </is>
      </c>
      <c r="C441" t="inlineStr">
        <is>
          <t>sale</t>
        </is>
      </c>
      <c r="D441" t="inlineStr">
        <is>
          <t>Да</t>
        </is>
      </c>
      <c r="E441" t="inlineStr"/>
      <c r="F441" t="inlineStr"/>
      <c r="G441" t="inlineStr">
        <is>
          <t>717</t>
        </is>
      </c>
      <c r="H441" t="inlineStr"/>
      <c r="I441" t="inlineStr"/>
      <c r="J441" t="inlineStr">
        <is>
          <t>158 500 000</t>
        </is>
      </c>
      <c r="K441" t="inlineStr"/>
      <c r="L441" t="inlineStr"/>
      <c r="M441" t="inlineStr">
        <is>
          <t>По адресу есть, но площадь другая</t>
        </is>
      </c>
      <c r="N441" t="inlineStr"/>
      <c r="O441" t="inlineStr"/>
      <c r="P441" t="inlineStr"/>
      <c r="Q441">
        <f>HYPERLINK("https://knru.ru/catalog/stachek-pr-kt-d-59/","ссылка")</f>
        <v/>
      </c>
      <c r="R441" t="inlineStr"/>
      <c r="S441" t="inlineStr"/>
    </row>
    <row r="442">
      <c r="A442" t="inlineStr">
        <is>
          <t>Кировский</t>
        </is>
      </c>
      <c r="B442" t="inlineStr">
        <is>
          <t>Урхов пер, 3 А</t>
        </is>
      </c>
      <c r="C442" t="inlineStr">
        <is>
          <t>sale</t>
        </is>
      </c>
      <c r="D442" t="inlineStr">
        <is>
          <t>Да</t>
        </is>
      </c>
      <c r="E442" t="inlineStr"/>
      <c r="F442" t="inlineStr"/>
      <c r="G442" t="inlineStr">
        <is>
          <t>3797</t>
        </is>
      </c>
      <c r="H442" t="inlineStr"/>
      <c r="I442" t="inlineStr"/>
      <c r="J442" t="inlineStr">
        <is>
          <t>250 000 000</t>
        </is>
      </c>
      <c r="K442" t="inlineStr"/>
      <c r="L442" t="inlineStr"/>
      <c r="M442" t="inlineStr">
        <is>
          <t>Нет у нас</t>
        </is>
      </c>
      <c r="N442" t="inlineStr"/>
      <c r="O442" t="inlineStr"/>
      <c r="P442" t="inlineStr"/>
      <c r="Q442">
        <f>HYPERLINK("https://knru.ru/catalog/urkhov-per-d-3/","ссылка")</f>
        <v/>
      </c>
      <c r="R442" t="inlineStr"/>
      <c r="S442" t="inlineStr"/>
    </row>
    <row r="443">
      <c r="A443" t="inlineStr">
        <is>
          <t>Кировский</t>
        </is>
      </c>
      <c r="B443" t="inlineStr">
        <is>
          <t>Швецова ул, 30 А</t>
        </is>
      </c>
      <c r="C443" t="inlineStr">
        <is>
          <t>sale</t>
        </is>
      </c>
      <c r="D443" t="inlineStr">
        <is>
          <t>Да</t>
        </is>
      </c>
      <c r="E443" t="inlineStr"/>
      <c r="F443" t="inlineStr"/>
      <c r="G443" t="inlineStr">
        <is>
          <t>893</t>
        </is>
      </c>
      <c r="H443" t="inlineStr"/>
      <c r="I443" t="inlineStr"/>
      <c r="J443" t="inlineStr">
        <is>
          <t>60 000 000</t>
        </is>
      </c>
      <c r="K443" t="inlineStr"/>
      <c r="L443" t="inlineStr"/>
      <c r="M443" t="inlineStr">
        <is>
          <t>По адресу есть, но площадь другая</t>
        </is>
      </c>
      <c r="N443" t="inlineStr"/>
      <c r="O443" t="inlineStr"/>
      <c r="P443" t="inlineStr"/>
      <c r="Q443">
        <f>HYPERLINK("https://knru.ru/catalog/shvetsova-ul-30-a/","ссылка")</f>
        <v/>
      </c>
      <c r="R443" t="inlineStr"/>
      <c r="S443" t="inlineStr"/>
    </row>
    <row r="444">
      <c r="A444" t="inlineStr">
        <is>
          <t>Колпинский</t>
        </is>
      </c>
      <c r="B444" t="inlineStr">
        <is>
          <t>Красное Село г, Ленина пр-кт, 77к1</t>
        </is>
      </c>
      <c r="C444" t="inlineStr">
        <is>
          <t>sale</t>
        </is>
      </c>
      <c r="D444" t="inlineStr"/>
      <c r="E444" t="inlineStr">
        <is>
          <t>Да</t>
        </is>
      </c>
      <c r="F444" t="inlineStr"/>
      <c r="G444" t="inlineStr"/>
      <c r="H444" t="inlineStr">
        <is>
          <t>60</t>
        </is>
      </c>
      <c r="I444" t="inlineStr"/>
      <c r="J444" t="inlineStr"/>
      <c r="K444" t="inlineStr">
        <is>
          <t>11 400 000</t>
        </is>
      </c>
      <c r="L444" t="inlineStr"/>
      <c r="M444" t="inlineStr"/>
      <c r="N444" t="inlineStr">
        <is>
          <t>Нет у нас</t>
        </is>
      </c>
      <c r="O444" t="inlineStr"/>
      <c r="P444" t="inlineStr"/>
      <c r="Q444" t="inlineStr"/>
      <c r="R444">
        <f>HYPERLINK("https://nordwestinvest.ru/real-estates/prodaza-v-tc-arendator-optika-7-let-okupaemosti","ссылка")</f>
        <v/>
      </c>
      <c r="S444" t="inlineStr"/>
    </row>
    <row r="445">
      <c r="A445" t="inlineStr">
        <is>
          <t>Колпинский</t>
        </is>
      </c>
      <c r="B445" t="inlineStr">
        <is>
          <t>Ленина пр-кт, 58</t>
        </is>
      </c>
      <c r="C445" t="inlineStr">
        <is>
          <t>sale</t>
        </is>
      </c>
      <c r="D445" t="inlineStr"/>
      <c r="E445" t="inlineStr">
        <is>
          <t>Да</t>
        </is>
      </c>
      <c r="F445" t="inlineStr"/>
      <c r="G445" t="inlineStr"/>
      <c r="H445" t="inlineStr">
        <is>
          <t>555</t>
        </is>
      </c>
      <c r="I445" t="inlineStr"/>
      <c r="J445" t="inlineStr"/>
      <c r="K445" t="inlineStr">
        <is>
          <t>75 000 000</t>
        </is>
      </c>
      <c r="L445" t="inlineStr"/>
      <c r="M445" t="inlineStr"/>
      <c r="N445" t="inlineStr">
        <is>
          <t>Нет у нас</t>
        </is>
      </c>
      <c r="O445" t="inlineStr"/>
      <c r="P445" t="inlineStr"/>
      <c r="Q445" t="inlineStr"/>
      <c r="R445">
        <f>HYPERLINK("https://nordwestinvest.ru/real-estates/prodaza-gab-s-magnitomzu","ссылка")</f>
        <v/>
      </c>
      <c r="S445" t="inlineStr"/>
    </row>
    <row r="446">
      <c r="A446" t="inlineStr">
        <is>
          <t>Колпинский</t>
        </is>
      </c>
      <c r="B446" t="inlineStr">
        <is>
          <t>Ленина пр-кт, 60</t>
        </is>
      </c>
      <c r="C446" t="inlineStr">
        <is>
          <t>sale</t>
        </is>
      </c>
      <c r="D446" t="inlineStr">
        <is>
          <t>Да</t>
        </is>
      </c>
      <c r="E446" t="inlineStr"/>
      <c r="F446" t="inlineStr"/>
      <c r="G446" t="inlineStr">
        <is>
          <t>64.2</t>
        </is>
      </c>
      <c r="H446" t="inlineStr"/>
      <c r="I446" t="inlineStr"/>
      <c r="J446" t="inlineStr">
        <is>
          <t>13 323 105</t>
        </is>
      </c>
      <c r="K446" t="inlineStr"/>
      <c r="L446" t="inlineStr"/>
      <c r="M446" t="inlineStr">
        <is>
          <t>Нет у нас</t>
        </is>
      </c>
      <c r="N446" t="inlineStr"/>
      <c r="O446" t="inlineStr"/>
      <c r="P446" t="inlineStr"/>
      <c r="Q446">
        <f>HYPERLINK("https://knru.ru/catalog/kolpino-pr-lenina-d-60/","ссылка")</f>
        <v/>
      </c>
      <c r="R446" t="inlineStr"/>
      <c r="S446" t="inlineStr"/>
    </row>
    <row r="447">
      <c r="A447" t="inlineStr">
        <is>
          <t>Колпинский</t>
        </is>
      </c>
      <c r="B447" t="inlineStr">
        <is>
          <t>Ленина ул, 14</t>
        </is>
      </c>
      <c r="C447" t="inlineStr">
        <is>
          <t>sale</t>
        </is>
      </c>
      <c r="D447" t="inlineStr"/>
      <c r="E447" t="inlineStr">
        <is>
          <t>Да</t>
        </is>
      </c>
      <c r="F447" t="inlineStr"/>
      <c r="G447" t="inlineStr"/>
      <c r="H447" t="inlineStr">
        <is>
          <t>270</t>
        </is>
      </c>
      <c r="I447" t="inlineStr"/>
      <c r="J447" t="inlineStr"/>
      <c r="K447" t="inlineStr">
        <is>
          <t>67 000 000</t>
        </is>
      </c>
      <c r="L447" t="inlineStr"/>
      <c r="M447" t="inlineStr"/>
      <c r="N447" t="inlineStr">
        <is>
          <t>У нас аренда, у конкурента продажа</t>
        </is>
      </c>
      <c r="O447" t="inlineStr"/>
      <c r="P447" t="inlineStr"/>
      <c r="Q447" t="inlineStr"/>
      <c r="R447">
        <f>HYPERLINK("https://nordwestinvest.ru/real-estates/psn-270-na-petroge","ссылка")</f>
        <v/>
      </c>
      <c r="S447" t="inlineStr"/>
    </row>
    <row r="448">
      <c r="A448" t="inlineStr">
        <is>
          <t>Колпинский</t>
        </is>
      </c>
      <c r="B448" t="inlineStr">
        <is>
          <t>Ленинградская обл, Выборг г, Ленина пр-кт, 10</t>
        </is>
      </c>
      <c r="C448" t="inlineStr">
        <is>
          <t>sale</t>
        </is>
      </c>
      <c r="D448" t="inlineStr"/>
      <c r="E448" t="inlineStr">
        <is>
          <t>Да</t>
        </is>
      </c>
      <c r="F448" t="inlineStr"/>
      <c r="G448" t="inlineStr"/>
      <c r="H448" t="inlineStr">
        <is>
          <t>478</t>
        </is>
      </c>
      <c r="I448" t="inlineStr"/>
      <c r="J448" t="inlineStr"/>
      <c r="K448" t="inlineStr">
        <is>
          <t>65 000 000</t>
        </is>
      </c>
      <c r="L448" t="inlineStr"/>
      <c r="M448" t="inlineStr"/>
      <c r="N448" t="inlineStr">
        <is>
          <t>Нет у нас</t>
        </is>
      </c>
      <c r="O448" t="inlineStr"/>
      <c r="P448" t="inlineStr"/>
      <c r="Q448" t="inlineStr"/>
      <c r="R448">
        <f>HYPERLINK("https://nordwestinvest.ru/real-estates/investproekt-pod-apartamenty-v-centre-vyborga-1","ссылка")</f>
        <v/>
      </c>
      <c r="S448" t="inlineStr"/>
    </row>
    <row r="449">
      <c r="A449" t="inlineStr">
        <is>
          <t>Колпинский</t>
        </is>
      </c>
      <c r="B449" t="inlineStr">
        <is>
          <t>Ленинградская обл, Первомайское п, Ленина ул, 19</t>
        </is>
      </c>
      <c r="C449" t="inlineStr">
        <is>
          <t>sale</t>
        </is>
      </c>
      <c r="D449" t="inlineStr"/>
      <c r="E449" t="inlineStr">
        <is>
          <t>Да</t>
        </is>
      </c>
      <c r="F449" t="inlineStr"/>
      <c r="G449" t="inlineStr"/>
      <c r="H449" t="inlineStr">
        <is>
          <t>5000</t>
        </is>
      </c>
      <c r="I449" t="inlineStr"/>
      <c r="J449" t="inlineStr"/>
      <c r="K449" t="inlineStr">
        <is>
          <t>40 000 000</t>
        </is>
      </c>
      <c r="L449" t="inlineStr"/>
      <c r="M449" t="inlineStr"/>
      <c r="N449" t="inlineStr">
        <is>
          <t>Нет у нас</t>
        </is>
      </c>
      <c r="O449" t="inlineStr"/>
      <c r="P449" t="inlineStr"/>
      <c r="Q449" t="inlineStr"/>
      <c r="R449">
        <f>HYPERLINK("https://nordwestinvest.ru/real-estates/prodaza-zemelnogo-ucastka-50-sot","ссылка")</f>
        <v/>
      </c>
      <c r="S449" t="inlineStr"/>
    </row>
    <row r="450">
      <c r="A450" t="inlineStr">
        <is>
          <t>Колпинский</t>
        </is>
      </c>
      <c r="B450" t="inlineStr">
        <is>
          <t>Металлострой промзона тер</t>
        </is>
      </c>
      <c r="C450" t="inlineStr">
        <is>
          <t>sale</t>
        </is>
      </c>
      <c r="D450" t="inlineStr">
        <is>
          <t>Да</t>
        </is>
      </c>
      <c r="E450" t="inlineStr"/>
      <c r="F450" t="inlineStr"/>
      <c r="G450" t="inlineStr">
        <is>
          <t>78483</t>
        </is>
      </c>
      <c r="H450" t="inlineStr"/>
      <c r="I450" t="inlineStr"/>
      <c r="J450" t="inlineStr">
        <is>
          <t>420 000 000</t>
        </is>
      </c>
      <c r="K450" t="inlineStr"/>
      <c r="L450" t="inlineStr"/>
      <c r="M450" t="inlineStr">
        <is>
          <t>Нет у нас</t>
        </is>
      </c>
      <c r="N450" t="inlineStr"/>
      <c r="O450" t="inlineStr"/>
      <c r="P450" t="inlineStr"/>
      <c r="Q450">
        <f>HYPERLINK("https://knru.ru/catalog/metallostroy-promzona-ter/","ссылка")</f>
        <v/>
      </c>
      <c r="R450" t="inlineStr"/>
      <c r="S450" t="inlineStr"/>
    </row>
    <row r="451">
      <c r="A451" t="inlineStr">
        <is>
          <t>Колпинский</t>
        </is>
      </c>
      <c r="B451" t="inlineStr">
        <is>
          <t>Рубежное ш, 12</t>
        </is>
      </c>
      <c r="C451" t="inlineStr">
        <is>
          <t>sale</t>
        </is>
      </c>
      <c r="D451" t="inlineStr">
        <is>
          <t>Да</t>
        </is>
      </c>
      <c r="E451" t="inlineStr"/>
      <c r="F451" t="inlineStr"/>
      <c r="G451" t="inlineStr">
        <is>
          <t>68.5</t>
        </is>
      </c>
      <c r="H451" t="inlineStr"/>
      <c r="I451" t="inlineStr"/>
      <c r="J451" t="inlineStr">
        <is>
          <t>11 727 200</t>
        </is>
      </c>
      <c r="K451" t="inlineStr"/>
      <c r="L451" t="inlineStr"/>
      <c r="M451" t="inlineStr">
        <is>
          <t>Нет у нас</t>
        </is>
      </c>
      <c r="N451" t="inlineStr"/>
      <c r="O451" t="inlineStr"/>
      <c r="P451" t="inlineStr"/>
      <c r="Q451">
        <f>HYPERLINK("https://knru.ru/catalog/kolpino-rubezhnoe-sh-d-12/","ссылка")</f>
        <v/>
      </c>
      <c r="R451" t="inlineStr"/>
      <c r="S451" t="inlineStr"/>
    </row>
    <row r="452">
      <c r="A452" t="inlineStr">
        <is>
          <t>Колпинский</t>
        </is>
      </c>
      <c r="B452" t="inlineStr">
        <is>
          <t>Сергиево тер, Ленина пр-кт, 39</t>
        </is>
      </c>
      <c r="C452" t="inlineStr">
        <is>
          <t>sale</t>
        </is>
      </c>
      <c r="D452" t="inlineStr">
        <is>
          <t>Да</t>
        </is>
      </c>
      <c r="E452" t="inlineStr"/>
      <c r="F452" t="inlineStr"/>
      <c r="G452" t="inlineStr">
        <is>
          <t>605</t>
        </is>
      </c>
      <c r="H452" t="inlineStr"/>
      <c r="I452" t="inlineStr"/>
      <c r="J452" t="inlineStr">
        <is>
          <t>159 000 000</t>
        </is>
      </c>
      <c r="K452" t="inlineStr"/>
      <c r="L452" t="inlineStr"/>
      <c r="M452" t="inlineStr">
        <is>
          <t>Нет у нас</t>
        </is>
      </c>
      <c r="N452" t="inlineStr"/>
      <c r="O452" t="inlineStr"/>
      <c r="P452" t="inlineStr"/>
      <c r="Q452">
        <f>HYPERLINK("https://knru.ru/catalog/sergievo-pr-lenina-d-39/","ссылка")</f>
        <v/>
      </c>
      <c r="R452" t="inlineStr"/>
      <c r="S452" t="inlineStr"/>
    </row>
    <row r="453">
      <c r="A453" t="inlineStr">
        <is>
          <t>Корчмино</t>
        </is>
      </c>
      <c r="B453" t="inlineStr">
        <is>
          <t>Южная ул, 5с</t>
        </is>
      </c>
      <c r="C453" t="inlineStr">
        <is>
          <t>sale</t>
        </is>
      </c>
      <c r="D453" t="inlineStr">
        <is>
          <t>Да</t>
        </is>
      </c>
      <c r="E453" t="inlineStr"/>
      <c r="F453" t="inlineStr"/>
      <c r="G453" t="inlineStr">
        <is>
          <t>1500</t>
        </is>
      </c>
      <c r="H453" t="inlineStr"/>
      <c r="I453" t="inlineStr"/>
      <c r="J453" t="inlineStr">
        <is>
          <t>174 400 000</t>
        </is>
      </c>
      <c r="K453" t="inlineStr"/>
      <c r="L453" t="inlineStr"/>
      <c r="M453" t="inlineStr">
        <is>
          <t>Нет у нас</t>
        </is>
      </c>
      <c r="N453" t="inlineStr"/>
      <c r="O453" t="inlineStr"/>
      <c r="P453" t="inlineStr"/>
      <c r="Q453">
        <f>HYPERLINK("https://knru.ru/catalog/yuzhnaya-ul-5s/","ссылка")</f>
        <v/>
      </c>
      <c r="R453" t="inlineStr"/>
      <c r="S453" t="inlineStr"/>
    </row>
    <row r="454">
      <c r="A454" t="inlineStr">
        <is>
          <t>Красногвардейский</t>
        </is>
      </c>
      <c r="B454" t="inlineStr">
        <is>
          <t>1-я Жерновская ул, 29 А</t>
        </is>
      </c>
      <c r="C454" t="inlineStr">
        <is>
          <t>sale</t>
        </is>
      </c>
      <c r="D454" t="inlineStr">
        <is>
          <t>Да</t>
        </is>
      </c>
      <c r="E454" t="inlineStr"/>
      <c r="F454" t="inlineStr"/>
      <c r="G454" t="inlineStr">
        <is>
          <t>1340</t>
        </is>
      </c>
      <c r="H454" t="inlineStr"/>
      <c r="I454" t="inlineStr"/>
      <c r="J454" t="inlineStr">
        <is>
          <t>106 000 000</t>
        </is>
      </c>
      <c r="K454" t="inlineStr"/>
      <c r="L454" t="inlineStr"/>
      <c r="M454" t="inlineStr">
        <is>
          <t>Нет у нас</t>
        </is>
      </c>
      <c r="N454" t="inlineStr"/>
      <c r="O454" t="inlineStr"/>
      <c r="P454" t="inlineStr"/>
      <c r="Q454">
        <f>HYPERLINK("https://knru.ru/catalog/1-ya-zhernovskaya-ul-29-a/","ссылка")</f>
        <v/>
      </c>
      <c r="R454" t="inlineStr"/>
      <c r="S454" t="inlineStr"/>
    </row>
    <row r="455">
      <c r="A455" t="inlineStr">
        <is>
          <t>Красногвардейский</t>
        </is>
      </c>
      <c r="B455" t="inlineStr">
        <is>
          <t>2-я Жерновская ул, 27 А</t>
        </is>
      </c>
      <c r="C455" t="inlineStr">
        <is>
          <t>sale</t>
        </is>
      </c>
      <c r="D455" t="inlineStr"/>
      <c r="E455" t="inlineStr">
        <is>
          <t>Да</t>
        </is>
      </c>
      <c r="F455" t="inlineStr"/>
      <c r="G455" t="inlineStr"/>
      <c r="H455" t="inlineStr">
        <is>
          <t>851</t>
        </is>
      </c>
      <c r="I455" t="inlineStr"/>
      <c r="J455" t="inlineStr"/>
      <c r="K455" t="inlineStr">
        <is>
          <t>40 000 000</t>
        </is>
      </c>
      <c r="L455" t="inlineStr"/>
      <c r="M455" t="inlineStr"/>
      <c r="N455" t="inlineStr">
        <is>
          <t>Нет у нас</t>
        </is>
      </c>
      <c r="O455" t="inlineStr"/>
      <c r="P455" t="inlineStr"/>
      <c r="Q455" t="inlineStr"/>
      <c r="R455">
        <f>HYPERLINK("https://nordwestinvest.ru/real-estates/prodaza-zdaniia-s-zemelnym-ucastkom","ссылка")</f>
        <v/>
      </c>
      <c r="S455" t="inlineStr"/>
    </row>
    <row r="456">
      <c r="A456" t="inlineStr">
        <is>
          <t>Красногвардейский</t>
        </is>
      </c>
      <c r="B456" t="inlineStr">
        <is>
          <t>6-я Жерновская ул, 17</t>
        </is>
      </c>
      <c r="C456" t="inlineStr">
        <is>
          <t>sale</t>
        </is>
      </c>
      <c r="D456" t="inlineStr">
        <is>
          <t>Да</t>
        </is>
      </c>
      <c r="E456" t="inlineStr"/>
      <c r="F456" t="inlineStr"/>
      <c r="G456" t="inlineStr">
        <is>
          <t>115</t>
        </is>
      </c>
      <c r="H456" t="inlineStr"/>
      <c r="I456" t="inlineStr"/>
      <c r="J456" t="inlineStr">
        <is>
          <t>16 500 000</t>
        </is>
      </c>
      <c r="K456" t="inlineStr"/>
      <c r="L456" t="inlineStr"/>
      <c r="M456" t="inlineStr">
        <is>
          <t>Нет у нас</t>
        </is>
      </c>
      <c r="N456" t="inlineStr"/>
      <c r="O456" t="inlineStr"/>
      <c r="P456" t="inlineStr"/>
      <c r="Q456">
        <f>HYPERLINK("https://knru.ru/catalog/6-ya-zhernovskaya-ul-17/","ссылка")</f>
        <v/>
      </c>
      <c r="R456" t="inlineStr"/>
      <c r="S456" t="inlineStr"/>
    </row>
    <row r="457">
      <c r="A457" t="inlineStr">
        <is>
          <t>Красногвардейский</t>
        </is>
      </c>
      <c r="B457" t="inlineStr">
        <is>
          <t>Академика Константинова ул, 1к1</t>
        </is>
      </c>
      <c r="C457" t="inlineStr">
        <is>
          <t>sale</t>
        </is>
      </c>
      <c r="D457" t="inlineStr">
        <is>
          <t>Да</t>
        </is>
      </c>
      <c r="E457" t="inlineStr"/>
      <c r="F457" t="inlineStr"/>
      <c r="G457" t="inlineStr">
        <is>
          <t>96</t>
        </is>
      </c>
      <c r="H457" t="inlineStr"/>
      <c r="I457" t="inlineStr"/>
      <c r="J457" t="inlineStr">
        <is>
          <t>30 745 600</t>
        </is>
      </c>
      <c r="K457" t="inlineStr"/>
      <c r="L457" t="inlineStr"/>
      <c r="M457" t="inlineStr">
        <is>
          <t>Совпало</t>
        </is>
      </c>
      <c r="N457" t="inlineStr"/>
      <c r="O457" t="inlineStr"/>
      <c r="P457" t="inlineStr"/>
      <c r="Q457">
        <f>HYPERLINK("https://knru.ru/catalog/ul-akademika-konstantinova-559218/","ссылка")</f>
        <v/>
      </c>
      <c r="R457" t="inlineStr"/>
      <c r="S457" t="inlineStr"/>
    </row>
    <row r="458">
      <c r="A458" t="inlineStr">
        <is>
          <t>Красногвардейский</t>
        </is>
      </c>
      <c r="B458" t="inlineStr">
        <is>
          <t>Гранитная ул.</t>
        </is>
      </c>
      <c r="C458" t="inlineStr">
        <is>
          <t>sale</t>
        </is>
      </c>
      <c r="D458" t="inlineStr">
        <is>
          <t>Да</t>
        </is>
      </c>
      <c r="E458" t="inlineStr"/>
      <c r="F458" t="inlineStr"/>
      <c r="G458" t="inlineStr">
        <is>
          <t>319.6</t>
        </is>
      </c>
      <c r="H458" t="inlineStr"/>
      <c r="I458" t="inlineStr"/>
      <c r="J458" t="inlineStr">
        <is>
          <t>95 889 000</t>
        </is>
      </c>
      <c r="K458" t="inlineStr"/>
      <c r="L458" t="inlineStr"/>
      <c r="M458" t="inlineStr">
        <is>
          <t>Нет у нас</t>
        </is>
      </c>
      <c r="N458" t="inlineStr"/>
      <c r="O458" t="inlineStr"/>
      <c r="P458" t="inlineStr"/>
      <c r="Q458">
        <f>HYPERLINK("https://knru.ru/catalog/granitnaya-ul-1426441123/","ссылка")</f>
        <v/>
      </c>
      <c r="R458" t="inlineStr"/>
      <c r="S458" t="inlineStr"/>
    </row>
    <row r="459">
      <c r="A459" t="inlineStr">
        <is>
          <t>Красногвардейский</t>
        </is>
      </c>
      <c r="B459" t="inlineStr">
        <is>
          <t>Гранитная ул.</t>
        </is>
      </c>
      <c r="C459" t="inlineStr">
        <is>
          <t>sale</t>
        </is>
      </c>
      <c r="D459" t="inlineStr">
        <is>
          <t>Да</t>
        </is>
      </c>
      <c r="E459" t="inlineStr"/>
      <c r="F459" t="inlineStr"/>
      <c r="G459" t="inlineStr">
        <is>
          <t>37.1</t>
        </is>
      </c>
      <c r="H459" t="inlineStr"/>
      <c r="I459" t="inlineStr"/>
      <c r="J459" t="inlineStr">
        <is>
          <t>13 619 550</t>
        </is>
      </c>
      <c r="K459" t="inlineStr"/>
      <c r="L459" t="inlineStr"/>
      <c r="M459" t="inlineStr">
        <is>
          <t>Нет у нас</t>
        </is>
      </c>
      <c r="N459" t="inlineStr"/>
      <c r="O459" t="inlineStr"/>
      <c r="P459" t="inlineStr"/>
      <c r="Q459">
        <f>HYPERLINK("https://knru.ru/catalog/granitnaya-ul-1783901361/","ссылка")</f>
        <v/>
      </c>
      <c r="R459" t="inlineStr"/>
      <c r="S459" t="inlineStr"/>
    </row>
    <row r="460">
      <c r="A460" t="inlineStr">
        <is>
          <t>Красногвардейский</t>
        </is>
      </c>
      <c r="B460" t="inlineStr">
        <is>
          <t>Гранитная ул.</t>
        </is>
      </c>
      <c r="C460" t="inlineStr">
        <is>
          <t>sale</t>
        </is>
      </c>
      <c r="D460" t="inlineStr">
        <is>
          <t>Да</t>
        </is>
      </c>
      <c r="E460" t="inlineStr"/>
      <c r="F460" t="inlineStr"/>
      <c r="G460" t="inlineStr">
        <is>
          <t>54.9</t>
        </is>
      </c>
      <c r="H460" t="inlineStr"/>
      <c r="I460" t="inlineStr"/>
      <c r="J460" t="inlineStr">
        <is>
          <t>13 176 000</t>
        </is>
      </c>
      <c r="K460" t="inlineStr"/>
      <c r="L460" t="inlineStr"/>
      <c r="M460" t="inlineStr">
        <is>
          <t>Нет у нас</t>
        </is>
      </c>
      <c r="N460" t="inlineStr"/>
      <c r="O460" t="inlineStr"/>
      <c r="P460" t="inlineStr"/>
      <c r="Q460">
        <f>HYPERLINK("https://knru.ru/catalog/granitnaya-ul-944060404/","ссылка")</f>
        <v/>
      </c>
      <c r="R460" t="inlineStr"/>
      <c r="S460" t="inlineStr"/>
    </row>
    <row r="461">
      <c r="A461" t="inlineStr">
        <is>
          <t>Красногвардейский</t>
        </is>
      </c>
      <c r="B461" t="inlineStr">
        <is>
          <t>Гранитная ул.</t>
        </is>
      </c>
      <c r="C461" t="inlineStr">
        <is>
          <t>sale</t>
        </is>
      </c>
      <c r="D461" t="inlineStr">
        <is>
          <t>Да</t>
        </is>
      </c>
      <c r="E461" t="inlineStr"/>
      <c r="F461" t="inlineStr"/>
      <c r="G461" t="inlineStr">
        <is>
          <t>46.9</t>
        </is>
      </c>
      <c r="H461" t="inlineStr"/>
      <c r="I461" t="inlineStr"/>
      <c r="J461" t="inlineStr">
        <is>
          <t>11 256 000</t>
        </is>
      </c>
      <c r="K461" t="inlineStr"/>
      <c r="L461" t="inlineStr"/>
      <c r="M461" t="inlineStr">
        <is>
          <t>Нет у нас</t>
        </is>
      </c>
      <c r="N461" t="inlineStr"/>
      <c r="O461" t="inlineStr"/>
      <c r="P461" t="inlineStr"/>
      <c r="Q461">
        <f>HYPERLINK("https://knru.ru/catalog/granitnaya-ul-902070671/","ссылка")</f>
        <v/>
      </c>
      <c r="R461" t="inlineStr"/>
      <c r="S461" t="inlineStr"/>
    </row>
    <row r="462">
      <c r="A462" t="inlineStr">
        <is>
          <t>Красногвардейский</t>
        </is>
      </c>
      <c r="B462" t="inlineStr">
        <is>
          <t>Гранитная ул.</t>
        </is>
      </c>
      <c r="C462" t="inlineStr">
        <is>
          <t>sale</t>
        </is>
      </c>
      <c r="D462" t="inlineStr">
        <is>
          <t>Да</t>
        </is>
      </c>
      <c r="E462" t="inlineStr"/>
      <c r="F462" t="inlineStr"/>
      <c r="G462" t="inlineStr">
        <is>
          <t>121.6</t>
        </is>
      </c>
      <c r="H462" t="inlineStr"/>
      <c r="I462" t="inlineStr"/>
      <c r="J462" t="inlineStr">
        <is>
          <t>29 176 800</t>
        </is>
      </c>
      <c r="K462" t="inlineStr"/>
      <c r="L462" t="inlineStr"/>
      <c r="M462" t="inlineStr">
        <is>
          <t>Нет у нас</t>
        </is>
      </c>
      <c r="N462" t="inlineStr"/>
      <c r="O462" t="inlineStr"/>
      <c r="P462" t="inlineStr"/>
      <c r="Q462">
        <f>HYPERLINK("https://knru.ru/catalog/granitnaya-ul-1485625464/","ссылка")</f>
        <v/>
      </c>
      <c r="R462" t="inlineStr"/>
      <c r="S462" t="inlineStr"/>
    </row>
    <row r="463">
      <c r="A463" t="inlineStr">
        <is>
          <t>Красногвардейский</t>
        </is>
      </c>
      <c r="B463" t="inlineStr">
        <is>
          <t>Гранитная ул.</t>
        </is>
      </c>
      <c r="C463" t="inlineStr">
        <is>
          <t>sale</t>
        </is>
      </c>
      <c r="D463" t="inlineStr">
        <is>
          <t>Да</t>
        </is>
      </c>
      <c r="E463" t="inlineStr"/>
      <c r="F463" t="inlineStr"/>
      <c r="G463" t="inlineStr">
        <is>
          <t>298.8</t>
        </is>
      </c>
      <c r="H463" t="inlineStr"/>
      <c r="I463" t="inlineStr"/>
      <c r="J463" t="inlineStr">
        <is>
          <t>71 716 800</t>
        </is>
      </c>
      <c r="K463" t="inlineStr"/>
      <c r="L463" t="inlineStr"/>
      <c r="M463" t="inlineStr">
        <is>
          <t>Нет у нас</t>
        </is>
      </c>
      <c r="N463" t="inlineStr"/>
      <c r="O463" t="inlineStr"/>
      <c r="P463" t="inlineStr"/>
      <c r="Q463">
        <f>HYPERLINK("https://knru.ru/catalog/granitnaya-ul-997422955/","ссылка")</f>
        <v/>
      </c>
      <c r="R463" t="inlineStr"/>
      <c r="S463" t="inlineStr"/>
    </row>
    <row r="464">
      <c r="A464" t="inlineStr">
        <is>
          <t>Красногвардейский</t>
        </is>
      </c>
      <c r="B464" t="inlineStr">
        <is>
          <t>Гранитная ул.</t>
        </is>
      </c>
      <c r="C464" t="inlineStr">
        <is>
          <t>sale</t>
        </is>
      </c>
      <c r="D464" t="inlineStr">
        <is>
          <t>Да</t>
        </is>
      </c>
      <c r="E464" t="inlineStr"/>
      <c r="F464" t="inlineStr"/>
      <c r="G464" t="inlineStr">
        <is>
          <t>142.3</t>
        </is>
      </c>
      <c r="H464" t="inlineStr"/>
      <c r="I464" t="inlineStr"/>
      <c r="J464" t="inlineStr">
        <is>
          <t>34 164 000</t>
        </is>
      </c>
      <c r="K464" t="inlineStr"/>
      <c r="L464" t="inlineStr"/>
      <c r="M464" t="inlineStr">
        <is>
          <t>Нет у нас</t>
        </is>
      </c>
      <c r="N464" t="inlineStr"/>
      <c r="O464" t="inlineStr"/>
      <c r="P464" t="inlineStr"/>
      <c r="Q464">
        <f>HYPERLINK("https://knru.ru/catalog/granitnaya-ul-1144818920/","ссылка")</f>
        <v/>
      </c>
      <c r="R464" t="inlineStr"/>
      <c r="S464" t="inlineStr"/>
    </row>
    <row r="465">
      <c r="A465" t="inlineStr">
        <is>
          <t>Красногвардейский</t>
        </is>
      </c>
      <c r="B465" t="inlineStr">
        <is>
          <t>Гранитная ул.</t>
        </is>
      </c>
      <c r="C465" t="inlineStr">
        <is>
          <t>sale</t>
        </is>
      </c>
      <c r="D465" t="inlineStr">
        <is>
          <t>Да</t>
        </is>
      </c>
      <c r="E465" t="inlineStr"/>
      <c r="F465" t="inlineStr"/>
      <c r="G465" t="inlineStr">
        <is>
          <t>84.4</t>
        </is>
      </c>
      <c r="H465" t="inlineStr"/>
      <c r="I465" t="inlineStr"/>
      <c r="J465" t="inlineStr">
        <is>
          <t>20 263 200</t>
        </is>
      </c>
      <c r="K465" t="inlineStr"/>
      <c r="L465" t="inlineStr"/>
      <c r="M465" t="inlineStr">
        <is>
          <t>Нет у нас</t>
        </is>
      </c>
      <c r="N465" t="inlineStr"/>
      <c r="O465" t="inlineStr"/>
      <c r="P465" t="inlineStr"/>
      <c r="Q465">
        <f>HYPERLINK("https://knru.ru/catalog/granitnaya-ul-225522299/","ссылка")</f>
        <v/>
      </c>
      <c r="R465" t="inlineStr"/>
      <c r="S465" t="inlineStr"/>
    </row>
    <row r="466">
      <c r="A466" t="inlineStr">
        <is>
          <t>Красногвардейский</t>
        </is>
      </c>
      <c r="B466" t="inlineStr">
        <is>
          <t>Гранитная ул.</t>
        </is>
      </c>
      <c r="C466" t="inlineStr">
        <is>
          <t>sale</t>
        </is>
      </c>
      <c r="D466" t="inlineStr">
        <is>
          <t>Да</t>
        </is>
      </c>
      <c r="E466" t="inlineStr"/>
      <c r="F466" t="inlineStr"/>
      <c r="G466" t="inlineStr">
        <is>
          <t>106.2</t>
        </is>
      </c>
      <c r="H466" t="inlineStr"/>
      <c r="I466" t="inlineStr"/>
      <c r="J466" t="inlineStr">
        <is>
          <t>25 485 600</t>
        </is>
      </c>
      <c r="K466" t="inlineStr"/>
      <c r="L466" t="inlineStr"/>
      <c r="M466" t="inlineStr">
        <is>
          <t>Нет у нас</t>
        </is>
      </c>
      <c r="N466" t="inlineStr"/>
      <c r="O466" t="inlineStr"/>
      <c r="P466" t="inlineStr"/>
      <c r="Q466">
        <f>HYPERLINK("https://knru.ru/catalog/granitnaya-ul-1430420657/","ссылка")</f>
        <v/>
      </c>
      <c r="R466" t="inlineStr"/>
      <c r="S466" t="inlineStr"/>
    </row>
    <row r="467">
      <c r="A467" t="inlineStr">
        <is>
          <t>Красногвардейский</t>
        </is>
      </c>
      <c r="B467" t="inlineStr">
        <is>
          <t>Гранитная ул.</t>
        </is>
      </c>
      <c r="C467" t="inlineStr">
        <is>
          <t>sale</t>
        </is>
      </c>
      <c r="D467" t="inlineStr">
        <is>
          <t>Да</t>
        </is>
      </c>
      <c r="E467" t="inlineStr"/>
      <c r="F467" t="inlineStr"/>
      <c r="G467" t="inlineStr">
        <is>
          <t>72.6</t>
        </is>
      </c>
      <c r="H467" t="inlineStr"/>
      <c r="I467" t="inlineStr"/>
      <c r="J467" t="inlineStr">
        <is>
          <t>26 665 800</t>
        </is>
      </c>
      <c r="K467" t="inlineStr"/>
      <c r="L467" t="inlineStr"/>
      <c r="M467" t="inlineStr">
        <is>
          <t>Нет у нас</t>
        </is>
      </c>
      <c r="N467" t="inlineStr"/>
      <c r="O467" t="inlineStr"/>
      <c r="P467" t="inlineStr"/>
      <c r="Q467">
        <f>HYPERLINK("https://knru.ru/catalog/granitnaya-ul-248332186/","ссылка")</f>
        <v/>
      </c>
      <c r="R467" t="inlineStr"/>
      <c r="S467" t="inlineStr"/>
    </row>
    <row r="468">
      <c r="A468" t="inlineStr">
        <is>
          <t>Красногвардейский</t>
        </is>
      </c>
      <c r="B468" t="inlineStr">
        <is>
          <t>Гранитная ул, 42 А</t>
        </is>
      </c>
      <c r="C468" t="inlineStr">
        <is>
          <t>sale</t>
        </is>
      </c>
      <c r="D468" t="inlineStr">
        <is>
          <t>Да</t>
        </is>
      </c>
      <c r="E468" t="inlineStr"/>
      <c r="F468" t="inlineStr"/>
      <c r="G468" t="inlineStr">
        <is>
          <t>1339.7</t>
        </is>
      </c>
      <c r="H468" t="inlineStr"/>
      <c r="I468" t="inlineStr"/>
      <c r="J468" t="inlineStr">
        <is>
          <t>385 819 200</t>
        </is>
      </c>
      <c r="K468" t="inlineStr"/>
      <c r="L468" t="inlineStr"/>
      <c r="M468" t="inlineStr">
        <is>
          <t>Нет у нас</t>
        </is>
      </c>
      <c r="N468" t="inlineStr"/>
      <c r="O468" t="inlineStr"/>
      <c r="P468" t="inlineStr"/>
      <c r="Q468">
        <f>HYPERLINK("https://knru.ru/catalog/ul-granitnaya-1415112271/","ссылка")</f>
        <v/>
      </c>
      <c r="R468" t="inlineStr"/>
      <c r="S468" t="inlineStr"/>
    </row>
    <row r="469">
      <c r="A469" t="inlineStr">
        <is>
          <t>Красногвардейский</t>
        </is>
      </c>
      <c r="B469" t="inlineStr">
        <is>
          <t>Гранитная ул, 42 А</t>
        </is>
      </c>
      <c r="C469" t="inlineStr">
        <is>
          <t>sale</t>
        </is>
      </c>
      <c r="D469" t="inlineStr">
        <is>
          <t>Да</t>
        </is>
      </c>
      <c r="E469" t="inlineStr"/>
      <c r="F469" t="inlineStr"/>
      <c r="G469" t="inlineStr">
        <is>
          <t>53.9</t>
        </is>
      </c>
      <c r="H469" t="inlineStr"/>
      <c r="I469" t="inlineStr"/>
      <c r="J469" t="inlineStr">
        <is>
          <t>19 882 950</t>
        </is>
      </c>
      <c r="K469" t="inlineStr"/>
      <c r="L469" t="inlineStr"/>
      <c r="M469" t="inlineStr">
        <is>
          <t>Нет у нас</t>
        </is>
      </c>
      <c r="N469" t="inlineStr"/>
      <c r="O469" t="inlineStr"/>
      <c r="P469" t="inlineStr"/>
      <c r="Q469">
        <f>HYPERLINK("https://knru.ru/catalog/ul-granitnaya-561014/","ссылка")</f>
        <v/>
      </c>
      <c r="R469" t="inlineStr"/>
      <c r="S469" t="inlineStr"/>
    </row>
    <row r="470">
      <c r="A470" t="inlineStr">
        <is>
          <t>Красногвардейский</t>
        </is>
      </c>
      <c r="B470" t="inlineStr">
        <is>
          <t>Заневский пр-кт, 42стр1</t>
        </is>
      </c>
      <c r="C470" t="inlineStr">
        <is>
          <t>sale</t>
        </is>
      </c>
      <c r="D470" t="inlineStr">
        <is>
          <t>Да</t>
        </is>
      </c>
      <c r="E470" t="inlineStr"/>
      <c r="F470" t="inlineStr"/>
      <c r="G470" t="inlineStr">
        <is>
          <t>82.1</t>
        </is>
      </c>
      <c r="H470" t="inlineStr"/>
      <c r="I470" t="inlineStr"/>
      <c r="J470" t="inlineStr">
        <is>
          <t>27 849 387</t>
        </is>
      </c>
      <c r="K470" t="inlineStr"/>
      <c r="L470" t="inlineStr"/>
      <c r="M470" t="inlineStr">
        <is>
          <t>Нет у нас</t>
        </is>
      </c>
      <c r="N470" t="inlineStr"/>
      <c r="O470" t="inlineStr"/>
      <c r="P470" t="inlineStr"/>
      <c r="Q470">
        <f>HYPERLINK("https://knru.ru/catalog/zanevskij-prospekt-d-42-k-5/","ссылка")</f>
        <v/>
      </c>
      <c r="R470" t="inlineStr"/>
      <c r="S470" t="inlineStr"/>
    </row>
    <row r="471">
      <c r="A471" t="inlineStr">
        <is>
          <t>Красногвардейский</t>
        </is>
      </c>
      <c r="B471" t="inlineStr">
        <is>
          <t>Индустриальный пр-кт, 27 А</t>
        </is>
      </c>
      <c r="C471" t="inlineStr">
        <is>
          <t>sale</t>
        </is>
      </c>
      <c r="D471" t="inlineStr">
        <is>
          <t>Да</t>
        </is>
      </c>
      <c r="E471" t="inlineStr"/>
      <c r="F471" t="inlineStr"/>
      <c r="G471" t="inlineStr">
        <is>
          <t>480</t>
        </is>
      </c>
      <c r="H471" t="inlineStr"/>
      <c r="I471" t="inlineStr"/>
      <c r="J471" t="inlineStr">
        <is>
          <t>48 000 000</t>
        </is>
      </c>
      <c r="K471" t="inlineStr"/>
      <c r="L471" t="inlineStr"/>
      <c r="M471" t="inlineStr">
        <is>
          <t>Нет у нас</t>
        </is>
      </c>
      <c r="N471" t="inlineStr"/>
      <c r="O471" t="inlineStr"/>
      <c r="P471" t="inlineStr"/>
      <c r="Q471">
        <f>HYPERLINK("https://knru.ru/catalog/industrialnyy-pr-t-d-27/","ссылка")</f>
        <v/>
      </c>
      <c r="R471" t="inlineStr"/>
      <c r="S471" t="inlineStr"/>
    </row>
    <row r="472">
      <c r="A472" t="inlineStr">
        <is>
          <t>Красногвардейский</t>
        </is>
      </c>
      <c r="B472" t="inlineStr">
        <is>
          <t>Ириновский пр.</t>
        </is>
      </c>
      <c r="C472" t="inlineStr">
        <is>
          <t>sale</t>
        </is>
      </c>
      <c r="D472" t="inlineStr">
        <is>
          <t>Да</t>
        </is>
      </c>
      <c r="E472" t="inlineStr"/>
      <c r="F472" t="inlineStr"/>
      <c r="G472" t="inlineStr">
        <is>
          <t>13.5</t>
        </is>
      </c>
      <c r="H472" t="inlineStr"/>
      <c r="I472" t="inlineStr"/>
      <c r="J472" t="inlineStr">
        <is>
          <t>5 809 300</t>
        </is>
      </c>
      <c r="K472" t="inlineStr"/>
      <c r="L472" t="inlineStr"/>
      <c r="M472" t="inlineStr">
        <is>
          <t>Нет у нас</t>
        </is>
      </c>
      <c r="N472" t="inlineStr"/>
      <c r="O472" t="inlineStr"/>
      <c r="P472" t="inlineStr"/>
      <c r="Q472">
        <f>HYPERLINK("https://knru.ru/catalog/irinovskiy-pr-460125947/","ссылка")</f>
        <v/>
      </c>
      <c r="R472" t="inlineStr"/>
      <c r="S472" t="inlineStr"/>
    </row>
    <row r="473">
      <c r="A473" t="inlineStr">
        <is>
          <t>Красногвардейский</t>
        </is>
      </c>
      <c r="B473" t="inlineStr">
        <is>
          <t>Ириновский пр.</t>
        </is>
      </c>
      <c r="C473" t="inlineStr">
        <is>
          <t>sale</t>
        </is>
      </c>
      <c r="D473" t="inlineStr">
        <is>
          <t>Да</t>
        </is>
      </c>
      <c r="E473" t="inlineStr"/>
      <c r="F473" t="inlineStr"/>
      <c r="G473" t="inlineStr">
        <is>
          <t>197.8</t>
        </is>
      </c>
      <c r="H473" t="inlineStr"/>
      <c r="I473" t="inlineStr"/>
      <c r="J473" t="inlineStr">
        <is>
          <t>69 244 000</t>
        </is>
      </c>
      <c r="K473" t="inlineStr"/>
      <c r="L473" t="inlineStr"/>
      <c r="M473" t="inlineStr">
        <is>
          <t>Нет у нас</t>
        </is>
      </c>
      <c r="N473" t="inlineStr"/>
      <c r="O473" t="inlineStr"/>
      <c r="P473" t="inlineStr"/>
      <c r="Q473">
        <f>HYPERLINK("https://knru.ru/catalog/irinovskiy-pr-31766919/","ссылка")</f>
        <v/>
      </c>
      <c r="R473" t="inlineStr"/>
      <c r="S473" t="inlineStr"/>
    </row>
    <row r="474">
      <c r="A474" t="inlineStr">
        <is>
          <t>Красногвардейский</t>
        </is>
      </c>
      <c r="B474" t="inlineStr">
        <is>
          <t>Ириновский пр.</t>
        </is>
      </c>
      <c r="C474" t="inlineStr">
        <is>
          <t>sale</t>
        </is>
      </c>
      <c r="D474" t="inlineStr">
        <is>
          <t>Да</t>
        </is>
      </c>
      <c r="E474" t="inlineStr"/>
      <c r="F474" t="inlineStr"/>
      <c r="G474" t="inlineStr">
        <is>
          <t>1334.3</t>
        </is>
      </c>
      <c r="H474" t="inlineStr"/>
      <c r="I474" t="inlineStr"/>
      <c r="J474" t="inlineStr">
        <is>
          <t>266 852 000</t>
        </is>
      </c>
      <c r="K474" t="inlineStr"/>
      <c r="L474" t="inlineStr"/>
      <c r="M474" t="inlineStr">
        <is>
          <t>Нет у нас</t>
        </is>
      </c>
      <c r="N474" t="inlineStr"/>
      <c r="O474" t="inlineStr"/>
      <c r="P474" t="inlineStr"/>
      <c r="Q474">
        <f>HYPERLINK("https://knru.ru/catalog/irinovskiy-pr-635694419/","ссылка")</f>
        <v/>
      </c>
      <c r="R474" t="inlineStr"/>
      <c r="S474" t="inlineStr"/>
    </row>
    <row r="475">
      <c r="A475" t="inlineStr">
        <is>
          <t>Красногвардейский</t>
        </is>
      </c>
      <c r="B475" t="inlineStr">
        <is>
          <t>Ириновский пр.</t>
        </is>
      </c>
      <c r="C475" t="inlineStr">
        <is>
          <t>sale</t>
        </is>
      </c>
      <c r="D475" t="inlineStr">
        <is>
          <t>Да</t>
        </is>
      </c>
      <c r="E475" t="inlineStr"/>
      <c r="F475" t="inlineStr"/>
      <c r="G475" t="inlineStr">
        <is>
          <t>589.4</t>
        </is>
      </c>
      <c r="H475" t="inlineStr"/>
      <c r="I475" t="inlineStr"/>
      <c r="J475" t="inlineStr">
        <is>
          <t>117 874 000</t>
        </is>
      </c>
      <c r="K475" t="inlineStr"/>
      <c r="L475" t="inlineStr"/>
      <c r="M475" t="inlineStr">
        <is>
          <t>Нет у нас</t>
        </is>
      </c>
      <c r="N475" t="inlineStr"/>
      <c r="O475" t="inlineStr"/>
      <c r="P475" t="inlineStr"/>
      <c r="Q475">
        <f>HYPERLINK("https://knru.ru/catalog/irinovskiy-pr-975939260/","ссылка")</f>
        <v/>
      </c>
      <c r="R475" t="inlineStr"/>
      <c r="S475" t="inlineStr"/>
    </row>
    <row r="476">
      <c r="A476" t="inlineStr">
        <is>
          <t>Красногвардейский</t>
        </is>
      </c>
      <c r="B476" t="inlineStr">
        <is>
          <t>Ириновский пр.</t>
        </is>
      </c>
      <c r="C476" t="inlineStr">
        <is>
          <t>sale</t>
        </is>
      </c>
      <c r="D476" t="inlineStr">
        <is>
          <t>Да</t>
        </is>
      </c>
      <c r="E476" t="inlineStr"/>
      <c r="F476" t="inlineStr"/>
      <c r="G476" t="inlineStr">
        <is>
          <t>523.7</t>
        </is>
      </c>
      <c r="H476" t="inlineStr"/>
      <c r="I476" t="inlineStr"/>
      <c r="J476" t="inlineStr">
        <is>
          <t>104 732 000</t>
        </is>
      </c>
      <c r="K476" t="inlineStr"/>
      <c r="L476" t="inlineStr"/>
      <c r="M476" t="inlineStr">
        <is>
          <t>Нет у нас</t>
        </is>
      </c>
      <c r="N476" t="inlineStr"/>
      <c r="O476" t="inlineStr"/>
      <c r="P476" t="inlineStr"/>
      <c r="Q476">
        <f>HYPERLINK("https://knru.ru/catalog/irinovskiy-pr-662333169/","ссылка")</f>
        <v/>
      </c>
      <c r="R476" t="inlineStr"/>
      <c r="S476" t="inlineStr"/>
    </row>
    <row r="477">
      <c r="A477" t="inlineStr">
        <is>
          <t>Красногвардейский</t>
        </is>
      </c>
      <c r="B477" t="inlineStr">
        <is>
          <t>Ириновский пр.</t>
        </is>
      </c>
      <c r="C477" t="inlineStr">
        <is>
          <t>sale</t>
        </is>
      </c>
      <c r="D477" t="inlineStr">
        <is>
          <t>Да</t>
        </is>
      </c>
      <c r="E477" t="inlineStr"/>
      <c r="F477" t="inlineStr"/>
      <c r="G477" t="inlineStr">
        <is>
          <t>64.5</t>
        </is>
      </c>
      <c r="H477" t="inlineStr"/>
      <c r="I477" t="inlineStr"/>
      <c r="J477" t="inlineStr">
        <is>
          <t>13 555 500</t>
        </is>
      </c>
      <c r="K477" t="inlineStr"/>
      <c r="L477" t="inlineStr"/>
      <c r="M477" t="inlineStr">
        <is>
          <t>Нет у нас</t>
        </is>
      </c>
      <c r="N477" t="inlineStr"/>
      <c r="O477" t="inlineStr"/>
      <c r="P477" t="inlineStr"/>
      <c r="Q477">
        <f>HYPERLINK("https://knru.ru/catalog/irinovskiy-pr-337715645/","ссылка")</f>
        <v/>
      </c>
      <c r="R477" t="inlineStr"/>
      <c r="S477" t="inlineStr"/>
    </row>
    <row r="478">
      <c r="A478" t="inlineStr">
        <is>
          <t>Красногвардейский</t>
        </is>
      </c>
      <c r="B478" t="inlineStr">
        <is>
          <t>Ириновский пр.</t>
        </is>
      </c>
      <c r="C478" t="inlineStr">
        <is>
          <t>sale</t>
        </is>
      </c>
      <c r="D478" t="inlineStr">
        <is>
          <t>Да</t>
        </is>
      </c>
      <c r="E478" t="inlineStr"/>
      <c r="F478" t="inlineStr"/>
      <c r="G478" t="inlineStr">
        <is>
          <t>90.9</t>
        </is>
      </c>
      <c r="H478" t="inlineStr"/>
      <c r="I478" t="inlineStr"/>
      <c r="J478" t="inlineStr">
        <is>
          <t>19 089 000</t>
        </is>
      </c>
      <c r="K478" t="inlineStr"/>
      <c r="L478" t="inlineStr"/>
      <c r="M478" t="inlineStr">
        <is>
          <t>Нет у нас</t>
        </is>
      </c>
      <c r="N478" t="inlineStr"/>
      <c r="O478" t="inlineStr"/>
      <c r="P478" t="inlineStr"/>
      <c r="Q478">
        <f>HYPERLINK("https://knru.ru/catalog/irinovskiy-pr-925794499/","ссылка")</f>
        <v/>
      </c>
      <c r="R478" t="inlineStr"/>
      <c r="S478" t="inlineStr"/>
    </row>
    <row r="479">
      <c r="A479" t="inlineStr">
        <is>
          <t>Красногвардейский</t>
        </is>
      </c>
      <c r="B479" t="inlineStr">
        <is>
          <t>Ириновский пр.</t>
        </is>
      </c>
      <c r="C479" t="inlineStr">
        <is>
          <t>sale</t>
        </is>
      </c>
      <c r="D479" t="inlineStr">
        <is>
          <t>Да</t>
        </is>
      </c>
      <c r="E479" t="inlineStr"/>
      <c r="F479" t="inlineStr"/>
      <c r="G479" t="inlineStr">
        <is>
          <t>85.6</t>
        </is>
      </c>
      <c r="H479" t="inlineStr"/>
      <c r="I479" t="inlineStr"/>
      <c r="J479" t="inlineStr">
        <is>
          <t>17 969 700</t>
        </is>
      </c>
      <c r="K479" t="inlineStr"/>
      <c r="L479" t="inlineStr"/>
      <c r="M479" t="inlineStr">
        <is>
          <t>Нет у нас</t>
        </is>
      </c>
      <c r="N479" t="inlineStr"/>
      <c r="O479" t="inlineStr"/>
      <c r="P479" t="inlineStr"/>
      <c r="Q479">
        <f>HYPERLINK("https://knru.ru/catalog/irinovskiy-pr-313769586/","ссылка")</f>
        <v/>
      </c>
      <c r="R479" t="inlineStr"/>
      <c r="S479" t="inlineStr"/>
    </row>
    <row r="480">
      <c r="A480" t="inlineStr">
        <is>
          <t>Красногвардейский</t>
        </is>
      </c>
      <c r="B480" t="inlineStr">
        <is>
          <t>Ириновский пр.</t>
        </is>
      </c>
      <c r="C480" t="inlineStr">
        <is>
          <t>sale</t>
        </is>
      </c>
      <c r="D480" t="inlineStr">
        <is>
          <t>Да</t>
        </is>
      </c>
      <c r="E480" t="inlineStr"/>
      <c r="F480" t="inlineStr"/>
      <c r="G480" t="inlineStr">
        <is>
          <t>154.2</t>
        </is>
      </c>
      <c r="H480" t="inlineStr"/>
      <c r="I480" t="inlineStr"/>
      <c r="J480" t="inlineStr">
        <is>
          <t>32 392 500</t>
        </is>
      </c>
      <c r="K480" t="inlineStr"/>
      <c r="L480" t="inlineStr"/>
      <c r="M480" t="inlineStr">
        <is>
          <t>Нет у нас</t>
        </is>
      </c>
      <c r="N480" t="inlineStr"/>
      <c r="O480" t="inlineStr"/>
      <c r="P480" t="inlineStr"/>
      <c r="Q480">
        <f>HYPERLINK("https://knru.ru/catalog/irinovskiy-pr-1481118307/","ссылка")</f>
        <v/>
      </c>
      <c r="R480" t="inlineStr"/>
      <c r="S480" t="inlineStr"/>
    </row>
    <row r="481">
      <c r="A481" t="inlineStr">
        <is>
          <t>Красногвардейский</t>
        </is>
      </c>
      <c r="B481" t="inlineStr">
        <is>
          <t>Ириновский пр.</t>
        </is>
      </c>
      <c r="C481" t="inlineStr">
        <is>
          <t>sale</t>
        </is>
      </c>
      <c r="D481" t="inlineStr">
        <is>
          <t>Да</t>
        </is>
      </c>
      <c r="E481" t="inlineStr"/>
      <c r="F481" t="inlineStr"/>
      <c r="G481" t="inlineStr">
        <is>
          <t>55.6</t>
        </is>
      </c>
      <c r="H481" t="inlineStr"/>
      <c r="I481" t="inlineStr"/>
      <c r="J481" t="inlineStr">
        <is>
          <t>11 669 700</t>
        </is>
      </c>
      <c r="K481" t="inlineStr"/>
      <c r="L481" t="inlineStr"/>
      <c r="M481" t="inlineStr">
        <is>
          <t>Нет у нас</t>
        </is>
      </c>
      <c r="N481" t="inlineStr"/>
      <c r="O481" t="inlineStr"/>
      <c r="P481" t="inlineStr"/>
      <c r="Q481">
        <f>HYPERLINK("https://knru.ru/catalog/irinovskiy-pr-664525832/","ссылка")</f>
        <v/>
      </c>
      <c r="R481" t="inlineStr"/>
      <c r="S481" t="inlineStr"/>
    </row>
    <row r="482">
      <c r="A482" t="inlineStr">
        <is>
          <t>Красногвардейский</t>
        </is>
      </c>
      <c r="B482" t="inlineStr">
        <is>
          <t>Ириновский пр.</t>
        </is>
      </c>
      <c r="C482" t="inlineStr">
        <is>
          <t>sale</t>
        </is>
      </c>
      <c r="D482" t="inlineStr">
        <is>
          <t>Да</t>
        </is>
      </c>
      <c r="E482" t="inlineStr"/>
      <c r="F482" t="inlineStr"/>
      <c r="G482" t="inlineStr">
        <is>
          <t>33.6</t>
        </is>
      </c>
      <c r="H482" t="inlineStr"/>
      <c r="I482" t="inlineStr"/>
      <c r="J482" t="inlineStr">
        <is>
          <t>7 718 800</t>
        </is>
      </c>
      <c r="K482" t="inlineStr"/>
      <c r="L482" t="inlineStr"/>
      <c r="M482" t="inlineStr">
        <is>
          <t>Нет у нас</t>
        </is>
      </c>
      <c r="N482" t="inlineStr"/>
      <c r="O482" t="inlineStr"/>
      <c r="P482" t="inlineStr"/>
      <c r="Q482">
        <f>HYPERLINK("https://knru.ru/catalog/irinovskiy-pr-1798132597/","ссылка")</f>
        <v/>
      </c>
      <c r="R482" t="inlineStr"/>
      <c r="S482" t="inlineStr"/>
    </row>
    <row r="483">
      <c r="A483" t="inlineStr">
        <is>
          <t>Красногвардейский</t>
        </is>
      </c>
      <c r="B483" t="inlineStr">
        <is>
          <t>Ириновский пр.</t>
        </is>
      </c>
      <c r="C483" t="inlineStr">
        <is>
          <t>sale</t>
        </is>
      </c>
      <c r="D483" t="inlineStr">
        <is>
          <t>Да</t>
        </is>
      </c>
      <c r="E483" t="inlineStr"/>
      <c r="F483" t="inlineStr"/>
      <c r="G483" t="inlineStr">
        <is>
          <t>17.9</t>
        </is>
      </c>
      <c r="H483" t="inlineStr"/>
      <c r="I483" t="inlineStr"/>
      <c r="J483" t="inlineStr">
        <is>
          <t>4 296 000</t>
        </is>
      </c>
      <c r="K483" t="inlineStr"/>
      <c r="L483" t="inlineStr"/>
      <c r="M483" t="inlineStr">
        <is>
          <t>Нет у нас</t>
        </is>
      </c>
      <c r="N483" t="inlineStr"/>
      <c r="O483" t="inlineStr"/>
      <c r="P483" t="inlineStr"/>
      <c r="Q483">
        <f>HYPERLINK("https://knru.ru/catalog/irinovskiy-pr-462603163/","ссылка")</f>
        <v/>
      </c>
      <c r="R483" t="inlineStr"/>
      <c r="S483" t="inlineStr"/>
    </row>
    <row r="484">
      <c r="A484" t="inlineStr">
        <is>
          <t>Красногвардейский</t>
        </is>
      </c>
      <c r="B484" t="inlineStr">
        <is>
          <t>Ириновский пр.</t>
        </is>
      </c>
      <c r="C484" t="inlineStr">
        <is>
          <t>sale</t>
        </is>
      </c>
      <c r="D484" t="inlineStr">
        <is>
          <t>Да</t>
        </is>
      </c>
      <c r="E484" t="inlineStr"/>
      <c r="F484" t="inlineStr"/>
      <c r="G484" t="inlineStr">
        <is>
          <t>24.2</t>
        </is>
      </c>
      <c r="H484" t="inlineStr"/>
      <c r="I484" t="inlineStr"/>
      <c r="J484" t="inlineStr">
        <is>
          <t>5 079 900</t>
        </is>
      </c>
      <c r="K484" t="inlineStr"/>
      <c r="L484" t="inlineStr"/>
      <c r="M484" t="inlineStr">
        <is>
          <t>Нет у нас</t>
        </is>
      </c>
      <c r="N484" t="inlineStr"/>
      <c r="O484" t="inlineStr"/>
      <c r="P484" t="inlineStr"/>
      <c r="Q484">
        <f>HYPERLINK("https://knru.ru/catalog/irinovskiy-pr-1887304770/","ссылка")</f>
        <v/>
      </c>
      <c r="R484" t="inlineStr"/>
      <c r="S484" t="inlineStr"/>
    </row>
    <row r="485">
      <c r="A485" t="inlineStr">
        <is>
          <t>Красногвардейский</t>
        </is>
      </c>
      <c r="B485" t="inlineStr">
        <is>
          <t>Ириновский пр.</t>
        </is>
      </c>
      <c r="C485" t="inlineStr">
        <is>
          <t>sale</t>
        </is>
      </c>
      <c r="D485" t="inlineStr">
        <is>
          <t>Да</t>
        </is>
      </c>
      <c r="E485" t="inlineStr"/>
      <c r="F485" t="inlineStr"/>
      <c r="G485" t="inlineStr">
        <is>
          <t>39.4</t>
        </is>
      </c>
      <c r="H485" t="inlineStr"/>
      <c r="I485" t="inlineStr"/>
      <c r="J485" t="inlineStr">
        <is>
          <t>9 064 300</t>
        </is>
      </c>
      <c r="K485" t="inlineStr"/>
      <c r="L485" t="inlineStr"/>
      <c r="M485" t="inlineStr">
        <is>
          <t>Нет у нас</t>
        </is>
      </c>
      <c r="N485" t="inlineStr"/>
      <c r="O485" t="inlineStr"/>
      <c r="P485" t="inlineStr"/>
      <c r="Q485">
        <f>HYPERLINK("https://knru.ru/catalog/irinovskiy-pr-2259691/","ссылка")</f>
        <v/>
      </c>
      <c r="R485" t="inlineStr"/>
      <c r="S485" t="inlineStr"/>
    </row>
    <row r="486">
      <c r="A486" t="inlineStr">
        <is>
          <t>Красногвардейский</t>
        </is>
      </c>
      <c r="B486" t="inlineStr">
        <is>
          <t>Ириновский пр.</t>
        </is>
      </c>
      <c r="C486" t="inlineStr">
        <is>
          <t>sale</t>
        </is>
      </c>
      <c r="D486" t="inlineStr">
        <is>
          <t>Да</t>
        </is>
      </c>
      <c r="E486" t="inlineStr"/>
      <c r="F486" t="inlineStr"/>
      <c r="G486" t="inlineStr">
        <is>
          <t>48.8</t>
        </is>
      </c>
      <c r="H486" t="inlineStr"/>
      <c r="I486" t="inlineStr"/>
      <c r="J486" t="inlineStr">
        <is>
          <t>11 214 800</t>
        </is>
      </c>
      <c r="K486" t="inlineStr"/>
      <c r="L486" t="inlineStr"/>
      <c r="M486" t="inlineStr">
        <is>
          <t>Нет у нас</t>
        </is>
      </c>
      <c r="N486" t="inlineStr"/>
      <c r="O486" t="inlineStr"/>
      <c r="P486" t="inlineStr"/>
      <c r="Q486">
        <f>HYPERLINK("https://knru.ru/catalog/irinovskiy-pr-269371235/","ссылка")</f>
        <v/>
      </c>
      <c r="R486" t="inlineStr"/>
      <c r="S486" t="inlineStr"/>
    </row>
    <row r="487">
      <c r="A487" t="inlineStr">
        <is>
          <t>Красногвардейский</t>
        </is>
      </c>
      <c r="B487" t="inlineStr">
        <is>
          <t>Ириновский пр.</t>
        </is>
      </c>
      <c r="C487" t="inlineStr">
        <is>
          <t>sale</t>
        </is>
      </c>
      <c r="D487" t="inlineStr">
        <is>
          <t>Да</t>
        </is>
      </c>
      <c r="E487" t="inlineStr"/>
      <c r="F487" t="inlineStr"/>
      <c r="G487" t="inlineStr">
        <is>
          <t>60.2</t>
        </is>
      </c>
      <c r="H487" t="inlineStr"/>
      <c r="I487" t="inlineStr"/>
      <c r="J487" t="inlineStr">
        <is>
          <t>12 633 600</t>
        </is>
      </c>
      <c r="K487" t="inlineStr"/>
      <c r="L487" t="inlineStr"/>
      <c r="M487" t="inlineStr">
        <is>
          <t>Нет у нас</t>
        </is>
      </c>
      <c r="N487" t="inlineStr"/>
      <c r="O487" t="inlineStr"/>
      <c r="P487" t="inlineStr"/>
      <c r="Q487">
        <f>HYPERLINK("https://knru.ru/catalog/irinovskiy-pr-2134284846/","ссылка")</f>
        <v/>
      </c>
      <c r="R487" t="inlineStr"/>
      <c r="S487" t="inlineStr"/>
    </row>
    <row r="488">
      <c r="A488" t="inlineStr">
        <is>
          <t>Красногвардейский</t>
        </is>
      </c>
      <c r="B488" t="inlineStr">
        <is>
          <t>Ириновский пр.</t>
        </is>
      </c>
      <c r="C488" t="inlineStr">
        <is>
          <t>sale</t>
        </is>
      </c>
      <c r="D488" t="inlineStr">
        <is>
          <t>Да</t>
        </is>
      </c>
      <c r="E488" t="inlineStr"/>
      <c r="F488" t="inlineStr"/>
      <c r="G488" t="inlineStr">
        <is>
          <t>471.9</t>
        </is>
      </c>
      <c r="H488" t="inlineStr"/>
      <c r="I488" t="inlineStr"/>
      <c r="J488" t="inlineStr">
        <is>
          <t>117 975 000</t>
        </is>
      </c>
      <c r="K488" t="inlineStr"/>
      <c r="L488" t="inlineStr"/>
      <c r="M488" t="inlineStr">
        <is>
          <t>Нет у нас</t>
        </is>
      </c>
      <c r="N488" t="inlineStr"/>
      <c r="O488" t="inlineStr"/>
      <c r="P488" t="inlineStr"/>
      <c r="Q488">
        <f>HYPERLINK("https://knru.ru/catalog/irinovskiy-pr-142794707/","ссылка")</f>
        <v/>
      </c>
      <c r="R488" t="inlineStr"/>
      <c r="S488" t="inlineStr"/>
    </row>
    <row r="489">
      <c r="A489" t="inlineStr">
        <is>
          <t>Красногвардейский</t>
        </is>
      </c>
      <c r="B489" t="inlineStr">
        <is>
          <t>Ириновский пр.</t>
        </is>
      </c>
      <c r="C489" t="inlineStr">
        <is>
          <t>sale</t>
        </is>
      </c>
      <c r="D489" t="inlineStr">
        <is>
          <t>Да</t>
        </is>
      </c>
      <c r="E489" t="inlineStr"/>
      <c r="F489" t="inlineStr"/>
      <c r="G489" t="inlineStr">
        <is>
          <t>68.1</t>
        </is>
      </c>
      <c r="H489" t="inlineStr"/>
      <c r="I489" t="inlineStr"/>
      <c r="J489" t="inlineStr">
        <is>
          <t>14 303 100</t>
        </is>
      </c>
      <c r="K489" t="inlineStr"/>
      <c r="L489" t="inlineStr"/>
      <c r="M489" t="inlineStr">
        <is>
          <t>Нет у нас</t>
        </is>
      </c>
      <c r="N489" t="inlineStr"/>
      <c r="O489" t="inlineStr"/>
      <c r="P489" t="inlineStr"/>
      <c r="Q489">
        <f>HYPERLINK("https://knru.ru/catalog/irinovskiy-pr-1750697479/","ссылка")</f>
        <v/>
      </c>
      <c r="R489" t="inlineStr"/>
      <c r="S489" t="inlineStr"/>
    </row>
    <row r="490">
      <c r="A490" t="inlineStr">
        <is>
          <t>Красногвардейский</t>
        </is>
      </c>
      <c r="B490" t="inlineStr">
        <is>
          <t>Ириновский пр.</t>
        </is>
      </c>
      <c r="C490" t="inlineStr">
        <is>
          <t>sale</t>
        </is>
      </c>
      <c r="D490" t="inlineStr">
        <is>
          <t>Да</t>
        </is>
      </c>
      <c r="E490" t="inlineStr"/>
      <c r="F490" t="inlineStr"/>
      <c r="G490" t="inlineStr">
        <is>
          <t>43.2</t>
        </is>
      </c>
      <c r="H490" t="inlineStr"/>
      <c r="I490" t="inlineStr"/>
      <c r="J490" t="inlineStr">
        <is>
          <t>9 940 600</t>
        </is>
      </c>
      <c r="K490" t="inlineStr"/>
      <c r="L490" t="inlineStr"/>
      <c r="M490" t="inlineStr">
        <is>
          <t>Нет у нас</t>
        </is>
      </c>
      <c r="N490" t="inlineStr"/>
      <c r="O490" t="inlineStr"/>
      <c r="P490" t="inlineStr"/>
      <c r="Q490">
        <f>HYPERLINK("https://knru.ru/catalog/irinovskiy-pr-400758664/","ссылка")</f>
        <v/>
      </c>
      <c r="R490" t="inlineStr"/>
      <c r="S490" t="inlineStr"/>
    </row>
    <row r="491">
      <c r="A491" t="inlineStr">
        <is>
          <t>Красногвардейский</t>
        </is>
      </c>
      <c r="B491" t="inlineStr">
        <is>
          <t>Ириновский пр.</t>
        </is>
      </c>
      <c r="C491" t="inlineStr">
        <is>
          <t>sale</t>
        </is>
      </c>
      <c r="D491" t="inlineStr">
        <is>
          <t>Да</t>
        </is>
      </c>
      <c r="E491" t="inlineStr"/>
      <c r="F491" t="inlineStr"/>
      <c r="G491" t="inlineStr">
        <is>
          <t>101</t>
        </is>
      </c>
      <c r="H491" t="inlineStr"/>
      <c r="I491" t="inlineStr"/>
      <c r="J491" t="inlineStr">
        <is>
          <t>35 336 000</t>
        </is>
      </c>
      <c r="K491" t="inlineStr"/>
      <c r="L491" t="inlineStr"/>
      <c r="M491" t="inlineStr">
        <is>
          <t>Нет у нас</t>
        </is>
      </c>
      <c r="N491" t="inlineStr"/>
      <c r="O491" t="inlineStr"/>
      <c r="P491" t="inlineStr"/>
      <c r="Q491">
        <f>HYPERLINK("https://knru.ru/catalog/irinovskiy-pr-542687423/","ссылка")</f>
        <v/>
      </c>
      <c r="R491" t="inlineStr"/>
      <c r="S491" t="inlineStr"/>
    </row>
    <row r="492">
      <c r="A492" t="inlineStr">
        <is>
          <t>Красногвардейский</t>
        </is>
      </c>
      <c r="B492" t="inlineStr">
        <is>
          <t>Ириновский пр.</t>
        </is>
      </c>
      <c r="C492" t="inlineStr">
        <is>
          <t>sale</t>
        </is>
      </c>
      <c r="D492" t="inlineStr">
        <is>
          <t>Да</t>
        </is>
      </c>
      <c r="E492" t="inlineStr"/>
      <c r="F492" t="inlineStr"/>
      <c r="G492" t="inlineStr">
        <is>
          <t>23.8</t>
        </is>
      </c>
      <c r="H492" t="inlineStr"/>
      <c r="I492" t="inlineStr"/>
      <c r="J492" t="inlineStr">
        <is>
          <t>8 830 000</t>
        </is>
      </c>
      <c r="K492" t="inlineStr"/>
      <c r="L492" t="inlineStr"/>
      <c r="M492" t="inlineStr">
        <is>
          <t>Нет у нас</t>
        </is>
      </c>
      <c r="N492" t="inlineStr"/>
      <c r="O492" t="inlineStr"/>
      <c r="P492" t="inlineStr"/>
      <c r="Q492">
        <f>HYPERLINK("https://knru.ru/catalog/irinovskiy-pr-368959580/","ссылка")</f>
        <v/>
      </c>
      <c r="R492" t="inlineStr"/>
      <c r="S492" t="inlineStr"/>
    </row>
    <row r="493">
      <c r="A493" t="inlineStr">
        <is>
          <t>Красногвардейский</t>
        </is>
      </c>
      <c r="B493" t="inlineStr">
        <is>
          <t>Ириновский пр-кт, 2 А</t>
        </is>
      </c>
      <c r="C493" t="inlineStr">
        <is>
          <t>sale</t>
        </is>
      </c>
      <c r="D493" t="inlineStr">
        <is>
          <t>Да</t>
        </is>
      </c>
      <c r="E493" t="inlineStr"/>
      <c r="F493" t="inlineStr"/>
      <c r="G493" t="inlineStr">
        <is>
          <t>11800</t>
        </is>
      </c>
      <c r="H493" t="inlineStr"/>
      <c r="I493" t="inlineStr"/>
      <c r="J493" t="inlineStr">
        <is>
          <t>510 000 000</t>
        </is>
      </c>
      <c r="K493" t="inlineStr"/>
      <c r="L493" t="inlineStr"/>
      <c r="M493" t="inlineStr">
        <is>
          <t>По адресу есть, но площадь другая</t>
        </is>
      </c>
      <c r="N493" t="inlineStr"/>
      <c r="O493" t="inlineStr"/>
      <c r="P493" t="inlineStr"/>
      <c r="Q493">
        <f>HYPERLINK("https://knru.ru/catalog/irinovskij-pr-kt-2-a/","ссылка")</f>
        <v/>
      </c>
      <c r="R493" t="inlineStr"/>
      <c r="S493" t="inlineStr"/>
    </row>
    <row r="494">
      <c r="A494" t="inlineStr">
        <is>
          <t>Красногвардейский</t>
        </is>
      </c>
      <c r="B494" t="inlineStr">
        <is>
          <t>Ириновский пр-кт, 36</t>
        </is>
      </c>
      <c r="C494" t="inlineStr">
        <is>
          <t>sale</t>
        </is>
      </c>
      <c r="D494" t="inlineStr">
        <is>
          <t>Да</t>
        </is>
      </c>
      <c r="E494" t="inlineStr"/>
      <c r="F494" t="inlineStr"/>
      <c r="G494" t="inlineStr">
        <is>
          <t>383</t>
        </is>
      </c>
      <c r="H494" t="inlineStr"/>
      <c r="I494" t="inlineStr"/>
      <c r="J494" t="inlineStr">
        <is>
          <t>124 400 250</t>
        </is>
      </c>
      <c r="K494" t="inlineStr"/>
      <c r="L494" t="inlineStr"/>
      <c r="M494" t="inlineStr">
        <is>
          <t>Нет у нас</t>
        </is>
      </c>
      <c r="N494" t="inlineStr"/>
      <c r="O494" t="inlineStr"/>
      <c r="P494" t="inlineStr"/>
      <c r="Q494">
        <f>HYPERLINK("https://knru.ru/catalog/irinovskij-pr-d-38/","ссылка")</f>
        <v/>
      </c>
      <c r="R494" t="inlineStr"/>
      <c r="S494" t="inlineStr"/>
    </row>
    <row r="495">
      <c r="A495" t="inlineStr">
        <is>
          <t>Красногвардейский</t>
        </is>
      </c>
      <c r="B495" t="inlineStr">
        <is>
          <t>Ириновский пр-кт, 38</t>
        </is>
      </c>
      <c r="C495" t="inlineStr">
        <is>
          <t>sale</t>
        </is>
      </c>
      <c r="D495" t="inlineStr">
        <is>
          <t>Да</t>
        </is>
      </c>
      <c r="E495" t="inlineStr"/>
      <c r="F495" t="inlineStr"/>
      <c r="G495" t="inlineStr">
        <is>
          <t>79</t>
        </is>
      </c>
      <c r="H495" t="inlineStr"/>
      <c r="I495" t="inlineStr"/>
      <c r="J495" t="inlineStr">
        <is>
          <t>27 646 500</t>
        </is>
      </c>
      <c r="K495" t="inlineStr"/>
      <c r="L495" t="inlineStr"/>
      <c r="M495" t="inlineStr">
        <is>
          <t>Нет у нас</t>
        </is>
      </c>
      <c r="N495" t="inlineStr"/>
      <c r="O495" t="inlineStr"/>
      <c r="P495" t="inlineStr"/>
      <c r="Q495">
        <f>HYPERLINK("https://knru.ru/catalog/irinovskiy-pr-d-38-2075826791/","ссылка")</f>
        <v/>
      </c>
      <c r="R495" t="inlineStr"/>
      <c r="S495" t="inlineStr"/>
    </row>
    <row r="496">
      <c r="A496" t="inlineStr">
        <is>
          <t>Красногвардейский</t>
        </is>
      </c>
      <c r="B496" t="inlineStr">
        <is>
          <t>Ириновский пр-кт, 38</t>
        </is>
      </c>
      <c r="C496" t="inlineStr">
        <is>
          <t>sale</t>
        </is>
      </c>
      <c r="D496" t="inlineStr">
        <is>
          <t>Да</t>
        </is>
      </c>
      <c r="E496" t="inlineStr"/>
      <c r="F496" t="inlineStr"/>
      <c r="G496" t="inlineStr">
        <is>
          <t>197.8</t>
        </is>
      </c>
      <c r="H496" t="inlineStr"/>
      <c r="I496" t="inlineStr"/>
      <c r="J496" t="inlineStr">
        <is>
          <t>69 244 000</t>
        </is>
      </c>
      <c r="K496" t="inlineStr"/>
      <c r="L496" t="inlineStr"/>
      <c r="M496" t="inlineStr">
        <is>
          <t>Нет у нас</t>
        </is>
      </c>
      <c r="N496" t="inlineStr"/>
      <c r="O496" t="inlineStr"/>
      <c r="P496" t="inlineStr"/>
      <c r="Q496">
        <f>HYPERLINK("https://knru.ru/catalog/irinovskiy-pr-d-38-509225970/","ссылка")</f>
        <v/>
      </c>
      <c r="R496" t="inlineStr"/>
      <c r="S496" t="inlineStr"/>
    </row>
    <row r="497">
      <c r="A497" t="inlineStr">
        <is>
          <t>Красногвардейский</t>
        </is>
      </c>
      <c r="B497" t="inlineStr">
        <is>
          <t>Ириновский пр-кт, 38</t>
        </is>
      </c>
      <c r="C497" t="inlineStr">
        <is>
          <t>sale</t>
        </is>
      </c>
      <c r="D497" t="inlineStr">
        <is>
          <t>Да</t>
        </is>
      </c>
      <c r="E497" t="inlineStr"/>
      <c r="F497" t="inlineStr"/>
      <c r="G497" t="inlineStr">
        <is>
          <t>23.8</t>
        </is>
      </c>
      <c r="H497" t="inlineStr"/>
      <c r="I497" t="inlineStr"/>
      <c r="J497" t="inlineStr">
        <is>
          <t>8 830 000</t>
        </is>
      </c>
      <c r="K497" t="inlineStr"/>
      <c r="L497" t="inlineStr"/>
      <c r="M497" t="inlineStr">
        <is>
          <t>Нет у нас</t>
        </is>
      </c>
      <c r="N497" t="inlineStr"/>
      <c r="O497" t="inlineStr"/>
      <c r="P497" t="inlineStr"/>
      <c r="Q497">
        <f>HYPERLINK("https://knru.ru/catalog/irinovskiy-pr-d-38-1841018866/","ссылка")</f>
        <v/>
      </c>
      <c r="R497" t="inlineStr"/>
      <c r="S497" t="inlineStr"/>
    </row>
    <row r="498">
      <c r="A498" t="inlineStr">
        <is>
          <t>Красногвардейский</t>
        </is>
      </c>
      <c r="B498" t="inlineStr">
        <is>
          <t>Ириновский пр-кт, 38</t>
        </is>
      </c>
      <c r="C498" t="inlineStr">
        <is>
          <t>sale</t>
        </is>
      </c>
      <c r="D498" t="inlineStr">
        <is>
          <t>Да</t>
        </is>
      </c>
      <c r="E498" t="inlineStr"/>
      <c r="F498" t="inlineStr"/>
      <c r="G498" t="inlineStr">
        <is>
          <t>419.6</t>
        </is>
      </c>
      <c r="H498" t="inlineStr"/>
      <c r="I498" t="inlineStr"/>
      <c r="J498" t="inlineStr">
        <is>
          <t>79 729 700</t>
        </is>
      </c>
      <c r="K498" t="inlineStr"/>
      <c r="L498" t="inlineStr"/>
      <c r="M498" t="inlineStr">
        <is>
          <t>Нет у нас</t>
        </is>
      </c>
      <c r="N498" t="inlineStr"/>
      <c r="O498" t="inlineStr"/>
      <c r="P498" t="inlineStr"/>
      <c r="Q498">
        <f>HYPERLINK("https://knru.ru/catalog/irinovskij-pr-d-38-561026/","ссылка")</f>
        <v/>
      </c>
      <c r="R498" t="inlineStr"/>
      <c r="S498" t="inlineStr"/>
    </row>
    <row r="499">
      <c r="A499" t="inlineStr">
        <is>
          <t>Красногвардейский</t>
        </is>
      </c>
      <c r="B499" t="inlineStr">
        <is>
          <t>Ириновский пр-кт, 38</t>
        </is>
      </c>
      <c r="C499" t="inlineStr">
        <is>
          <t>sale</t>
        </is>
      </c>
      <c r="D499" t="inlineStr">
        <is>
          <t>Да</t>
        </is>
      </c>
      <c r="E499" t="inlineStr"/>
      <c r="F499" t="inlineStr"/>
      <c r="G499" t="inlineStr">
        <is>
          <t>137.2</t>
        </is>
      </c>
      <c r="H499" t="inlineStr"/>
      <c r="I499" t="inlineStr"/>
      <c r="J499" t="inlineStr">
        <is>
          <t>28 812 000</t>
        </is>
      </c>
      <c r="K499" t="inlineStr"/>
      <c r="L499" t="inlineStr"/>
      <c r="M499" t="inlineStr">
        <is>
          <t>Нет у нас</t>
        </is>
      </c>
      <c r="N499" t="inlineStr"/>
      <c r="O499" t="inlineStr"/>
      <c r="P499" t="inlineStr"/>
      <c r="Q499">
        <f>HYPERLINK("https://knru.ru/catalog/irinovskij-pr-d-38-561025/","ссылка")</f>
        <v/>
      </c>
      <c r="R499" t="inlineStr"/>
      <c r="S499" t="inlineStr"/>
    </row>
    <row r="500">
      <c r="A500" t="inlineStr">
        <is>
          <t>Красногвардейский</t>
        </is>
      </c>
      <c r="B500" t="inlineStr">
        <is>
          <t>Ириновский пр-кт, 38</t>
        </is>
      </c>
      <c r="C500" t="inlineStr">
        <is>
          <t>sale</t>
        </is>
      </c>
      <c r="D500" t="inlineStr">
        <is>
          <t>Да</t>
        </is>
      </c>
      <c r="E500" t="inlineStr"/>
      <c r="F500" t="inlineStr"/>
      <c r="G500" t="inlineStr">
        <is>
          <t>17.9</t>
        </is>
      </c>
      <c r="H500" t="inlineStr"/>
      <c r="I500" t="inlineStr"/>
      <c r="J500" t="inlineStr">
        <is>
          <t>6 261 500</t>
        </is>
      </c>
      <c r="K500" t="inlineStr"/>
      <c r="L500" t="inlineStr"/>
      <c r="M500" t="inlineStr">
        <is>
          <t>Нет у нас</t>
        </is>
      </c>
      <c r="N500" t="inlineStr"/>
      <c r="O500" t="inlineStr"/>
      <c r="P500" t="inlineStr"/>
      <c r="Q500">
        <f>HYPERLINK("https://knru.ru/catalog/irinovskij-pr-d-38-561020/","ссылка")</f>
        <v/>
      </c>
      <c r="R500" t="inlineStr"/>
      <c r="S500" t="inlineStr"/>
    </row>
    <row r="501">
      <c r="A501" t="inlineStr">
        <is>
          <t>Красногвардейский</t>
        </is>
      </c>
      <c r="B501" t="inlineStr">
        <is>
          <t>Ириновский пр-кт, 38</t>
        </is>
      </c>
      <c r="C501" t="inlineStr">
        <is>
          <t>sale</t>
        </is>
      </c>
      <c r="D501" t="inlineStr">
        <is>
          <t>Да</t>
        </is>
      </c>
      <c r="E501" t="inlineStr"/>
      <c r="F501" t="inlineStr"/>
      <c r="G501" t="inlineStr">
        <is>
          <t>471.9</t>
        </is>
      </c>
      <c r="H501" t="inlineStr"/>
      <c r="I501" t="inlineStr"/>
      <c r="J501" t="inlineStr">
        <is>
          <t>117 975 000</t>
        </is>
      </c>
      <c r="K501" t="inlineStr"/>
      <c r="L501" t="inlineStr"/>
      <c r="M501" t="inlineStr">
        <is>
          <t>Нет у нас</t>
        </is>
      </c>
      <c r="N501" t="inlineStr"/>
      <c r="O501" t="inlineStr"/>
      <c r="P501" t="inlineStr"/>
      <c r="Q501">
        <f>HYPERLINK("https://knru.ru/catalog/irinovskij-pr-d-38-561018/","ссылка")</f>
        <v/>
      </c>
      <c r="R501" t="inlineStr"/>
      <c r="S501" t="inlineStr"/>
    </row>
    <row r="502">
      <c r="A502" t="inlineStr">
        <is>
          <t>Красногвардейский</t>
        </is>
      </c>
      <c r="B502" t="inlineStr">
        <is>
          <t>Ириновский пр-кт, 38</t>
        </is>
      </c>
      <c r="C502" t="inlineStr">
        <is>
          <t>sale</t>
        </is>
      </c>
      <c r="D502" t="inlineStr">
        <is>
          <t>Да</t>
        </is>
      </c>
      <c r="E502" t="inlineStr"/>
      <c r="F502" t="inlineStr"/>
      <c r="G502" t="inlineStr">
        <is>
          <t>101</t>
        </is>
      </c>
      <c r="H502" t="inlineStr"/>
      <c r="I502" t="inlineStr"/>
      <c r="J502" t="inlineStr">
        <is>
          <t>35 336 000</t>
        </is>
      </c>
      <c r="K502" t="inlineStr"/>
      <c r="L502" t="inlineStr"/>
      <c r="M502" t="inlineStr">
        <is>
          <t>Нет у нас</t>
        </is>
      </c>
      <c r="N502" t="inlineStr"/>
      <c r="O502" t="inlineStr"/>
      <c r="P502" t="inlineStr"/>
      <c r="Q502">
        <f>HYPERLINK("https://knru.ru/catalog/irinovskij-pr-d-38-561016/","ссылка")</f>
        <v/>
      </c>
      <c r="R502" t="inlineStr"/>
      <c r="S502" t="inlineStr"/>
    </row>
    <row r="503">
      <c r="A503" t="inlineStr">
        <is>
          <t>Красногвардейский</t>
        </is>
      </c>
      <c r="B503" t="inlineStr">
        <is>
          <t>Карла Фаберже пл, 8</t>
        </is>
      </c>
      <c r="C503" t="inlineStr">
        <is>
          <t>sale</t>
        </is>
      </c>
      <c r="D503" t="inlineStr">
        <is>
          <t>Да</t>
        </is>
      </c>
      <c r="E503" t="inlineStr"/>
      <c r="F503" t="inlineStr"/>
      <c r="G503" t="inlineStr">
        <is>
          <t>68</t>
        </is>
      </c>
      <c r="H503" t="inlineStr"/>
      <c r="I503" t="inlineStr"/>
      <c r="J503" t="inlineStr">
        <is>
          <t>39 950 000</t>
        </is>
      </c>
      <c r="K503" t="inlineStr"/>
      <c r="L503" t="inlineStr"/>
      <c r="M503" t="inlineStr">
        <is>
          <t>По адресу есть, но площадь другая</t>
        </is>
      </c>
      <c r="N503" t="inlineStr"/>
      <c r="O503" t="inlineStr"/>
      <c r="P503" t="inlineStr"/>
      <c r="Q503">
        <f>HYPERLINK("https://knru.ru/catalog/karla-faberzhe-pl-8/","ссылка")</f>
        <v/>
      </c>
      <c r="R503" t="inlineStr"/>
      <c r="S503" t="inlineStr"/>
    </row>
    <row r="504">
      <c r="A504" t="inlineStr">
        <is>
          <t>Красногвардейский</t>
        </is>
      </c>
      <c r="B504" t="inlineStr">
        <is>
          <t>Косыгина пр-кт, 30к1 А</t>
        </is>
      </c>
      <c r="C504" t="inlineStr">
        <is>
          <t>sale</t>
        </is>
      </c>
      <c r="D504" t="inlineStr"/>
      <c r="E504" t="inlineStr">
        <is>
          <t>Да</t>
        </is>
      </c>
      <c r="F504" t="inlineStr"/>
      <c r="G504" t="inlineStr"/>
      <c r="H504" t="inlineStr">
        <is>
          <t>6857</t>
        </is>
      </c>
      <c r="I504" t="inlineStr"/>
      <c r="J504" t="inlineStr"/>
      <c r="K504" t="inlineStr">
        <is>
          <t>1 117 000 000</t>
        </is>
      </c>
      <c r="L504" t="inlineStr"/>
      <c r="M504" t="inlineStr"/>
      <c r="N504" t="inlineStr">
        <is>
          <t>По адресу есть, но площадь другая</t>
        </is>
      </c>
      <c r="O504" t="inlineStr"/>
      <c r="P504" t="inlineStr"/>
      <c r="Q504" t="inlineStr"/>
      <c r="R504">
        <f>HYPERLINK("https://nordwestinvest.ru/real-estates/tc-zebra-na-arendnom-potoke","ссылка")</f>
        <v/>
      </c>
      <c r="S504" t="inlineStr"/>
    </row>
    <row r="505">
      <c r="A505" t="inlineStr">
        <is>
          <t>Красногвардейский</t>
        </is>
      </c>
      <c r="B505" t="inlineStr">
        <is>
          <t>Косыгина пр-кт, 30к1 А</t>
        </is>
      </c>
      <c r="C505" t="inlineStr">
        <is>
          <t>sale</t>
        </is>
      </c>
      <c r="D505" t="inlineStr">
        <is>
          <t>Да</t>
        </is>
      </c>
      <c r="E505" t="inlineStr"/>
      <c r="F505" t="inlineStr"/>
      <c r="G505" t="inlineStr">
        <is>
          <t>7013</t>
        </is>
      </c>
      <c r="H505" t="inlineStr"/>
      <c r="I505" t="inlineStr"/>
      <c r="J505" t="inlineStr">
        <is>
          <t>1 258 800 000</t>
        </is>
      </c>
      <c r="K505" t="inlineStr"/>
      <c r="L505" t="inlineStr"/>
      <c r="M505" t="inlineStr">
        <is>
          <t>По адресу есть, но площадь другая</t>
        </is>
      </c>
      <c r="N505" t="inlineStr"/>
      <c r="O505" t="inlineStr"/>
      <c r="P505" t="inlineStr"/>
      <c r="Q505">
        <f>HYPERLINK("https://knru.ru/catalog/kosygina-pr-d-30/","ссылка")</f>
        <v/>
      </c>
      <c r="R505" t="inlineStr"/>
      <c r="S505" t="inlineStr"/>
    </row>
    <row r="506">
      <c r="A506" t="inlineStr">
        <is>
          <t>Красногвардейский</t>
        </is>
      </c>
      <c r="B506" t="inlineStr">
        <is>
          <t>Красногвардейская, 4</t>
        </is>
      </c>
      <c r="C506" t="inlineStr">
        <is>
          <t>sale</t>
        </is>
      </c>
      <c r="D506" t="inlineStr">
        <is>
          <t>Да</t>
        </is>
      </c>
      <c r="E506" t="inlineStr"/>
      <c r="F506" t="inlineStr"/>
      <c r="G506" t="inlineStr">
        <is>
          <t>504</t>
        </is>
      </c>
      <c r="H506" t="inlineStr"/>
      <c r="I506" t="inlineStr"/>
      <c r="J506" t="inlineStr">
        <is>
          <t>75 000 000</t>
        </is>
      </c>
      <c r="K506" t="inlineStr"/>
      <c r="L506" t="inlineStr"/>
      <c r="M506" t="inlineStr">
        <is>
          <t>Нет у нас</t>
        </is>
      </c>
      <c r="N506" t="inlineStr"/>
      <c r="O506" t="inlineStr"/>
      <c r="P506" t="inlineStr"/>
      <c r="Q506">
        <f>HYPERLINK("https://knru.ru/catalog/krasnogvardejskaya-pl-d-4/","ссылка")</f>
        <v/>
      </c>
      <c r="R506" t="inlineStr"/>
      <c r="S506" t="inlineStr"/>
    </row>
    <row r="507">
      <c r="A507" t="inlineStr">
        <is>
          <t>Красногвардейский</t>
        </is>
      </c>
      <c r="B507" t="inlineStr">
        <is>
          <t>Курская ул, 27 А</t>
        </is>
      </c>
      <c r="C507" t="inlineStr">
        <is>
          <t>sale</t>
        </is>
      </c>
      <c r="D507" t="inlineStr"/>
      <c r="E507" t="inlineStr">
        <is>
          <t>Да</t>
        </is>
      </c>
      <c r="F507" t="inlineStr"/>
      <c r="G507" t="inlineStr"/>
      <c r="H507" t="inlineStr">
        <is>
          <t>38328</t>
        </is>
      </c>
      <c r="I507" t="inlineStr"/>
      <c r="J507" t="inlineStr"/>
      <c r="K507" t="inlineStr">
        <is>
          <t>2 700 000 000</t>
        </is>
      </c>
      <c r="L507" t="inlineStr"/>
      <c r="M507" t="inlineStr"/>
      <c r="N507" t="inlineStr">
        <is>
          <t>Нет у нас</t>
        </is>
      </c>
      <c r="O507" t="inlineStr"/>
      <c r="P507" t="inlineStr"/>
      <c r="Q507" t="inlineStr"/>
      <c r="R507">
        <f>HYPERLINK("https://nordwestinvest.ru/real-estates/100-dolei-iur-lica-na-zu","ссылка")</f>
        <v/>
      </c>
      <c r="S507" t="inlineStr"/>
    </row>
    <row r="508">
      <c r="A508" t="inlineStr">
        <is>
          <t>Красногвардейский</t>
        </is>
      </c>
      <c r="B508" t="inlineStr">
        <is>
          <t>Магнитогорская ул, 1</t>
        </is>
      </c>
      <c r="C508" t="inlineStr">
        <is>
          <t>sale</t>
        </is>
      </c>
      <c r="D508" t="inlineStr"/>
      <c r="E508" t="inlineStr">
        <is>
          <t>Да</t>
        </is>
      </c>
      <c r="F508" t="inlineStr"/>
      <c r="G508" t="inlineStr"/>
      <c r="H508" t="inlineStr">
        <is>
          <t>75.5</t>
        </is>
      </c>
      <c r="I508" t="inlineStr"/>
      <c r="J508" t="inlineStr"/>
      <c r="K508" t="inlineStr">
        <is>
          <t>32 000 000</t>
        </is>
      </c>
      <c r="L508" t="inlineStr"/>
      <c r="M508" t="inlineStr"/>
      <c r="N508" t="inlineStr">
        <is>
          <t>Нет у нас</t>
        </is>
      </c>
      <c r="O508" t="inlineStr"/>
      <c r="P508" t="inlineStr"/>
      <c r="Q508" t="inlineStr"/>
      <c r="R508">
        <f>HYPERLINK("https://nordwestinvest.ru/real-estates/prodaza-psn-s-arendatorom-apteka-755m2","ссылка")</f>
        <v/>
      </c>
      <c r="S508" t="inlineStr"/>
    </row>
    <row r="509">
      <c r="A509" t="inlineStr">
        <is>
          <t>Красногвардейский</t>
        </is>
      </c>
      <c r="B509" t="inlineStr">
        <is>
          <t>Магнитогорская ул., д. 51/3</t>
        </is>
      </c>
      <c r="C509" t="inlineStr">
        <is>
          <t>sale</t>
        </is>
      </c>
      <c r="D509" t="inlineStr">
        <is>
          <t>Да</t>
        </is>
      </c>
      <c r="E509" t="inlineStr"/>
      <c r="F509" t="inlineStr"/>
      <c r="G509" t="inlineStr">
        <is>
          <t>57.8</t>
        </is>
      </c>
      <c r="H509" t="inlineStr"/>
      <c r="I509" t="inlineStr"/>
      <c r="J509" t="inlineStr">
        <is>
          <t>13 529 880</t>
        </is>
      </c>
      <c r="K509" t="inlineStr"/>
      <c r="L509" t="inlineStr"/>
      <c r="M509" t="inlineStr">
        <is>
          <t>Нет у нас</t>
        </is>
      </c>
      <c r="N509" t="inlineStr"/>
      <c r="O509" t="inlineStr"/>
      <c r="P509" t="inlineStr"/>
      <c r="Q509">
        <f>HYPERLINK("https://knru.ru/catalog/magnitogorskaya-ul-d-51-3/","ссылка")</f>
        <v/>
      </c>
      <c r="R509" t="inlineStr"/>
      <c r="S509" t="inlineStr"/>
    </row>
    <row r="510">
      <c r="A510" t="inlineStr">
        <is>
          <t>Красногвардейский</t>
        </is>
      </c>
      <c r="B510" t="inlineStr">
        <is>
          <t>Малоохтинский пр-кт, 8</t>
        </is>
      </c>
      <c r="C510" t="inlineStr">
        <is>
          <t>sale</t>
        </is>
      </c>
      <c r="D510" t="inlineStr">
        <is>
          <t>Да</t>
        </is>
      </c>
      <c r="E510" t="inlineStr"/>
      <c r="F510" t="inlineStr"/>
      <c r="G510" t="inlineStr">
        <is>
          <t>57.9</t>
        </is>
      </c>
      <c r="H510" t="inlineStr"/>
      <c r="I510" t="inlineStr"/>
      <c r="J510" t="inlineStr">
        <is>
          <t>17 513 642</t>
        </is>
      </c>
      <c r="K510" t="inlineStr"/>
      <c r="L510" t="inlineStr"/>
      <c r="M510" t="inlineStr">
        <is>
          <t>Нет у нас</t>
        </is>
      </c>
      <c r="N510" t="inlineStr"/>
      <c r="O510" t="inlineStr"/>
      <c r="P510" t="inlineStr"/>
      <c r="Q510">
        <f>HYPERLINK("https://knru.ru/catalog/pr-malooxtinskij-ul-pomyalovskogo-557812/","ссылка")</f>
        <v/>
      </c>
      <c r="R510" t="inlineStr"/>
      <c r="S510" t="inlineStr"/>
    </row>
    <row r="511">
      <c r="A511" t="inlineStr">
        <is>
          <t>Красногвардейский</t>
        </is>
      </c>
      <c r="B511" t="inlineStr">
        <is>
          <t>Малоохтинский пр-кт, 8</t>
        </is>
      </c>
      <c r="C511" t="inlineStr">
        <is>
          <t>sale</t>
        </is>
      </c>
      <c r="D511" t="inlineStr">
        <is>
          <t>Да</t>
        </is>
      </c>
      <c r="E511" t="inlineStr"/>
      <c r="F511" t="inlineStr"/>
      <c r="G511" t="inlineStr">
        <is>
          <t>90.1</t>
        </is>
      </c>
      <c r="H511" t="inlineStr"/>
      <c r="I511" t="inlineStr"/>
      <c r="J511" t="inlineStr">
        <is>
          <t>31 237 084</t>
        </is>
      </c>
      <c r="K511" t="inlineStr"/>
      <c r="L511" t="inlineStr"/>
      <c r="M511" t="inlineStr">
        <is>
          <t>Нет у нас</t>
        </is>
      </c>
      <c r="N511" t="inlineStr"/>
      <c r="O511" t="inlineStr"/>
      <c r="P511" t="inlineStr"/>
      <c r="Q511">
        <f>HYPERLINK("https://knru.ru/catalog/pr-malooxtinskij-ul-pomyalovskogo-557808/","ссылка")</f>
        <v/>
      </c>
      <c r="R511" t="inlineStr"/>
      <c r="S511" t="inlineStr"/>
    </row>
    <row r="512">
      <c r="A512" t="inlineStr">
        <is>
          <t>Красногвардейский</t>
        </is>
      </c>
      <c r="B512" t="inlineStr">
        <is>
          <t>Малоохтинский пр-кт, 8</t>
        </is>
      </c>
      <c r="C512" t="inlineStr">
        <is>
          <t>sale</t>
        </is>
      </c>
      <c r="D512" t="inlineStr">
        <is>
          <t>Да</t>
        </is>
      </c>
      <c r="E512" t="inlineStr"/>
      <c r="F512" t="inlineStr"/>
      <c r="G512" t="inlineStr">
        <is>
          <t>78.2</t>
        </is>
      </c>
      <c r="H512" t="inlineStr"/>
      <c r="I512" t="inlineStr"/>
      <c r="J512" t="inlineStr">
        <is>
          <t>28 785 000</t>
        </is>
      </c>
      <c r="K512" t="inlineStr"/>
      <c r="L512" t="inlineStr"/>
      <c r="M512" t="inlineStr">
        <is>
          <t>Нет у нас</t>
        </is>
      </c>
      <c r="N512" t="inlineStr"/>
      <c r="O512" t="inlineStr"/>
      <c r="P512" t="inlineStr"/>
      <c r="Q512">
        <f>HYPERLINK("https://knru.ru/catalog/pr-malooxtinskij-ul-pomyalovskogo/","ссылка")</f>
        <v/>
      </c>
      <c r="R512" t="inlineStr"/>
      <c r="S512" t="inlineStr"/>
    </row>
    <row r="513">
      <c r="A513" t="inlineStr">
        <is>
          <t>Красногвардейский</t>
        </is>
      </c>
      <c r="B513" t="inlineStr">
        <is>
          <t>Пискарёвский пр-кт, 145к6стр1</t>
        </is>
      </c>
      <c r="C513" t="inlineStr">
        <is>
          <t>sale</t>
        </is>
      </c>
      <c r="D513" t="inlineStr">
        <is>
          <t>Да</t>
        </is>
      </c>
      <c r="E513" t="inlineStr"/>
      <c r="F513" t="inlineStr"/>
      <c r="G513" t="inlineStr">
        <is>
          <t>116.6</t>
        </is>
      </c>
      <c r="H513" t="inlineStr"/>
      <c r="I513" t="inlineStr"/>
      <c r="J513" t="inlineStr">
        <is>
          <t>33 500 000</t>
        </is>
      </c>
      <c r="K513" t="inlineStr"/>
      <c r="L513" t="inlineStr"/>
      <c r="M513" t="inlineStr">
        <is>
          <t>Нет у нас</t>
        </is>
      </c>
      <c r="N513" t="inlineStr"/>
      <c r="O513" t="inlineStr"/>
      <c r="P513" t="inlineStr"/>
      <c r="Q513">
        <f>HYPERLINK("https://knru.ru/catalog/piskarevskiy-pr-kt-d-145-k-6/","ссылка")</f>
        <v/>
      </c>
      <c r="R513" t="inlineStr"/>
      <c r="S513" t="inlineStr"/>
    </row>
    <row r="514">
      <c r="A514" t="inlineStr">
        <is>
          <t>Красногвардейский</t>
        </is>
      </c>
      <c r="B514" t="inlineStr">
        <is>
          <t>Помяловского ул., д. 3 стр. 1/А</t>
        </is>
      </c>
      <c r="C514" t="inlineStr">
        <is>
          <t>sale</t>
        </is>
      </c>
      <c r="D514" t="inlineStr">
        <is>
          <t>Да</t>
        </is>
      </c>
      <c r="E514" t="inlineStr"/>
      <c r="F514" t="inlineStr"/>
      <c r="G514" t="inlineStr">
        <is>
          <t>68.9</t>
        </is>
      </c>
      <c r="H514" t="inlineStr"/>
      <c r="I514" t="inlineStr"/>
      <c r="J514" t="inlineStr">
        <is>
          <t>21 496 800</t>
        </is>
      </c>
      <c r="K514" t="inlineStr"/>
      <c r="L514" t="inlineStr"/>
      <c r="M514" t="inlineStr">
        <is>
          <t>Нет у нас</t>
        </is>
      </c>
      <c r="N514" t="inlineStr"/>
      <c r="O514" t="inlineStr"/>
      <c r="P514" t="inlineStr"/>
      <c r="Q514">
        <f>HYPERLINK("https://knru.ru/catalog/pomyalovskogo-ul-d-3-str-1-a-1485276014/","ссылка")</f>
        <v/>
      </c>
      <c r="R514" t="inlineStr"/>
      <c r="S514" t="inlineStr"/>
    </row>
    <row r="515">
      <c r="A515" t="inlineStr">
        <is>
          <t>Красногвардейский</t>
        </is>
      </c>
      <c r="B515" t="inlineStr">
        <is>
          <t>Помяловского ул., д. 3 стр. 1/А</t>
        </is>
      </c>
      <c r="C515" t="inlineStr">
        <is>
          <t>sale</t>
        </is>
      </c>
      <c r="D515" t="inlineStr">
        <is>
          <t>Да</t>
        </is>
      </c>
      <c r="E515" t="inlineStr"/>
      <c r="F515" t="inlineStr"/>
      <c r="G515" t="inlineStr">
        <is>
          <t>88.3</t>
        </is>
      </c>
      <c r="H515" t="inlineStr"/>
      <c r="I515" t="inlineStr"/>
      <c r="J515" t="inlineStr">
        <is>
          <t>27 196 400</t>
        </is>
      </c>
      <c r="K515" t="inlineStr"/>
      <c r="L515" t="inlineStr"/>
      <c r="M515" t="inlineStr">
        <is>
          <t>Нет у нас</t>
        </is>
      </c>
      <c r="N515" t="inlineStr"/>
      <c r="O515" t="inlineStr"/>
      <c r="P515" t="inlineStr"/>
      <c r="Q515">
        <f>HYPERLINK("https://knru.ru/catalog/pomyalovskogo-ul-d-3-str-1-a/","ссылка")</f>
        <v/>
      </c>
      <c r="R515" t="inlineStr"/>
      <c r="S515" t="inlineStr"/>
    </row>
    <row r="516">
      <c r="A516" t="inlineStr">
        <is>
          <t>Красногвардейский</t>
        </is>
      </c>
      <c r="B516" t="inlineStr">
        <is>
          <t>Пятилеток пр-кт, 2 А</t>
        </is>
      </c>
      <c r="C516" t="inlineStr">
        <is>
          <t>sale</t>
        </is>
      </c>
      <c r="D516" t="inlineStr"/>
      <c r="E516" t="inlineStr">
        <is>
          <t>Да</t>
        </is>
      </c>
      <c r="F516" t="inlineStr"/>
      <c r="G516" t="inlineStr"/>
      <c r="H516" t="inlineStr">
        <is>
          <t>250</t>
        </is>
      </c>
      <c r="I516" t="inlineStr"/>
      <c r="J516" t="inlineStr"/>
      <c r="K516" t="inlineStr">
        <is>
          <t>119 000 000</t>
        </is>
      </c>
      <c r="L516" t="inlineStr"/>
      <c r="M516" t="inlineStr"/>
      <c r="N516" t="inlineStr">
        <is>
          <t>По адресу есть, но площадь другая</t>
        </is>
      </c>
      <c r="O516" t="inlineStr"/>
      <c r="P516" t="inlineStr"/>
      <c r="Q516" t="inlineStr"/>
      <c r="R516">
        <f>HYPERLINK("https://nordwestinvest.ru/real-estates/prodaza-psn-250-m2","ссылка")</f>
        <v/>
      </c>
      <c r="S516" t="inlineStr"/>
    </row>
    <row r="517">
      <c r="A517" t="inlineStr">
        <is>
          <t>Красногвардейский</t>
        </is>
      </c>
      <c r="B517" t="inlineStr">
        <is>
          <t>Революции ш, 69</t>
        </is>
      </c>
      <c r="C517" t="inlineStr">
        <is>
          <t>sale</t>
        </is>
      </c>
      <c r="D517" t="inlineStr"/>
      <c r="E517" t="inlineStr">
        <is>
          <t>Да</t>
        </is>
      </c>
      <c r="F517" t="inlineStr"/>
      <c r="G517" t="inlineStr"/>
      <c r="H517" t="inlineStr">
        <is>
          <t>3140</t>
        </is>
      </c>
      <c r="I517" t="inlineStr"/>
      <c r="J517" t="inlineStr"/>
      <c r="K517" t="inlineStr">
        <is>
          <t>533 800 000</t>
        </is>
      </c>
      <c r="L517" t="inlineStr"/>
      <c r="M517" t="inlineStr"/>
      <c r="N517" t="inlineStr">
        <is>
          <t>По адресу есть, но площадь другая</t>
        </is>
      </c>
      <c r="O517" t="inlineStr"/>
      <c r="P517" t="inlineStr"/>
      <c r="Q517" t="inlineStr"/>
      <c r="R517">
        <f>HYPERLINK("https://nordwestinvest.ru/real-estates/prodaza-bc-reforma-gab-3140-m2","ссылка")</f>
        <v/>
      </c>
      <c r="S517" t="inlineStr"/>
    </row>
    <row r="518">
      <c r="A518" t="inlineStr">
        <is>
          <t>Красногвардейский</t>
        </is>
      </c>
      <c r="B518" t="inlineStr">
        <is>
          <t>Революции ш, 69</t>
        </is>
      </c>
      <c r="C518" t="inlineStr">
        <is>
          <t>sale</t>
        </is>
      </c>
      <c r="D518" t="inlineStr">
        <is>
          <t>Да</t>
        </is>
      </c>
      <c r="E518" t="inlineStr"/>
      <c r="F518" t="inlineStr"/>
      <c r="G518" t="inlineStr">
        <is>
          <t>270.5</t>
        </is>
      </c>
      <c r="H518" t="inlineStr"/>
      <c r="I518" t="inlineStr"/>
      <c r="J518" t="inlineStr">
        <is>
          <t>37 900 000</t>
        </is>
      </c>
      <c r="K518" t="inlineStr"/>
      <c r="L518" t="inlineStr"/>
      <c r="M518" t="inlineStr">
        <is>
          <t>Совпало</t>
        </is>
      </c>
      <c r="N518" t="inlineStr"/>
      <c r="O518" t="inlineStr"/>
      <c r="P518" t="inlineStr"/>
      <c r="Q518">
        <f>HYPERLINK("https://knru.ru/catalog/revolyutsii-sh-69/","ссылка")</f>
        <v/>
      </c>
      <c r="R518" t="inlineStr"/>
      <c r="S518" t="inlineStr"/>
    </row>
    <row r="519">
      <c r="A519" t="inlineStr">
        <is>
          <t>Красногвардейский</t>
        </is>
      </c>
      <c r="B519" t="inlineStr">
        <is>
          <t>Республиканская ул, 8А</t>
        </is>
      </c>
      <c r="C519" t="inlineStr">
        <is>
          <t>sale</t>
        </is>
      </c>
      <c r="D519" t="inlineStr">
        <is>
          <t>Да</t>
        </is>
      </c>
      <c r="E519" t="inlineStr"/>
      <c r="F519" t="inlineStr"/>
      <c r="G519" t="inlineStr">
        <is>
          <t>728.4</t>
        </is>
      </c>
      <c r="H519" t="inlineStr"/>
      <c r="I519" t="inlineStr"/>
      <c r="J519" t="inlineStr">
        <is>
          <t>158 000 000</t>
        </is>
      </c>
      <c r="K519" t="inlineStr"/>
      <c r="L519" t="inlineStr"/>
      <c r="M519" t="inlineStr">
        <is>
          <t>Нет у нас</t>
        </is>
      </c>
      <c r="N519" t="inlineStr"/>
      <c r="O519" t="inlineStr"/>
      <c r="P519" t="inlineStr"/>
      <c r="Q519">
        <f>HYPERLINK("https://knru.ru/catalog/respublikanskaya-ul-8a/","ссылка")</f>
        <v/>
      </c>
      <c r="R519" t="inlineStr"/>
      <c r="S519" t="inlineStr"/>
    </row>
    <row r="520">
      <c r="A520" t="inlineStr">
        <is>
          <t>Красногвардейский</t>
        </is>
      </c>
      <c r="B520" t="inlineStr">
        <is>
          <t>Российский пр-кт, 14</t>
        </is>
      </c>
      <c r="C520" t="inlineStr">
        <is>
          <t>sale</t>
        </is>
      </c>
      <c r="D520" t="inlineStr">
        <is>
          <t>Да</t>
        </is>
      </c>
      <c r="E520" t="inlineStr"/>
      <c r="F520" t="inlineStr"/>
      <c r="G520" t="inlineStr">
        <is>
          <t>1170</t>
        </is>
      </c>
      <c r="H520" t="inlineStr"/>
      <c r="I520" t="inlineStr"/>
      <c r="J520" t="inlineStr">
        <is>
          <t>279 000 000</t>
        </is>
      </c>
      <c r="K520" t="inlineStr"/>
      <c r="L520" t="inlineStr"/>
      <c r="M520" t="inlineStr">
        <is>
          <t>Совпало</t>
        </is>
      </c>
      <c r="N520" t="inlineStr"/>
      <c r="O520" t="inlineStr"/>
      <c r="P520" t="inlineStr"/>
      <c r="Q520">
        <f>HYPERLINK("https://knru.ru/catalog/rossiyskiy-pr-kt-d-14/","ссылка")</f>
        <v/>
      </c>
      <c r="R520" t="inlineStr"/>
      <c r="S520" t="inlineStr"/>
    </row>
    <row r="521">
      <c r="A521" t="inlineStr">
        <is>
          <t>Красногвардейский</t>
        </is>
      </c>
      <c r="B521" t="inlineStr">
        <is>
          <t>Северный пр-кт, 107</t>
        </is>
      </c>
      <c r="C521" t="inlineStr">
        <is>
          <t>sale</t>
        </is>
      </c>
      <c r="D521" t="inlineStr"/>
      <c r="E521" t="inlineStr">
        <is>
          <t>Да</t>
        </is>
      </c>
      <c r="F521" t="inlineStr"/>
      <c r="G521" t="inlineStr"/>
      <c r="H521" t="inlineStr">
        <is>
          <t>48.8</t>
        </is>
      </c>
      <c r="I521" t="inlineStr"/>
      <c r="J521" t="inlineStr"/>
      <c r="K521" t="inlineStr">
        <is>
          <t>13 700 000</t>
        </is>
      </c>
      <c r="L521" t="inlineStr"/>
      <c r="M521" t="inlineStr"/>
      <c r="N521" t="inlineStr">
        <is>
          <t>Нет у нас</t>
        </is>
      </c>
      <c r="O521" t="inlineStr"/>
      <c r="P521" t="inlineStr"/>
      <c r="Q521" t="inlineStr"/>
      <c r="R521">
        <f>HYPERLINK("https://nordwestinvest.ru/real-estates/prodaza-pomeshheniia-s-remontom","ссылка")</f>
        <v/>
      </c>
      <c r="S521" t="inlineStr"/>
    </row>
    <row r="522">
      <c r="A522" t="inlineStr">
        <is>
          <t>Красногвардейский</t>
        </is>
      </c>
      <c r="B522" t="inlineStr">
        <is>
          <t>Северный пр-кт, 111стр1</t>
        </is>
      </c>
      <c r="C522" t="inlineStr">
        <is>
          <t>sale</t>
        </is>
      </c>
      <c r="D522" t="inlineStr">
        <is>
          <t>Да</t>
        </is>
      </c>
      <c r="E522" t="inlineStr"/>
      <c r="F522" t="inlineStr"/>
      <c r="G522" t="inlineStr">
        <is>
          <t>54.2</t>
        </is>
      </c>
      <c r="H522" t="inlineStr"/>
      <c r="I522" t="inlineStr"/>
      <c r="J522" t="inlineStr">
        <is>
          <t>13 008 000</t>
        </is>
      </c>
      <c r="K522" t="inlineStr"/>
      <c r="L522" t="inlineStr"/>
      <c r="M522" t="inlineStr">
        <is>
          <t>Нет у нас</t>
        </is>
      </c>
      <c r="N522" t="inlineStr"/>
      <c r="O522" t="inlineStr"/>
      <c r="P522" t="inlineStr"/>
      <c r="Q522">
        <f>HYPERLINK("https://knru.ru/catalog/severnyj-pr-d-111/","ссылка")</f>
        <v/>
      </c>
      <c r="R522" t="inlineStr"/>
      <c r="S522" t="inlineStr"/>
    </row>
    <row r="523">
      <c r="A523" t="inlineStr">
        <is>
          <t>Красногвардейский</t>
        </is>
      </c>
      <c r="B523" t="inlineStr">
        <is>
          <t>Северный пр-кт, 115</t>
        </is>
      </c>
      <c r="C523" t="inlineStr">
        <is>
          <t>sale</t>
        </is>
      </c>
      <c r="D523" t="inlineStr">
        <is>
          <t>Да</t>
        </is>
      </c>
      <c r="E523" t="inlineStr"/>
      <c r="F523" t="inlineStr"/>
      <c r="G523" t="inlineStr">
        <is>
          <t>91.2</t>
        </is>
      </c>
      <c r="H523" t="inlineStr"/>
      <c r="I523" t="inlineStr"/>
      <c r="J523" t="inlineStr">
        <is>
          <t>29 900 000</t>
        </is>
      </c>
      <c r="K523" t="inlineStr"/>
      <c r="L523" t="inlineStr"/>
      <c r="M523" t="inlineStr">
        <is>
          <t>По адресу есть, но площадь другая</t>
        </is>
      </c>
      <c r="N523" t="inlineStr"/>
      <c r="O523" t="inlineStr"/>
      <c r="P523" t="inlineStr"/>
      <c r="Q523">
        <f>HYPERLINK("https://knru.ru/catalog/severnyy-pr-ruchi/","ссылка")</f>
        <v/>
      </c>
      <c r="R523" t="inlineStr"/>
      <c r="S523" t="inlineStr"/>
    </row>
    <row r="524">
      <c r="A524" t="inlineStr">
        <is>
          <t>Красногвардейский</t>
        </is>
      </c>
      <c r="B524" t="inlineStr">
        <is>
          <t>Северный пр-кт, 115к1 стр 1</t>
        </is>
      </c>
      <c r="C524" t="inlineStr">
        <is>
          <t>sale</t>
        </is>
      </c>
      <c r="D524" t="inlineStr"/>
      <c r="E524" t="inlineStr">
        <is>
          <t>Да</t>
        </is>
      </c>
      <c r="F524" t="inlineStr"/>
      <c r="G524" t="inlineStr"/>
      <c r="H524" t="inlineStr">
        <is>
          <t>91.2</t>
        </is>
      </c>
      <c r="I524" t="inlineStr"/>
      <c r="J524" t="inlineStr"/>
      <c r="K524" t="inlineStr">
        <is>
          <t>29 900 000</t>
        </is>
      </c>
      <c r="L524" t="inlineStr"/>
      <c r="M524" t="inlineStr"/>
      <c r="N524" t="inlineStr">
        <is>
          <t>По адресу есть, но площадь другая</t>
        </is>
      </c>
      <c r="O524" t="inlineStr"/>
      <c r="P524" t="inlineStr"/>
      <c r="Q524" t="inlineStr"/>
      <c r="R524">
        <f>HYPERLINK("https://nordwestinvest.ru/real-estates/pomeshhenie-s-vingarazom-v-tc-ruci","ссылка")</f>
        <v/>
      </c>
      <c r="S524" t="inlineStr"/>
    </row>
    <row r="525">
      <c r="A525" t="inlineStr">
        <is>
          <t>Красногвардейский</t>
        </is>
      </c>
      <c r="B525" t="inlineStr">
        <is>
          <t>Северный пр-кт, 115к2</t>
        </is>
      </c>
      <c r="C525" t="inlineStr">
        <is>
          <t>sale</t>
        </is>
      </c>
      <c r="D525" t="inlineStr"/>
      <c r="E525" t="inlineStr">
        <is>
          <t>Да</t>
        </is>
      </c>
      <c r="F525" t="inlineStr"/>
      <c r="G525" t="inlineStr"/>
      <c r="H525" t="inlineStr">
        <is>
          <t>144.4</t>
        </is>
      </c>
      <c r="I525" t="inlineStr"/>
      <c r="J525" t="inlineStr"/>
      <c r="K525" t="inlineStr">
        <is>
          <t>31 500 000</t>
        </is>
      </c>
      <c r="L525" t="inlineStr"/>
      <c r="M525" t="inlineStr"/>
      <c r="N525" t="inlineStr">
        <is>
          <t>Совпало</t>
        </is>
      </c>
      <c r="O525" t="inlineStr"/>
      <c r="P525" t="inlineStr"/>
      <c r="Q525" t="inlineStr"/>
      <c r="R525">
        <f>HYPERLINK("https://nordwestinvest.ru/real-estates/prodaza-pomeshheniia-s-arendatorom-votonia","ссылка")</f>
        <v/>
      </c>
      <c r="S525" t="inlineStr"/>
    </row>
    <row r="526">
      <c r="A526" t="inlineStr">
        <is>
          <t>Красногвардейский</t>
        </is>
      </c>
      <c r="B526" t="inlineStr">
        <is>
          <t>Северный пр-кт, 115к2</t>
        </is>
      </c>
      <c r="C526" t="inlineStr">
        <is>
          <t>sale</t>
        </is>
      </c>
      <c r="D526" t="inlineStr"/>
      <c r="E526" t="inlineStr">
        <is>
          <t>Да</t>
        </is>
      </c>
      <c r="F526" t="inlineStr"/>
      <c r="G526" t="inlineStr"/>
      <c r="H526" t="inlineStr">
        <is>
          <t>30.9</t>
        </is>
      </c>
      <c r="I526" t="inlineStr"/>
      <c r="J526" t="inlineStr"/>
      <c r="K526" t="inlineStr">
        <is>
          <t>14 800 000</t>
        </is>
      </c>
      <c r="L526" t="inlineStr"/>
      <c r="M526" t="inlineStr"/>
      <c r="N526" t="inlineStr">
        <is>
          <t>По адресу есть, но площадь другая</t>
        </is>
      </c>
      <c r="O526" t="inlineStr"/>
      <c r="P526" t="inlineStr"/>
      <c r="Q526" t="inlineStr"/>
      <c r="R526">
        <f>HYPERLINK("https://nordwestinvest.ru/real-estates/prodaza-pomeshheniia-s-arendatorom-elton-kofe-1","ссылка")</f>
        <v/>
      </c>
      <c r="S526" t="inlineStr"/>
    </row>
    <row r="527">
      <c r="A527" t="inlineStr">
        <is>
          <t>Красногвардейский</t>
        </is>
      </c>
      <c r="B527" t="inlineStr">
        <is>
          <t>Северный пр-кт, 115к2</t>
        </is>
      </c>
      <c r="C527" t="inlineStr">
        <is>
          <t>sale</t>
        </is>
      </c>
      <c r="D527" t="inlineStr"/>
      <c r="E527" t="inlineStr">
        <is>
          <t>Да</t>
        </is>
      </c>
      <c r="F527" t="inlineStr"/>
      <c r="G527" t="inlineStr"/>
      <c r="H527" t="inlineStr">
        <is>
          <t>263.3</t>
        </is>
      </c>
      <c r="I527" t="inlineStr"/>
      <c r="J527" t="inlineStr"/>
      <c r="K527" t="inlineStr">
        <is>
          <t>61 000 000</t>
        </is>
      </c>
      <c r="L527" t="inlineStr"/>
      <c r="M527" t="inlineStr"/>
      <c r="N527" t="inlineStr">
        <is>
          <t>Совпало</t>
        </is>
      </c>
      <c r="O527" t="inlineStr"/>
      <c r="P527" t="inlineStr"/>
      <c r="Q527" t="inlineStr"/>
      <c r="R527">
        <f>HYPERLINK("https://nordwestinvest.ru/real-estates/prodaza-pomeshheniia-s-arendatorom-samokat-1","ссылка")</f>
        <v/>
      </c>
      <c r="S527" t="inlineStr"/>
    </row>
    <row r="528">
      <c r="A528" t="inlineStr">
        <is>
          <t>Красногвардейский</t>
        </is>
      </c>
      <c r="B528" t="inlineStr">
        <is>
          <t>Северный пр-кт, 129</t>
        </is>
      </c>
      <c r="C528" t="inlineStr">
        <is>
          <t>sale</t>
        </is>
      </c>
      <c r="D528" t="inlineStr"/>
      <c r="E528" t="inlineStr">
        <is>
          <t>Да</t>
        </is>
      </c>
      <c r="F528" t="inlineStr"/>
      <c r="G528" t="inlineStr"/>
      <c r="H528" t="inlineStr">
        <is>
          <t>86.3</t>
        </is>
      </c>
      <c r="I528" t="inlineStr"/>
      <c r="J528" t="inlineStr"/>
      <c r="K528" t="inlineStr">
        <is>
          <t>16 500 000</t>
        </is>
      </c>
      <c r="L528" t="inlineStr"/>
      <c r="M528" t="inlineStr"/>
      <c r="N528" t="inlineStr">
        <is>
          <t>Совпало</t>
        </is>
      </c>
      <c r="O528" t="inlineStr"/>
      <c r="P528" t="inlineStr"/>
      <c r="Q528" t="inlineStr"/>
      <c r="R528">
        <f>HYPERLINK("https://nordwestinvest.ru/real-estates/prodaza-pomeshheniia-s-arendatorom-birvain-1","ссылка")</f>
        <v/>
      </c>
      <c r="S528" t="inlineStr"/>
    </row>
    <row r="529">
      <c r="A529" t="inlineStr">
        <is>
          <t>Красногвардейский</t>
        </is>
      </c>
      <c r="B529" t="inlineStr">
        <is>
          <t>Среднеохтинский пр-кт, 2</t>
        </is>
      </c>
      <c r="C529" t="inlineStr">
        <is>
          <t>sale</t>
        </is>
      </c>
      <c r="D529" t="inlineStr">
        <is>
          <t>Да</t>
        </is>
      </c>
      <c r="E529" t="inlineStr"/>
      <c r="F529" t="inlineStr"/>
      <c r="G529" t="inlineStr">
        <is>
          <t>90</t>
        </is>
      </c>
      <c r="H529" t="inlineStr"/>
      <c r="I529" t="inlineStr"/>
      <c r="J529" t="inlineStr">
        <is>
          <t>33 000 000</t>
        </is>
      </c>
      <c r="K529" t="inlineStr"/>
      <c r="L529" t="inlineStr"/>
      <c r="M529" t="inlineStr">
        <is>
          <t>По адресу есть, но площадь другая</t>
        </is>
      </c>
      <c r="N529" t="inlineStr"/>
      <c r="O529" t="inlineStr"/>
      <c r="P529" t="inlineStr"/>
      <c r="Q529">
        <f>HYPERLINK("https://knru.ru/catalog/sredneoxtinskij-pr-d-2/","ссылка")</f>
        <v/>
      </c>
      <c r="R529" t="inlineStr"/>
      <c r="S529" t="inlineStr"/>
    </row>
    <row r="530">
      <c r="A530" t="inlineStr">
        <is>
          <t>Красногвардейский</t>
        </is>
      </c>
      <c r="B530" t="inlineStr">
        <is>
          <t>Химиков ул, 28 АЖ</t>
        </is>
      </c>
      <c r="C530" t="inlineStr">
        <is>
          <t>sale</t>
        </is>
      </c>
      <c r="D530" t="inlineStr">
        <is>
          <t>Да</t>
        </is>
      </c>
      <c r="E530" t="inlineStr"/>
      <c r="F530" t="inlineStr"/>
      <c r="G530" t="inlineStr">
        <is>
          <t>2187</t>
        </is>
      </c>
      <c r="H530" t="inlineStr"/>
      <c r="I530" t="inlineStr"/>
      <c r="J530" t="inlineStr">
        <is>
          <t>92 000 000</t>
        </is>
      </c>
      <c r="K530" t="inlineStr"/>
      <c r="L530" t="inlineStr"/>
      <c r="M530" t="inlineStr">
        <is>
          <t>Нет у нас</t>
        </is>
      </c>
      <c r="N530" t="inlineStr"/>
      <c r="O530" t="inlineStr"/>
      <c r="P530" t="inlineStr"/>
      <c r="Q530">
        <f>HYPERLINK("https://knru.ru/catalog/khimikov-ul-28-azh/","ссылка")</f>
        <v/>
      </c>
      <c r="R530" t="inlineStr"/>
      <c r="S530" t="inlineStr"/>
    </row>
    <row r="531">
      <c r="A531" t="inlineStr">
        <is>
          <t>Красногвардейский</t>
        </is>
      </c>
      <c r="B531" t="inlineStr">
        <is>
          <t>Энергетиков пр-кт, 2к1 стр 1</t>
        </is>
      </c>
      <c r="C531" t="inlineStr">
        <is>
          <t>sale</t>
        </is>
      </c>
      <c r="D531" t="inlineStr"/>
      <c r="E531" t="inlineStr">
        <is>
          <t>Да</t>
        </is>
      </c>
      <c r="F531" t="inlineStr"/>
      <c r="G531" t="inlineStr"/>
      <c r="H531" t="inlineStr">
        <is>
          <t>89</t>
        </is>
      </c>
      <c r="I531" t="inlineStr"/>
      <c r="J531" t="inlineStr"/>
      <c r="K531" t="inlineStr">
        <is>
          <t>24 000 000</t>
        </is>
      </c>
      <c r="L531" t="inlineStr"/>
      <c r="M531" t="inlineStr"/>
      <c r="N531" t="inlineStr">
        <is>
          <t>Нет у нас</t>
        </is>
      </c>
      <c r="O531" t="inlineStr"/>
      <c r="P531" t="inlineStr"/>
      <c r="Q531" t="inlineStr"/>
      <c r="R531">
        <f>HYPERLINK("https://nordwestinvest.ru/real-estates/prodaza-pomeshheniia-s-panoramnymi-oknami-s-nds","ссылка")</f>
        <v/>
      </c>
      <c r="S531" t="inlineStr"/>
    </row>
    <row r="532">
      <c r="A532" t="inlineStr">
        <is>
          <t>Красногвардейский</t>
        </is>
      </c>
      <c r="B532" t="inlineStr">
        <is>
          <t>Энергетиков пр-кт, 45</t>
        </is>
      </c>
      <c r="C532" t="inlineStr">
        <is>
          <t>sale</t>
        </is>
      </c>
      <c r="D532" t="inlineStr"/>
      <c r="E532" t="inlineStr">
        <is>
          <t>Да</t>
        </is>
      </c>
      <c r="F532" t="inlineStr"/>
      <c r="G532" t="inlineStr"/>
      <c r="H532" t="inlineStr">
        <is>
          <t>811</t>
        </is>
      </c>
      <c r="I532" t="inlineStr"/>
      <c r="J532" t="inlineStr"/>
      <c r="K532" t="inlineStr">
        <is>
          <t>79 000 000</t>
        </is>
      </c>
      <c r="L532" t="inlineStr"/>
      <c r="M532" t="inlineStr"/>
      <c r="N532" t="inlineStr">
        <is>
          <t>Нет у нас</t>
        </is>
      </c>
      <c r="O532" t="inlineStr"/>
      <c r="P532" t="inlineStr"/>
      <c r="Q532" t="inlineStr"/>
      <c r="R532">
        <f>HYPERLINK("https://nordwestinvest.ru/real-estates/okupaemost-8-let-1","ссылка")</f>
        <v/>
      </c>
      <c r="S532" t="inlineStr"/>
    </row>
    <row r="533">
      <c r="A533" t="inlineStr">
        <is>
          <t>Красногвардейский</t>
        </is>
      </c>
      <c r="B533" t="inlineStr">
        <is>
          <t>Энергетиков пр-кт, 4к3</t>
        </is>
      </c>
      <c r="C533" t="inlineStr">
        <is>
          <t>sale</t>
        </is>
      </c>
      <c r="D533" t="inlineStr"/>
      <c r="E533" t="inlineStr">
        <is>
          <t>Да</t>
        </is>
      </c>
      <c r="F533" t="inlineStr"/>
      <c r="G533" t="inlineStr"/>
      <c r="H533" t="inlineStr">
        <is>
          <t>143</t>
        </is>
      </c>
      <c r="I533" t="inlineStr"/>
      <c r="J533" t="inlineStr"/>
      <c r="K533" t="inlineStr">
        <is>
          <t>21 450 000</t>
        </is>
      </c>
      <c r="L533" t="inlineStr"/>
      <c r="M533" t="inlineStr"/>
      <c r="N533" t="inlineStr">
        <is>
          <t>Корпус/строение не совпало</t>
        </is>
      </c>
      <c r="O533" t="inlineStr"/>
      <c r="P533" t="inlineStr"/>
      <c r="Q533" t="inlineStr"/>
      <c r="R533">
        <f>HYPERLINK("https://nordwestinvest.ru/real-estates/prodaza-pomeshheniia-na-trafike-143-m2-s-nds-1","ссылка")</f>
        <v/>
      </c>
      <c r="S533" t="inlineStr"/>
    </row>
    <row r="534">
      <c r="A534" t="inlineStr">
        <is>
          <t>Красногвардейский</t>
        </is>
      </c>
      <c r="B534" t="inlineStr">
        <is>
          <t>Энергетиков пр-кт, 4к3</t>
        </is>
      </c>
      <c r="C534" t="inlineStr">
        <is>
          <t>sale</t>
        </is>
      </c>
      <c r="D534" t="inlineStr"/>
      <c r="E534" t="inlineStr">
        <is>
          <t>Да</t>
        </is>
      </c>
      <c r="F534" t="inlineStr"/>
      <c r="G534" t="inlineStr"/>
      <c r="H534" t="inlineStr">
        <is>
          <t>160.1</t>
        </is>
      </c>
      <c r="I534" t="inlineStr"/>
      <c r="J534" t="inlineStr"/>
      <c r="K534" t="inlineStr">
        <is>
          <t>40 025 000</t>
        </is>
      </c>
      <c r="L534" t="inlineStr"/>
      <c r="M534" t="inlineStr"/>
      <c r="N534" t="inlineStr">
        <is>
          <t>Корпус/строение не совпало</t>
        </is>
      </c>
      <c r="O534" t="inlineStr"/>
      <c r="P534" t="inlineStr"/>
      <c r="Q534" t="inlineStr"/>
      <c r="R534">
        <f>HYPERLINK("https://nordwestinvest.ru/real-estates/prodaza-pomeshheniia-na-trafike-1601-m2","ссылка")</f>
        <v/>
      </c>
      <c r="S534" t="inlineStr"/>
    </row>
    <row r="535">
      <c r="A535" t="inlineStr">
        <is>
          <t>Красногвардейский</t>
        </is>
      </c>
      <c r="B535" t="inlineStr">
        <is>
          <t>Энергетиков пр-кт, 4к3</t>
        </is>
      </c>
      <c r="C535" t="inlineStr">
        <is>
          <t>sale</t>
        </is>
      </c>
      <c r="D535" t="inlineStr"/>
      <c r="E535" t="inlineStr">
        <is>
          <t>Да</t>
        </is>
      </c>
      <c r="F535" t="inlineStr"/>
      <c r="G535" t="inlineStr"/>
      <c r="H535" t="inlineStr">
        <is>
          <t>152.6</t>
        </is>
      </c>
      <c r="I535" t="inlineStr"/>
      <c r="J535" t="inlineStr"/>
      <c r="K535" t="inlineStr">
        <is>
          <t>38 150 000</t>
        </is>
      </c>
      <c r="L535" t="inlineStr"/>
      <c r="M535" t="inlineStr"/>
      <c r="N535" t="inlineStr">
        <is>
          <t>Корпус/строение не совпало</t>
        </is>
      </c>
      <c r="O535" t="inlineStr"/>
      <c r="P535" t="inlineStr"/>
      <c r="Q535" t="inlineStr"/>
      <c r="R535">
        <f>HYPERLINK("https://nordwestinvest.ru/real-estates/prodaza-pomeshheniia-na-trafike-1526-m2","ссылка")</f>
        <v/>
      </c>
      <c r="S535" t="inlineStr"/>
    </row>
    <row r="536">
      <c r="A536" t="inlineStr">
        <is>
          <t>Красногвардейский</t>
        </is>
      </c>
      <c r="B536" t="inlineStr">
        <is>
          <t>Энергетиков пр-кт, 4к3</t>
        </is>
      </c>
      <c r="C536" t="inlineStr">
        <is>
          <t>sale</t>
        </is>
      </c>
      <c r="D536" t="inlineStr"/>
      <c r="E536" t="inlineStr">
        <is>
          <t>Да</t>
        </is>
      </c>
      <c r="F536" t="inlineStr"/>
      <c r="G536" t="inlineStr"/>
      <c r="H536" t="inlineStr">
        <is>
          <t>171.9</t>
        </is>
      </c>
      <c r="I536" t="inlineStr"/>
      <c r="J536" t="inlineStr"/>
      <c r="K536" t="inlineStr">
        <is>
          <t>42 975 000</t>
        </is>
      </c>
      <c r="L536" t="inlineStr"/>
      <c r="M536" t="inlineStr"/>
      <c r="N536" t="inlineStr">
        <is>
          <t>Корпус/строение не совпало</t>
        </is>
      </c>
      <c r="O536" t="inlineStr"/>
      <c r="P536" t="inlineStr"/>
      <c r="Q536" t="inlineStr"/>
      <c r="R536">
        <f>HYPERLINK("https://nordwestinvest.ru/real-estates/prodaza-pomeshheniia-na-trafike-1719-m2","ссылка")</f>
        <v/>
      </c>
      <c r="S536" t="inlineStr"/>
    </row>
    <row r="537">
      <c r="A537" t="inlineStr">
        <is>
          <t>Красногвардейский</t>
        </is>
      </c>
      <c r="B537" t="inlineStr">
        <is>
          <t>Энергетиков пр-кт, 4к3</t>
        </is>
      </c>
      <c r="C537" t="inlineStr">
        <is>
          <t>sale</t>
        </is>
      </c>
      <c r="D537" t="inlineStr"/>
      <c r="E537" t="inlineStr">
        <is>
          <t>Да</t>
        </is>
      </c>
      <c r="F537" t="inlineStr"/>
      <c r="G537" t="inlineStr"/>
      <c r="H537" t="inlineStr">
        <is>
          <t>324.5</t>
        </is>
      </c>
      <c r="I537" t="inlineStr"/>
      <c r="J537" t="inlineStr"/>
      <c r="K537" t="inlineStr">
        <is>
          <t>81 125 000</t>
        </is>
      </c>
      <c r="L537" t="inlineStr"/>
      <c r="M537" t="inlineStr"/>
      <c r="N537" t="inlineStr">
        <is>
          <t>Корпус/строение не совпало</t>
        </is>
      </c>
      <c r="O537" t="inlineStr"/>
      <c r="P537" t="inlineStr"/>
      <c r="Q537" t="inlineStr"/>
      <c r="R537">
        <f>HYPERLINK("https://nordwestinvest.ru/real-estates/prodaza-pomeshheniia-na-trafike-3245-m2","ссылка")</f>
        <v/>
      </c>
      <c r="S537" t="inlineStr"/>
    </row>
    <row r="538">
      <c r="A538" t="inlineStr">
        <is>
          <t>Красногвардейский</t>
        </is>
      </c>
      <c r="B538" t="inlineStr">
        <is>
          <t>Энергетиков пр-кт, 4к3</t>
        </is>
      </c>
      <c r="C538" t="inlineStr">
        <is>
          <t>sale</t>
        </is>
      </c>
      <c r="D538" t="inlineStr"/>
      <c r="E538" t="inlineStr">
        <is>
          <t>Да</t>
        </is>
      </c>
      <c r="F538" t="inlineStr"/>
      <c r="G538" t="inlineStr"/>
      <c r="H538" t="inlineStr">
        <is>
          <t>184.8</t>
        </is>
      </c>
      <c r="I538" t="inlineStr"/>
      <c r="J538" t="inlineStr"/>
      <c r="K538" t="inlineStr">
        <is>
          <t>46 200 000</t>
        </is>
      </c>
      <c r="L538" t="inlineStr"/>
      <c r="M538" t="inlineStr"/>
      <c r="N538" t="inlineStr">
        <is>
          <t>Корпус/строение не совпало</t>
        </is>
      </c>
      <c r="O538" t="inlineStr"/>
      <c r="P538" t="inlineStr"/>
      <c r="Q538" t="inlineStr"/>
      <c r="R538">
        <f>HYPERLINK("https://nordwestinvest.ru/real-estates/prodaza-pomeshheniia-1848-m2","ссылка")</f>
        <v/>
      </c>
      <c r="S538" t="inlineStr"/>
    </row>
    <row r="539">
      <c r="A539" t="inlineStr">
        <is>
          <t>Красногвардейский</t>
        </is>
      </c>
      <c r="B539" t="inlineStr">
        <is>
          <t>Энергетиков пр-кт, 50</t>
        </is>
      </c>
      <c r="C539" t="inlineStr">
        <is>
          <t>sale</t>
        </is>
      </c>
      <c r="D539" t="inlineStr"/>
      <c r="E539" t="inlineStr">
        <is>
          <t>Да</t>
        </is>
      </c>
      <c r="F539" t="inlineStr"/>
      <c r="G539" t="inlineStr"/>
      <c r="H539" t="inlineStr">
        <is>
          <t>942</t>
        </is>
      </c>
      <c r="I539" t="inlineStr"/>
      <c r="J539" t="inlineStr"/>
      <c r="K539" t="inlineStr">
        <is>
          <t>185 000 000</t>
        </is>
      </c>
      <c r="L539" t="inlineStr"/>
      <c r="M539" t="inlineStr"/>
      <c r="N539" t="inlineStr">
        <is>
          <t>Нет у нас</t>
        </is>
      </c>
      <c r="O539" t="inlineStr"/>
      <c r="P539" t="inlineStr"/>
      <c r="Q539" t="inlineStr"/>
      <c r="R539">
        <f>HYPERLINK("https://nordwestinvest.ru/real-estates/prodaza-piaterocki-s-okupaemostiu-86-let","ссылка")</f>
        <v/>
      </c>
      <c r="S539" t="inlineStr"/>
    </row>
    <row r="540">
      <c r="A540" t="inlineStr">
        <is>
          <t>Красногвардейский</t>
        </is>
      </c>
      <c r="B540" t="inlineStr">
        <is>
          <t>Энергетиков пр-кт, 6</t>
        </is>
      </c>
      <c r="C540" t="inlineStr">
        <is>
          <t>sale</t>
        </is>
      </c>
      <c r="D540" t="inlineStr">
        <is>
          <t>Да</t>
        </is>
      </c>
      <c r="E540" t="inlineStr"/>
      <c r="F540" t="inlineStr"/>
      <c r="G540" t="inlineStr">
        <is>
          <t>311.9</t>
        </is>
      </c>
      <c r="H540" t="inlineStr"/>
      <c r="I540" t="inlineStr"/>
      <c r="J540" t="inlineStr">
        <is>
          <t>97 833 582</t>
        </is>
      </c>
      <c r="K540" t="inlineStr"/>
      <c r="L540" t="inlineStr"/>
      <c r="M540" t="inlineStr">
        <is>
          <t>Совпало</t>
        </is>
      </c>
      <c r="N540" t="inlineStr"/>
      <c r="O540" t="inlineStr"/>
      <c r="P540" t="inlineStr"/>
      <c r="Q540">
        <f>HYPERLINK("https://knru.ru/catalog/pr-energetikov-d-6-455052579/","ссылка")</f>
        <v/>
      </c>
      <c r="R540" t="inlineStr"/>
      <c r="S540" t="inlineStr"/>
    </row>
    <row r="541">
      <c r="A541" t="inlineStr">
        <is>
          <t>Красногвардейский</t>
        </is>
      </c>
      <c r="B541" t="inlineStr">
        <is>
          <t>Энергетиков пр-кт, 6</t>
        </is>
      </c>
      <c r="C541" t="inlineStr">
        <is>
          <t>sale</t>
        </is>
      </c>
      <c r="D541" t="inlineStr">
        <is>
          <t>Да</t>
        </is>
      </c>
      <c r="E541" t="inlineStr"/>
      <c r="F541" t="inlineStr"/>
      <c r="G541" t="inlineStr">
        <is>
          <t>42.7</t>
        </is>
      </c>
      <c r="H541" t="inlineStr"/>
      <c r="I541" t="inlineStr"/>
      <c r="J541" t="inlineStr">
        <is>
          <t>19 181 280</t>
        </is>
      </c>
      <c r="K541" t="inlineStr"/>
      <c r="L541" t="inlineStr"/>
      <c r="M541" t="inlineStr">
        <is>
          <t>По адресу есть, но площадь другая</t>
        </is>
      </c>
      <c r="N541" t="inlineStr"/>
      <c r="O541" t="inlineStr"/>
      <c r="P541" t="inlineStr"/>
      <c r="Q541">
        <f>HYPERLINK("https://knru.ru/catalog/pr-energetikov-d-6/","ссылка")</f>
        <v/>
      </c>
      <c r="R541" t="inlineStr"/>
      <c r="S541" t="inlineStr"/>
    </row>
    <row r="542">
      <c r="A542" t="inlineStr">
        <is>
          <t>Красносельский</t>
        </is>
      </c>
      <c r="B542" t="inlineStr">
        <is>
          <t>Будапештская ул, 46 А</t>
        </is>
      </c>
      <c r="C542" t="inlineStr">
        <is>
          <t>sale</t>
        </is>
      </c>
      <c r="D542" t="inlineStr"/>
      <c r="E542" t="inlineStr">
        <is>
          <t>Да</t>
        </is>
      </c>
      <c r="F542" t="inlineStr"/>
      <c r="G542" t="inlineStr"/>
      <c r="H542" t="inlineStr">
        <is>
          <t>44</t>
        </is>
      </c>
      <c r="I542" t="inlineStr"/>
      <c r="J542" t="inlineStr"/>
      <c r="K542" t="inlineStr">
        <is>
          <t>12 700 000</t>
        </is>
      </c>
      <c r="L542" t="inlineStr"/>
      <c r="M542" t="inlineStr"/>
      <c r="N542" t="inlineStr">
        <is>
          <t>Нет у нас</t>
        </is>
      </c>
      <c r="O542" t="inlineStr"/>
      <c r="P542" t="inlineStr"/>
      <c r="Q542" t="inlineStr"/>
      <c r="R542">
        <f>HYPERLINK("https://nordwestinvest.ru/real-estates/prodaza-pomeshheniia-na-ogromnom-trafike-44m2","ссылка")</f>
        <v/>
      </c>
      <c r="S542" t="inlineStr"/>
    </row>
    <row r="543">
      <c r="A543" t="inlineStr">
        <is>
          <t>Красносельский</t>
        </is>
      </c>
      <c r="B543" t="inlineStr">
        <is>
          <t>Будённого пр-кт, 19к1стр1</t>
        </is>
      </c>
      <c r="C543" t="inlineStr">
        <is>
          <t>sale</t>
        </is>
      </c>
      <c r="D543" t="inlineStr">
        <is>
          <t>Да</t>
        </is>
      </c>
      <c r="E543" t="inlineStr"/>
      <c r="F543" t="inlineStr"/>
      <c r="G543" t="inlineStr">
        <is>
          <t>120.8</t>
        </is>
      </c>
      <c r="H543" t="inlineStr"/>
      <c r="I543" t="inlineStr"/>
      <c r="J543" t="inlineStr">
        <is>
          <t>29 418 636</t>
        </is>
      </c>
      <c r="K543" t="inlineStr"/>
      <c r="L543" t="inlineStr"/>
      <c r="M543" t="inlineStr">
        <is>
          <t>Нет у нас</t>
        </is>
      </c>
      <c r="N543" t="inlineStr"/>
      <c r="O543" t="inlineStr"/>
      <c r="P543" t="inlineStr"/>
      <c r="Q543">
        <f>HYPERLINK("https://knru.ru/catalog/pr-budennogo-d-19-k-1-123213246/","ссылка")</f>
        <v/>
      </c>
      <c r="R543" t="inlineStr"/>
      <c r="S543" t="inlineStr"/>
    </row>
    <row r="544">
      <c r="A544" t="inlineStr">
        <is>
          <t>Красносельский</t>
        </is>
      </c>
      <c r="B544" t="inlineStr">
        <is>
          <t>Будённого пр-кт, 19к1стр1</t>
        </is>
      </c>
      <c r="C544" t="inlineStr">
        <is>
          <t>sale</t>
        </is>
      </c>
      <c r="D544" t="inlineStr">
        <is>
          <t>Да</t>
        </is>
      </c>
      <c r="E544" t="inlineStr"/>
      <c r="F544" t="inlineStr"/>
      <c r="G544" t="inlineStr">
        <is>
          <t>258</t>
        </is>
      </c>
      <c r="H544" t="inlineStr"/>
      <c r="I544" t="inlineStr"/>
      <c r="J544" t="inlineStr">
        <is>
          <t>62 805 282</t>
        </is>
      </c>
      <c r="K544" t="inlineStr"/>
      <c r="L544" t="inlineStr"/>
      <c r="M544" t="inlineStr">
        <is>
          <t>Нет у нас</t>
        </is>
      </c>
      <c r="N544" t="inlineStr"/>
      <c r="O544" t="inlineStr"/>
      <c r="P544" t="inlineStr"/>
      <c r="Q544">
        <f>HYPERLINK("https://knru.ru/catalog/pr-budennogo-d-19-k-1-202086783/","ссылка")</f>
        <v/>
      </c>
      <c r="R544" t="inlineStr"/>
      <c r="S544" t="inlineStr"/>
    </row>
    <row r="545">
      <c r="A545" t="inlineStr">
        <is>
          <t>Красносельский</t>
        </is>
      </c>
      <c r="B545" t="inlineStr">
        <is>
          <t>Ветеранов пр-кт, -</t>
        </is>
      </c>
      <c r="C545" t="inlineStr">
        <is>
          <t>sale</t>
        </is>
      </c>
      <c r="D545" t="inlineStr">
        <is>
          <t>Да</t>
        </is>
      </c>
      <c r="E545" t="inlineStr"/>
      <c r="F545" t="inlineStr"/>
      <c r="G545" t="inlineStr">
        <is>
          <t>1799</t>
        </is>
      </c>
      <c r="H545" t="inlineStr"/>
      <c r="I545" t="inlineStr"/>
      <c r="J545" t="inlineStr">
        <is>
          <t>400 000 000</t>
        </is>
      </c>
      <c r="K545" t="inlineStr"/>
      <c r="L545" t="inlineStr"/>
      <c r="M545" t="inlineStr">
        <is>
          <t>Нет у нас</t>
        </is>
      </c>
      <c r="N545" t="inlineStr"/>
      <c r="O545" t="inlineStr"/>
      <c r="P545" t="inlineStr"/>
      <c r="Q545">
        <f>HYPERLINK("https://knru.ru/catalog/veteranov-pr-kt-/","ссылка")</f>
        <v/>
      </c>
      <c r="R545" t="inlineStr"/>
      <c r="S545" t="inlineStr"/>
    </row>
    <row r="546">
      <c r="A546" t="inlineStr">
        <is>
          <t>Красносельский</t>
        </is>
      </c>
      <c r="B546" t="inlineStr">
        <is>
          <t>Ветеранов пр-кт, 117</t>
        </is>
      </c>
      <c r="C546" t="inlineStr">
        <is>
          <t>sale</t>
        </is>
      </c>
      <c r="D546" t="inlineStr">
        <is>
          <t>Да</t>
        </is>
      </c>
      <c r="E546" t="inlineStr"/>
      <c r="F546" t="inlineStr"/>
      <c r="G546" t="inlineStr">
        <is>
          <t>160</t>
        </is>
      </c>
      <c r="H546" t="inlineStr"/>
      <c r="I546" t="inlineStr"/>
      <c r="J546" t="inlineStr">
        <is>
          <t>75 000 000</t>
        </is>
      </c>
      <c r="K546" t="inlineStr"/>
      <c r="L546" t="inlineStr"/>
      <c r="M546" t="inlineStr">
        <is>
          <t>Нет у нас</t>
        </is>
      </c>
      <c r="N546" t="inlineStr"/>
      <c r="O546" t="inlineStr"/>
      <c r="P546" t="inlineStr"/>
      <c r="Q546">
        <f>HYPERLINK("https://knru.ru/catalog/pr-veteranov-d-117/","ссылка")</f>
        <v/>
      </c>
      <c r="R546" t="inlineStr"/>
      <c r="S546" t="inlineStr"/>
    </row>
    <row r="547">
      <c r="A547" t="inlineStr">
        <is>
          <t>Красносельский</t>
        </is>
      </c>
      <c r="B547" t="inlineStr">
        <is>
          <t>Ветеранов пр-кт, 16</t>
        </is>
      </c>
      <c r="C547" t="inlineStr">
        <is>
          <t>sale</t>
        </is>
      </c>
      <c r="D547" t="inlineStr"/>
      <c r="E547" t="inlineStr">
        <is>
          <t>Да</t>
        </is>
      </c>
      <c r="F547" t="inlineStr"/>
      <c r="G547" t="inlineStr"/>
      <c r="H547" t="inlineStr">
        <is>
          <t>600</t>
        </is>
      </c>
      <c r="I547" t="inlineStr"/>
      <c r="J547" t="inlineStr"/>
      <c r="K547" t="inlineStr">
        <is>
          <t>170 000 000</t>
        </is>
      </c>
      <c r="L547" t="inlineStr"/>
      <c r="M547" t="inlineStr"/>
      <c r="N547" t="inlineStr">
        <is>
          <t>Нет у нас</t>
        </is>
      </c>
      <c r="O547" t="inlineStr"/>
      <c r="P547" t="inlineStr"/>
      <c r="Q547" t="inlineStr"/>
      <c r="R547">
        <f>HYPERLINK("https://nordwestinvest.ru/real-estates/prodaza-arendator-piaterocka","ссылка")</f>
        <v/>
      </c>
      <c r="S547" t="inlineStr"/>
    </row>
    <row r="548">
      <c r="A548" t="inlineStr">
        <is>
          <t>Красносельский</t>
        </is>
      </c>
      <c r="B548" t="inlineStr">
        <is>
          <t>Ветеранов пр-кт, 169 к4</t>
        </is>
      </c>
      <c r="C548" t="inlineStr">
        <is>
          <t>sale</t>
        </is>
      </c>
      <c r="D548" t="inlineStr"/>
      <c r="E548" t="inlineStr">
        <is>
          <t>Да</t>
        </is>
      </c>
      <c r="F548" t="inlineStr"/>
      <c r="G548" t="inlineStr"/>
      <c r="H548" t="inlineStr">
        <is>
          <t>1740</t>
        </is>
      </c>
      <c r="I548" t="inlineStr"/>
      <c r="J548" t="inlineStr"/>
      <c r="K548" t="inlineStr">
        <is>
          <t>450 000 000</t>
        </is>
      </c>
      <c r="L548" t="inlineStr"/>
      <c r="M548" t="inlineStr"/>
      <c r="N548" t="inlineStr">
        <is>
          <t>По адресу есть, но площадь другая</t>
        </is>
      </c>
      <c r="O548" t="inlineStr"/>
      <c r="P548" t="inlineStr"/>
      <c r="Q548" t="inlineStr"/>
      <c r="R548">
        <f>HYPERLINK("https://nordwestinvest.ru/real-estates/prodaza-perekrestka-1740-m2-v-novom-tc-1","ссылка")</f>
        <v/>
      </c>
      <c r="S548" t="inlineStr"/>
    </row>
    <row r="549">
      <c r="A549" t="inlineStr">
        <is>
          <t>Красносельский</t>
        </is>
      </c>
      <c r="B549" t="inlineStr">
        <is>
          <t>Ветеранов пр-кт, 183</t>
        </is>
      </c>
      <c r="C549" t="inlineStr">
        <is>
          <t>sale</t>
        </is>
      </c>
      <c r="D549" t="inlineStr"/>
      <c r="E549" t="inlineStr">
        <is>
          <t>Да</t>
        </is>
      </c>
      <c r="F549" t="inlineStr"/>
      <c r="G549" t="inlineStr"/>
      <c r="H549" t="inlineStr">
        <is>
          <t>164.4</t>
        </is>
      </c>
      <c r="I549" t="inlineStr"/>
      <c r="J549" t="inlineStr"/>
      <c r="K549" t="inlineStr">
        <is>
          <t>59 184 000</t>
        </is>
      </c>
      <c r="L549" t="inlineStr"/>
      <c r="M549" t="inlineStr"/>
      <c r="N549" t="inlineStr">
        <is>
          <t>По адресу есть, но площадь другая</t>
        </is>
      </c>
      <c r="O549" t="inlineStr"/>
      <c r="P549" t="inlineStr"/>
      <c r="Q549" t="inlineStr"/>
      <c r="R549">
        <f>HYPERLINK("https://nordwestinvest.ru/real-estates/prodaza-ulybka-radugi-1644-m2-v-novom-tc-1","ссылка")</f>
        <v/>
      </c>
      <c r="S549" t="inlineStr"/>
    </row>
    <row r="550">
      <c r="A550" t="inlineStr">
        <is>
          <t>Красносельский</t>
        </is>
      </c>
      <c r="B550" t="inlineStr">
        <is>
          <t>Ветеранов пр-кт, 183</t>
        </is>
      </c>
      <c r="C550" t="inlineStr">
        <is>
          <t>sale</t>
        </is>
      </c>
      <c r="D550" t="inlineStr"/>
      <c r="E550" t="inlineStr">
        <is>
          <t>Да</t>
        </is>
      </c>
      <c r="F550" t="inlineStr"/>
      <c r="G550" t="inlineStr"/>
      <c r="H550" t="inlineStr">
        <is>
          <t>47</t>
        </is>
      </c>
      <c r="I550" t="inlineStr"/>
      <c r="J550" t="inlineStr"/>
      <c r="K550" t="inlineStr">
        <is>
          <t>25 380 000</t>
        </is>
      </c>
      <c r="L550" t="inlineStr"/>
      <c r="M550" t="inlineStr"/>
      <c r="N550" t="inlineStr">
        <is>
          <t>По адресу есть, но площадь другая</t>
        </is>
      </c>
      <c r="O550" t="inlineStr"/>
      <c r="P550" t="inlineStr"/>
      <c r="Q550" t="inlineStr"/>
      <c r="R550">
        <f>HYPERLINK("https://nordwestinvest.ru/real-estates/prodaza-pomeshheniia-s-arendatorom-marmelad","ссылка")</f>
        <v/>
      </c>
      <c r="S550" t="inlineStr"/>
    </row>
    <row r="551">
      <c r="A551" t="inlineStr">
        <is>
          <t>Красносельский</t>
        </is>
      </c>
      <c r="B551" t="inlineStr">
        <is>
          <t>Ветеранов пр-кт, 198</t>
        </is>
      </c>
      <c r="C551" t="inlineStr">
        <is>
          <t>sale</t>
        </is>
      </c>
      <c r="D551" t="inlineStr"/>
      <c r="E551" t="inlineStr">
        <is>
          <t>Да</t>
        </is>
      </c>
      <c r="F551" t="inlineStr"/>
      <c r="G551" t="inlineStr"/>
      <c r="H551" t="inlineStr">
        <is>
          <t>25</t>
        </is>
      </c>
      <c r="I551" t="inlineStr"/>
      <c r="J551" t="inlineStr"/>
      <c r="K551" t="inlineStr">
        <is>
          <t>14 300 000</t>
        </is>
      </c>
      <c r="L551" t="inlineStr"/>
      <c r="M551" t="inlineStr"/>
      <c r="N551" t="inlineStr">
        <is>
          <t>Совпало</t>
        </is>
      </c>
      <c r="O551" t="inlineStr"/>
      <c r="P551" t="inlineStr"/>
      <c r="Q551" t="inlineStr"/>
      <c r="R551">
        <f>HYPERLINK("https://nordwestinvest.ru/real-estates/obshhepit-saverma-25-m2-1","ссылка")</f>
        <v/>
      </c>
      <c r="S551" t="inlineStr"/>
    </row>
    <row r="552">
      <c r="A552" t="inlineStr">
        <is>
          <t>Красносельский</t>
        </is>
      </c>
      <c r="B552" t="inlineStr">
        <is>
          <t>Ветеранов пр-кт, 198</t>
        </is>
      </c>
      <c r="C552" t="inlineStr">
        <is>
          <t>sale</t>
        </is>
      </c>
      <c r="D552" t="inlineStr">
        <is>
          <t>Да</t>
        </is>
      </c>
      <c r="E552" t="inlineStr"/>
      <c r="F552" t="inlineStr"/>
      <c r="G552" t="inlineStr">
        <is>
          <t>54.3</t>
        </is>
      </c>
      <c r="H552" t="inlineStr"/>
      <c r="I552" t="inlineStr"/>
      <c r="J552" t="inlineStr">
        <is>
          <t>14 211 668</t>
        </is>
      </c>
      <c r="K552" t="inlineStr"/>
      <c r="L552" t="inlineStr"/>
      <c r="M552" t="inlineStr">
        <is>
          <t>По адресу есть, но площадь другая</t>
        </is>
      </c>
      <c r="N552" t="inlineStr"/>
      <c r="O552" t="inlineStr"/>
      <c r="P552" t="inlineStr"/>
      <c r="Q552">
        <f>HYPERLINK("https://knru.ru/catalog/pr-veteranov-d-198-2046365849/","ссылка")</f>
        <v/>
      </c>
      <c r="R552" t="inlineStr"/>
      <c r="S552" t="inlineStr"/>
    </row>
    <row r="553">
      <c r="A553" t="inlineStr">
        <is>
          <t>Красносельский</t>
        </is>
      </c>
      <c r="B553" t="inlineStr">
        <is>
          <t>Ветеранов пр-кт, 198</t>
        </is>
      </c>
      <c r="C553" t="inlineStr">
        <is>
          <t>sale</t>
        </is>
      </c>
      <c r="D553" t="inlineStr">
        <is>
          <t>Да</t>
        </is>
      </c>
      <c r="E553" t="inlineStr"/>
      <c r="F553" t="inlineStr"/>
      <c r="G553" t="inlineStr">
        <is>
          <t>85.3</t>
        </is>
      </c>
      <c r="H553" t="inlineStr"/>
      <c r="I553" t="inlineStr"/>
      <c r="J553" t="inlineStr">
        <is>
          <t>18 475 980</t>
        </is>
      </c>
      <c r="K553" t="inlineStr"/>
      <c r="L553" t="inlineStr"/>
      <c r="M553" t="inlineStr">
        <is>
          <t>По адресу есть, но площадь другая</t>
        </is>
      </c>
      <c r="N553" t="inlineStr"/>
      <c r="O553" t="inlineStr"/>
      <c r="P553" t="inlineStr"/>
      <c r="Q553">
        <f>HYPERLINK("https://knru.ru/catalog/pr-veteranov-d-198-1736335152/","ссылка")</f>
        <v/>
      </c>
      <c r="R553" t="inlineStr"/>
      <c r="S553" t="inlineStr"/>
    </row>
    <row r="554">
      <c r="A554" t="inlineStr">
        <is>
          <t>Красносельский</t>
        </is>
      </c>
      <c r="B554" t="inlineStr">
        <is>
          <t>Ветеранов пр-кт, 198</t>
        </is>
      </c>
      <c r="C554" t="inlineStr">
        <is>
          <t>sale</t>
        </is>
      </c>
      <c r="D554" t="inlineStr">
        <is>
          <t>Да</t>
        </is>
      </c>
      <c r="E554" t="inlineStr"/>
      <c r="F554" t="inlineStr"/>
      <c r="G554" t="inlineStr">
        <is>
          <t>139.6</t>
        </is>
      </c>
      <c r="H554" t="inlineStr"/>
      <c r="I554" t="inlineStr"/>
      <c r="J554" t="inlineStr">
        <is>
          <t>234 152</t>
        </is>
      </c>
      <c r="K554" t="inlineStr"/>
      <c r="L554" t="inlineStr"/>
      <c r="M554" t="inlineStr">
        <is>
          <t>По адресу есть, но площадь другая</t>
        </is>
      </c>
      <c r="N554" t="inlineStr"/>
      <c r="O554" t="inlineStr"/>
      <c r="P554" t="inlineStr"/>
      <c r="Q554">
        <f>HYPERLINK("https://knru.ru/catalog/pr-veteranov-d-198/","ссылка")</f>
        <v/>
      </c>
      <c r="R554" t="inlineStr"/>
      <c r="S554" t="inlineStr"/>
    </row>
    <row r="555">
      <c r="A555" t="inlineStr">
        <is>
          <t>Красносельский</t>
        </is>
      </c>
      <c r="B555" t="inlineStr">
        <is>
          <t>Ветеранов, 171</t>
        </is>
      </c>
      <c r="C555" t="inlineStr">
        <is>
          <t>sale</t>
        </is>
      </c>
      <c r="D555" t="inlineStr">
        <is>
          <t>Да</t>
        </is>
      </c>
      <c r="E555" t="inlineStr"/>
      <c r="F555" t="inlineStr"/>
      <c r="G555" t="inlineStr">
        <is>
          <t>265</t>
        </is>
      </c>
      <c r="H555" t="inlineStr"/>
      <c r="I555" t="inlineStr"/>
      <c r="J555" t="inlineStr">
        <is>
          <t>100 000 000</t>
        </is>
      </c>
      <c r="K555" t="inlineStr"/>
      <c r="L555" t="inlineStr"/>
      <c r="M555" t="inlineStr">
        <is>
          <t>По адресу есть, но площадь другая</t>
        </is>
      </c>
      <c r="N555" t="inlineStr"/>
      <c r="O555" t="inlineStr"/>
      <c r="P555" t="inlineStr"/>
      <c r="Q555">
        <f>HYPERLINK("https://knru.ru/catalog/pr-veteranov-d-171-k-5/","ссылка")</f>
        <v/>
      </c>
      <c r="R555" t="inlineStr"/>
      <c r="S555" t="inlineStr"/>
    </row>
    <row r="556">
      <c r="A556" t="inlineStr">
        <is>
          <t>Красносельский</t>
        </is>
      </c>
      <c r="B556" t="inlineStr">
        <is>
          <t>Восстановления ул.</t>
        </is>
      </c>
      <c r="C556" t="inlineStr">
        <is>
          <t>sale</t>
        </is>
      </c>
      <c r="D556" t="inlineStr">
        <is>
          <t>Да</t>
        </is>
      </c>
      <c r="E556" t="inlineStr"/>
      <c r="F556" t="inlineStr"/>
      <c r="G556" t="inlineStr">
        <is>
          <t>558</t>
        </is>
      </c>
      <c r="H556" t="inlineStr"/>
      <c r="I556" t="inlineStr"/>
      <c r="J556" t="inlineStr">
        <is>
          <t>69 308 243</t>
        </is>
      </c>
      <c r="K556" t="inlineStr"/>
      <c r="L556" t="inlineStr"/>
      <c r="M556" t="inlineStr">
        <is>
          <t>Нет у нас</t>
        </is>
      </c>
      <c r="N556" t="inlineStr"/>
      <c r="O556" t="inlineStr"/>
      <c r="P556" t="inlineStr"/>
      <c r="Q556">
        <f>HYPERLINK("https://knru.ru/catalog/vosstanovleniya-ul-1026362534/","ссылка")</f>
        <v/>
      </c>
      <c r="R556" t="inlineStr"/>
      <c r="S556" t="inlineStr"/>
    </row>
    <row r="557">
      <c r="A557" t="inlineStr">
        <is>
          <t>Красносельский</t>
        </is>
      </c>
      <c r="B557" t="inlineStr">
        <is>
          <t>Восстановления ул.</t>
        </is>
      </c>
      <c r="C557" t="inlineStr">
        <is>
          <t>sale</t>
        </is>
      </c>
      <c r="D557" t="inlineStr">
        <is>
          <t>Да</t>
        </is>
      </c>
      <c r="E557" t="inlineStr"/>
      <c r="F557" t="inlineStr"/>
      <c r="G557" t="inlineStr">
        <is>
          <t>113.4</t>
        </is>
      </c>
      <c r="H557" t="inlineStr"/>
      <c r="I557" t="inlineStr"/>
      <c r="J557" t="inlineStr">
        <is>
          <t>30 618 000</t>
        </is>
      </c>
      <c r="K557" t="inlineStr"/>
      <c r="L557" t="inlineStr"/>
      <c r="M557" t="inlineStr">
        <is>
          <t>Нет у нас</t>
        </is>
      </c>
      <c r="N557" t="inlineStr"/>
      <c r="O557" t="inlineStr"/>
      <c r="P557" t="inlineStr"/>
      <c r="Q557">
        <f>HYPERLINK("https://knru.ru/catalog/vosstanovleniya-ul-245096168/","ссылка")</f>
        <v/>
      </c>
      <c r="R557" t="inlineStr"/>
      <c r="S557" t="inlineStr"/>
    </row>
    <row r="558">
      <c r="A558" t="inlineStr">
        <is>
          <t>Красносельский</t>
        </is>
      </c>
      <c r="B558" t="inlineStr">
        <is>
          <t>Восстановления ул.</t>
        </is>
      </c>
      <c r="C558" t="inlineStr">
        <is>
          <t>sale</t>
        </is>
      </c>
      <c r="D558" t="inlineStr">
        <is>
          <t>Да</t>
        </is>
      </c>
      <c r="E558" t="inlineStr"/>
      <c r="F558" t="inlineStr"/>
      <c r="G558" t="inlineStr">
        <is>
          <t>335.4</t>
        </is>
      </c>
      <c r="H558" t="inlineStr"/>
      <c r="I558" t="inlineStr"/>
      <c r="J558" t="inlineStr">
        <is>
          <t>83 857 500</t>
        </is>
      </c>
      <c r="K558" t="inlineStr"/>
      <c r="L558" t="inlineStr"/>
      <c r="M558" t="inlineStr">
        <is>
          <t>Нет у нас</t>
        </is>
      </c>
      <c r="N558" t="inlineStr"/>
      <c r="O558" t="inlineStr"/>
      <c r="P558" t="inlineStr"/>
      <c r="Q558">
        <f>HYPERLINK("https://knru.ru/catalog/vosstanovleniya-ul-780623224/","ссылка")</f>
        <v/>
      </c>
      <c r="R558" t="inlineStr"/>
      <c r="S558" t="inlineStr"/>
    </row>
    <row r="559">
      <c r="A559" t="inlineStr">
        <is>
          <t>Красносельский</t>
        </is>
      </c>
      <c r="B559" t="inlineStr">
        <is>
          <t>Восстановления ул.</t>
        </is>
      </c>
      <c r="C559" t="inlineStr">
        <is>
          <t>sale</t>
        </is>
      </c>
      <c r="D559" t="inlineStr">
        <is>
          <t>Да</t>
        </is>
      </c>
      <c r="E559" t="inlineStr"/>
      <c r="F559" t="inlineStr"/>
      <c r="G559" t="inlineStr">
        <is>
          <t>14.3</t>
        </is>
      </c>
      <c r="H559" t="inlineStr"/>
      <c r="I559" t="inlineStr"/>
      <c r="J559" t="inlineStr">
        <is>
          <t>4 042 496</t>
        </is>
      </c>
      <c r="K559" t="inlineStr"/>
      <c r="L559" t="inlineStr"/>
      <c r="M559" t="inlineStr">
        <is>
          <t>Нет у нас</t>
        </is>
      </c>
      <c r="N559" t="inlineStr"/>
      <c r="O559" t="inlineStr"/>
      <c r="P559" t="inlineStr"/>
      <c r="Q559">
        <f>HYPERLINK("https://knru.ru/catalog/vosstanovleniya-ul-155879828/","ссылка")</f>
        <v/>
      </c>
      <c r="R559" t="inlineStr"/>
      <c r="S559" t="inlineStr"/>
    </row>
    <row r="560">
      <c r="A560" t="inlineStr">
        <is>
          <t>Красносельский</t>
        </is>
      </c>
      <c r="B560" t="inlineStr">
        <is>
          <t>Восстановления ул.</t>
        </is>
      </c>
      <c r="C560" t="inlineStr">
        <is>
          <t>sale</t>
        </is>
      </c>
      <c r="D560" t="inlineStr">
        <is>
          <t>Да</t>
        </is>
      </c>
      <c r="E560" t="inlineStr"/>
      <c r="F560" t="inlineStr"/>
      <c r="G560" t="inlineStr">
        <is>
          <t>5.1</t>
        </is>
      </c>
      <c r="H560" t="inlineStr"/>
      <c r="I560" t="inlineStr"/>
      <c r="J560" t="inlineStr">
        <is>
          <t>1 606 500</t>
        </is>
      </c>
      <c r="K560" t="inlineStr"/>
      <c r="L560" t="inlineStr"/>
      <c r="M560" t="inlineStr">
        <is>
          <t>Нет у нас</t>
        </is>
      </c>
      <c r="N560" t="inlineStr"/>
      <c r="O560" t="inlineStr"/>
      <c r="P560" t="inlineStr"/>
      <c r="Q560">
        <f>HYPERLINK("https://knru.ru/catalog/vosstanovleniya-ul-2045630140/","ссылка")</f>
        <v/>
      </c>
      <c r="R560" t="inlineStr"/>
      <c r="S560" t="inlineStr"/>
    </row>
    <row r="561">
      <c r="A561" t="inlineStr">
        <is>
          <t>Красносельский</t>
        </is>
      </c>
      <c r="B561" t="inlineStr">
        <is>
          <t>Восстановления ул.</t>
        </is>
      </c>
      <c r="C561" t="inlineStr">
        <is>
          <t>sale</t>
        </is>
      </c>
      <c r="D561" t="inlineStr">
        <is>
          <t>Да</t>
        </is>
      </c>
      <c r="E561" t="inlineStr"/>
      <c r="F561" t="inlineStr"/>
      <c r="G561" t="inlineStr">
        <is>
          <t>9.9</t>
        </is>
      </c>
      <c r="H561" t="inlineStr"/>
      <c r="I561" t="inlineStr"/>
      <c r="J561" t="inlineStr">
        <is>
          <t>2 702 700</t>
        </is>
      </c>
      <c r="K561" t="inlineStr"/>
      <c r="L561" t="inlineStr"/>
      <c r="M561" t="inlineStr">
        <is>
          <t>Нет у нас</t>
        </is>
      </c>
      <c r="N561" t="inlineStr"/>
      <c r="O561" t="inlineStr"/>
      <c r="P561" t="inlineStr"/>
      <c r="Q561">
        <f>HYPERLINK("https://knru.ru/catalog/vosstanovleniya-ul-1795392316/","ссылка")</f>
        <v/>
      </c>
      <c r="R561" t="inlineStr"/>
      <c r="S561" t="inlineStr"/>
    </row>
    <row r="562">
      <c r="A562" t="inlineStr">
        <is>
          <t>Красносельский</t>
        </is>
      </c>
      <c r="B562" t="inlineStr">
        <is>
          <t>Восстановления ул.</t>
        </is>
      </c>
      <c r="C562" t="inlineStr">
        <is>
          <t>sale</t>
        </is>
      </c>
      <c r="D562" t="inlineStr">
        <is>
          <t>Да</t>
        </is>
      </c>
      <c r="E562" t="inlineStr"/>
      <c r="F562" t="inlineStr"/>
      <c r="G562" t="inlineStr">
        <is>
          <t>75.8</t>
        </is>
      </c>
      <c r="H562" t="inlineStr"/>
      <c r="I562" t="inlineStr"/>
      <c r="J562" t="inlineStr">
        <is>
          <t>12 734 400</t>
        </is>
      </c>
      <c r="K562" t="inlineStr"/>
      <c r="L562" t="inlineStr"/>
      <c r="M562" t="inlineStr">
        <is>
          <t>Нет у нас</t>
        </is>
      </c>
      <c r="N562" t="inlineStr"/>
      <c r="O562" t="inlineStr"/>
      <c r="P562" t="inlineStr"/>
      <c r="Q562">
        <f>HYPERLINK("https://knru.ru/catalog/vosstanovleniya-ul-1736012/","ссылка")</f>
        <v/>
      </c>
      <c r="R562" t="inlineStr"/>
      <c r="S562" t="inlineStr"/>
    </row>
    <row r="563">
      <c r="A563" t="inlineStr">
        <is>
          <t>Красносельский</t>
        </is>
      </c>
      <c r="B563" t="inlineStr">
        <is>
          <t>Восстановления ул.</t>
        </is>
      </c>
      <c r="C563" t="inlineStr">
        <is>
          <t>sale</t>
        </is>
      </c>
      <c r="D563" t="inlineStr">
        <is>
          <t>Да</t>
        </is>
      </c>
      <c r="E563" t="inlineStr"/>
      <c r="F563" t="inlineStr"/>
      <c r="G563" t="inlineStr">
        <is>
          <t>117</t>
        </is>
      </c>
      <c r="H563" t="inlineStr"/>
      <c r="I563" t="inlineStr"/>
      <c r="J563" t="inlineStr">
        <is>
          <t>20 889 855</t>
        </is>
      </c>
      <c r="K563" t="inlineStr"/>
      <c r="L563" t="inlineStr"/>
      <c r="M563" t="inlineStr">
        <is>
          <t>Нет у нас</t>
        </is>
      </c>
      <c r="N563" t="inlineStr"/>
      <c r="O563" t="inlineStr"/>
      <c r="P563" t="inlineStr"/>
      <c r="Q563">
        <f>HYPERLINK("https://knru.ru/catalog/vosstanovleniya-ul-333156923/","ссылка")</f>
        <v/>
      </c>
      <c r="R563" t="inlineStr"/>
      <c r="S563" t="inlineStr"/>
    </row>
    <row r="564">
      <c r="A564" t="inlineStr">
        <is>
          <t>Красносельский</t>
        </is>
      </c>
      <c r="B564" t="inlineStr">
        <is>
          <t>Восстановления ул.</t>
        </is>
      </c>
      <c r="C564" t="inlineStr">
        <is>
          <t>sale</t>
        </is>
      </c>
      <c r="D564" t="inlineStr">
        <is>
          <t>Да</t>
        </is>
      </c>
      <c r="E564" t="inlineStr"/>
      <c r="F564" t="inlineStr"/>
      <c r="G564" t="inlineStr">
        <is>
          <t>107.9</t>
        </is>
      </c>
      <c r="H564" t="inlineStr"/>
      <c r="I564" t="inlineStr"/>
      <c r="J564" t="inlineStr">
        <is>
          <t>15 296 243</t>
        </is>
      </c>
      <c r="K564" t="inlineStr"/>
      <c r="L564" t="inlineStr"/>
      <c r="M564" t="inlineStr">
        <is>
          <t>Нет у нас</t>
        </is>
      </c>
      <c r="N564" t="inlineStr"/>
      <c r="O564" t="inlineStr"/>
      <c r="P564" t="inlineStr"/>
      <c r="Q564">
        <f>HYPERLINK("https://knru.ru/catalog/vosstanovleniya-ul-1444420931/","ссылка")</f>
        <v/>
      </c>
      <c r="R564" t="inlineStr"/>
      <c r="S564" t="inlineStr"/>
    </row>
    <row r="565">
      <c r="A565" t="inlineStr">
        <is>
          <t>Красносельский</t>
        </is>
      </c>
      <c r="B565" t="inlineStr">
        <is>
          <t>Восстановления ул.</t>
        </is>
      </c>
      <c r="C565" t="inlineStr">
        <is>
          <t>sale</t>
        </is>
      </c>
      <c r="D565" t="inlineStr">
        <is>
          <t>Да</t>
        </is>
      </c>
      <c r="E565" t="inlineStr"/>
      <c r="F565" t="inlineStr"/>
      <c r="G565" t="inlineStr">
        <is>
          <t>137.6</t>
        </is>
      </c>
      <c r="H565" t="inlineStr"/>
      <c r="I565" t="inlineStr"/>
      <c r="J565" t="inlineStr">
        <is>
          <t>16 516 800</t>
        </is>
      </c>
      <c r="K565" t="inlineStr"/>
      <c r="L565" t="inlineStr"/>
      <c r="M565" t="inlineStr">
        <is>
          <t>Нет у нас</t>
        </is>
      </c>
      <c r="N565" t="inlineStr"/>
      <c r="O565" t="inlineStr"/>
      <c r="P565" t="inlineStr"/>
      <c r="Q565">
        <f>HYPERLINK("https://knru.ru/catalog/vosstanovleniya-ul-571488554/","ссылка")</f>
        <v/>
      </c>
      <c r="R565" t="inlineStr"/>
      <c r="S565" t="inlineStr"/>
    </row>
    <row r="566">
      <c r="A566" t="inlineStr">
        <is>
          <t>Красносельский</t>
        </is>
      </c>
      <c r="B566" t="inlineStr">
        <is>
          <t>Восстановления ул.</t>
        </is>
      </c>
      <c r="C566" t="inlineStr">
        <is>
          <t>sale</t>
        </is>
      </c>
      <c r="D566" t="inlineStr">
        <is>
          <t>Да</t>
        </is>
      </c>
      <c r="E566" t="inlineStr"/>
      <c r="F566" t="inlineStr"/>
      <c r="G566" t="inlineStr">
        <is>
          <t>149.7</t>
        </is>
      </c>
      <c r="H566" t="inlineStr"/>
      <c r="I566" t="inlineStr"/>
      <c r="J566" t="inlineStr">
        <is>
          <t>17 960 400</t>
        </is>
      </c>
      <c r="K566" t="inlineStr"/>
      <c r="L566" t="inlineStr"/>
      <c r="M566" t="inlineStr">
        <is>
          <t>Нет у нас</t>
        </is>
      </c>
      <c r="N566" t="inlineStr"/>
      <c r="O566" t="inlineStr"/>
      <c r="P566" t="inlineStr"/>
      <c r="Q566">
        <f>HYPERLINK("https://knru.ru/catalog/vosstanovleniya-ul-209763922/","ссылка")</f>
        <v/>
      </c>
      <c r="R566" t="inlineStr"/>
      <c r="S566" t="inlineStr"/>
    </row>
    <row r="567">
      <c r="A567" t="inlineStr">
        <is>
          <t>Красносельский</t>
        </is>
      </c>
      <c r="B567" t="inlineStr">
        <is>
          <t>Восстановления ул.</t>
        </is>
      </c>
      <c r="C567" t="inlineStr">
        <is>
          <t>sale</t>
        </is>
      </c>
      <c r="D567" t="inlineStr">
        <is>
          <t>Да</t>
        </is>
      </c>
      <c r="E567" t="inlineStr"/>
      <c r="F567" t="inlineStr"/>
      <c r="G567" t="inlineStr">
        <is>
          <t>17.6</t>
        </is>
      </c>
      <c r="H567" t="inlineStr"/>
      <c r="I567" t="inlineStr"/>
      <c r="J567" t="inlineStr">
        <is>
          <t>4 392 500</t>
        </is>
      </c>
      <c r="K567" t="inlineStr"/>
      <c r="L567" t="inlineStr"/>
      <c r="M567" t="inlineStr">
        <is>
          <t>Нет у нас</t>
        </is>
      </c>
      <c r="N567" t="inlineStr"/>
      <c r="O567" t="inlineStr"/>
      <c r="P567" t="inlineStr"/>
      <c r="Q567">
        <f>HYPERLINK("https://knru.ru/catalog/vosstanovleniya-ul-849945158/","ссылка")</f>
        <v/>
      </c>
      <c r="R567" t="inlineStr"/>
      <c r="S567" t="inlineStr"/>
    </row>
    <row r="568">
      <c r="A568" t="inlineStr">
        <is>
          <t>Красносельский</t>
        </is>
      </c>
      <c r="B568" t="inlineStr">
        <is>
          <t>Восстановления ул.</t>
        </is>
      </c>
      <c r="C568" t="inlineStr">
        <is>
          <t>sale</t>
        </is>
      </c>
      <c r="D568" t="inlineStr">
        <is>
          <t>Да</t>
        </is>
      </c>
      <c r="E568" t="inlineStr"/>
      <c r="F568" t="inlineStr"/>
      <c r="G568" t="inlineStr">
        <is>
          <t>123</t>
        </is>
      </c>
      <c r="H568" t="inlineStr"/>
      <c r="I568" t="inlineStr"/>
      <c r="J568" t="inlineStr">
        <is>
          <t>16 605 000</t>
        </is>
      </c>
      <c r="K568" t="inlineStr"/>
      <c r="L568" t="inlineStr"/>
      <c r="M568" t="inlineStr">
        <is>
          <t>Нет у нас</t>
        </is>
      </c>
      <c r="N568" t="inlineStr"/>
      <c r="O568" t="inlineStr"/>
      <c r="P568" t="inlineStr"/>
      <c r="Q568">
        <f>HYPERLINK("https://knru.ru/catalog/vosstanovleniya-ul-1283865524/","ссылка")</f>
        <v/>
      </c>
      <c r="R568" t="inlineStr"/>
      <c r="S568" t="inlineStr"/>
    </row>
    <row r="569">
      <c r="A569" t="inlineStr">
        <is>
          <t>Красносельский</t>
        </is>
      </c>
      <c r="B569" t="inlineStr">
        <is>
          <t>Восстановления ул.</t>
        </is>
      </c>
      <c r="C569" t="inlineStr">
        <is>
          <t>sale</t>
        </is>
      </c>
      <c r="D569" t="inlineStr">
        <is>
          <t>Да</t>
        </is>
      </c>
      <c r="E569" t="inlineStr"/>
      <c r="F569" t="inlineStr"/>
      <c r="G569" t="inlineStr">
        <is>
          <t>63.8</t>
        </is>
      </c>
      <c r="H569" t="inlineStr"/>
      <c r="I569" t="inlineStr"/>
      <c r="J569" t="inlineStr">
        <is>
          <t>22 780 170</t>
        </is>
      </c>
      <c r="K569" t="inlineStr"/>
      <c r="L569" t="inlineStr"/>
      <c r="M569" t="inlineStr">
        <is>
          <t>Нет у нас</t>
        </is>
      </c>
      <c r="N569" t="inlineStr"/>
      <c r="O569" t="inlineStr"/>
      <c r="P569" t="inlineStr"/>
      <c r="Q569">
        <f>HYPERLINK("https://knru.ru/catalog/vosstanovleniya-ul-1620168768/","ссылка")</f>
        <v/>
      </c>
      <c r="R569" t="inlineStr"/>
      <c r="S569" t="inlineStr"/>
    </row>
    <row r="570">
      <c r="A570" t="inlineStr">
        <is>
          <t>Красносельский</t>
        </is>
      </c>
      <c r="B570" t="inlineStr">
        <is>
          <t>Восстановления ул, 19</t>
        </is>
      </c>
      <c r="C570" t="inlineStr">
        <is>
          <t>sale</t>
        </is>
      </c>
      <c r="D570" t="inlineStr">
        <is>
          <t>Да</t>
        </is>
      </c>
      <c r="E570" t="inlineStr"/>
      <c r="F570" t="inlineStr"/>
      <c r="G570" t="inlineStr">
        <is>
          <t>364</t>
        </is>
      </c>
      <c r="H570" t="inlineStr"/>
      <c r="I570" t="inlineStr"/>
      <c r="J570" t="inlineStr">
        <is>
          <t>124 400 250</t>
        </is>
      </c>
      <c r="K570" t="inlineStr"/>
      <c r="L570" t="inlineStr"/>
      <c r="M570" t="inlineStr">
        <is>
          <t>По адресу есть, но площадь другая</t>
        </is>
      </c>
      <c r="N570" t="inlineStr"/>
      <c r="O570" t="inlineStr"/>
      <c r="P570" t="inlineStr"/>
      <c r="Q570">
        <f>HYPERLINK("https://knru.ru/catalog/ul-vosstanovleniya-d-19-1367429219/","ссылка")</f>
        <v/>
      </c>
      <c r="R570" t="inlineStr"/>
      <c r="S570" t="inlineStr"/>
    </row>
    <row r="571">
      <c r="A571" t="inlineStr">
        <is>
          <t>Красносельский</t>
        </is>
      </c>
      <c r="B571" t="inlineStr">
        <is>
          <t>Восстановления ул, 19</t>
        </is>
      </c>
      <c r="C571" t="inlineStr">
        <is>
          <t>sale</t>
        </is>
      </c>
      <c r="D571" t="inlineStr">
        <is>
          <t>Да</t>
        </is>
      </c>
      <c r="E571" t="inlineStr"/>
      <c r="F571" t="inlineStr"/>
      <c r="G571" t="inlineStr">
        <is>
          <t>335.4</t>
        </is>
      </c>
      <c r="H571" t="inlineStr"/>
      <c r="I571" t="inlineStr"/>
      <c r="J571" t="inlineStr">
        <is>
          <t>83 857 500</t>
        </is>
      </c>
      <c r="K571" t="inlineStr"/>
      <c r="L571" t="inlineStr"/>
      <c r="M571" t="inlineStr">
        <is>
          <t>По адресу есть, но площадь другая</t>
        </is>
      </c>
      <c r="N571" t="inlineStr"/>
      <c r="O571" t="inlineStr"/>
      <c r="P571" t="inlineStr"/>
      <c r="Q571">
        <f>HYPERLINK("https://knru.ru/catalog/ul-vosstanovleniya-d-19-1235878914/","ссылка")</f>
        <v/>
      </c>
      <c r="R571" t="inlineStr"/>
      <c r="S571" t="inlineStr"/>
    </row>
    <row r="572">
      <c r="A572" t="inlineStr">
        <is>
          <t>Красносельский</t>
        </is>
      </c>
      <c r="B572" t="inlineStr">
        <is>
          <t>Восстановления ул, 19</t>
        </is>
      </c>
      <c r="C572" t="inlineStr">
        <is>
          <t>sale</t>
        </is>
      </c>
      <c r="D572" t="inlineStr">
        <is>
          <t>Да</t>
        </is>
      </c>
      <c r="E572" t="inlineStr"/>
      <c r="F572" t="inlineStr"/>
      <c r="G572" t="inlineStr">
        <is>
          <t>132.9</t>
        </is>
      </c>
      <c r="H572" t="inlineStr"/>
      <c r="I572" t="inlineStr"/>
      <c r="J572" t="inlineStr">
        <is>
          <t>29 235 800</t>
        </is>
      </c>
      <c r="K572" t="inlineStr"/>
      <c r="L572" t="inlineStr"/>
      <c r="M572" t="inlineStr">
        <is>
          <t>По адресу есть, но площадь другая</t>
        </is>
      </c>
      <c r="N572" t="inlineStr"/>
      <c r="O572" t="inlineStr"/>
      <c r="P572" t="inlineStr"/>
      <c r="Q572">
        <f>HYPERLINK("https://knru.ru/catalog/ul-vosstanovleniya-d-19-1217287841/","ссылка")</f>
        <v/>
      </c>
      <c r="R572" t="inlineStr"/>
      <c r="S572" t="inlineStr"/>
    </row>
    <row r="573">
      <c r="A573" t="inlineStr">
        <is>
          <t>Красносельский</t>
        </is>
      </c>
      <c r="B573" t="inlineStr">
        <is>
          <t>Восстановления ул, 19</t>
        </is>
      </c>
      <c r="C573" t="inlineStr">
        <is>
          <t>sale</t>
        </is>
      </c>
      <c r="D573" t="inlineStr">
        <is>
          <t>Да</t>
        </is>
      </c>
      <c r="E573" t="inlineStr"/>
      <c r="F573" t="inlineStr"/>
      <c r="G573" t="inlineStr">
        <is>
          <t>117</t>
        </is>
      </c>
      <c r="H573" t="inlineStr"/>
      <c r="I573" t="inlineStr"/>
      <c r="J573" t="inlineStr">
        <is>
          <t>20 889 855</t>
        </is>
      </c>
      <c r="K573" t="inlineStr"/>
      <c r="L573" t="inlineStr"/>
      <c r="M573" t="inlineStr">
        <is>
          <t>По адресу есть, но площадь другая</t>
        </is>
      </c>
      <c r="N573" t="inlineStr"/>
      <c r="O573" t="inlineStr"/>
      <c r="P573" t="inlineStr"/>
      <c r="Q573">
        <f>HYPERLINK("https://knru.ru/catalog/ul-vosstanovleniya-d-19-394890104/","ссылка")</f>
        <v/>
      </c>
      <c r="R573" t="inlineStr"/>
      <c r="S573" t="inlineStr"/>
    </row>
    <row r="574">
      <c r="A574" t="inlineStr">
        <is>
          <t>Красносельский</t>
        </is>
      </c>
      <c r="B574" t="inlineStr">
        <is>
          <t>Восстановления ул, 19</t>
        </is>
      </c>
      <c r="C574" t="inlineStr">
        <is>
          <t>sale</t>
        </is>
      </c>
      <c r="D574" t="inlineStr">
        <is>
          <t>Да</t>
        </is>
      </c>
      <c r="E574" t="inlineStr"/>
      <c r="F574" t="inlineStr"/>
      <c r="G574" t="inlineStr">
        <is>
          <t>75.8</t>
        </is>
      </c>
      <c r="H574" t="inlineStr"/>
      <c r="I574" t="inlineStr"/>
      <c r="J574" t="inlineStr">
        <is>
          <t>12 734 400</t>
        </is>
      </c>
      <c r="K574" t="inlineStr"/>
      <c r="L574" t="inlineStr"/>
      <c r="M574" t="inlineStr">
        <is>
          <t>По адресу есть, но площадь другая</t>
        </is>
      </c>
      <c r="N574" t="inlineStr"/>
      <c r="O574" t="inlineStr"/>
      <c r="P574" t="inlineStr"/>
      <c r="Q574">
        <f>HYPERLINK("https://knru.ru/catalog/ul-vosstanovleniya-d-19-43987853/","ссылка")</f>
        <v/>
      </c>
      <c r="R574" t="inlineStr"/>
      <c r="S574" t="inlineStr"/>
    </row>
    <row r="575">
      <c r="A575" t="inlineStr">
        <is>
          <t>Красносельский</t>
        </is>
      </c>
      <c r="B575" t="inlineStr">
        <is>
          <t>Восстановления ул, 19</t>
        </is>
      </c>
      <c r="C575" t="inlineStr">
        <is>
          <t>sale</t>
        </is>
      </c>
      <c r="D575" t="inlineStr">
        <is>
          <t>Да</t>
        </is>
      </c>
      <c r="E575" t="inlineStr"/>
      <c r="F575" t="inlineStr"/>
      <c r="G575" t="inlineStr">
        <is>
          <t>123</t>
        </is>
      </c>
      <c r="H575" t="inlineStr"/>
      <c r="I575" t="inlineStr"/>
      <c r="J575" t="inlineStr">
        <is>
          <t>16 605 000</t>
        </is>
      </c>
      <c r="K575" t="inlineStr"/>
      <c r="L575" t="inlineStr"/>
      <c r="M575" t="inlineStr">
        <is>
          <t>По адресу есть, но площадь другая</t>
        </is>
      </c>
      <c r="N575" t="inlineStr"/>
      <c r="O575" t="inlineStr"/>
      <c r="P575" t="inlineStr"/>
      <c r="Q575">
        <f>HYPERLINK("https://knru.ru/catalog/ul-vosstanovleniya-d-19-561006/","ссылка")</f>
        <v/>
      </c>
      <c r="R575" t="inlineStr"/>
      <c r="S575" t="inlineStr"/>
    </row>
    <row r="576">
      <c r="A576" t="inlineStr">
        <is>
          <t>Красносельский</t>
        </is>
      </c>
      <c r="B576" t="inlineStr">
        <is>
          <t>Восстановления ул, 19</t>
        </is>
      </c>
      <c r="C576" t="inlineStr">
        <is>
          <t>sale</t>
        </is>
      </c>
      <c r="D576" t="inlineStr">
        <is>
          <t>Да</t>
        </is>
      </c>
      <c r="E576" t="inlineStr"/>
      <c r="F576" t="inlineStr"/>
      <c r="G576" t="inlineStr">
        <is>
          <t>162.8</t>
        </is>
      </c>
      <c r="H576" t="inlineStr"/>
      <c r="I576" t="inlineStr"/>
      <c r="J576" t="inlineStr">
        <is>
          <t>20 348 750</t>
        </is>
      </c>
      <c r="K576" t="inlineStr"/>
      <c r="L576" t="inlineStr"/>
      <c r="M576" t="inlineStr">
        <is>
          <t>Совпало</t>
        </is>
      </c>
      <c r="N576" t="inlineStr"/>
      <c r="O576" t="inlineStr"/>
      <c r="P576" t="inlineStr"/>
      <c r="Q576">
        <f>HYPERLINK("https://knru.ru/catalog/ul-vosstanovleniya-d-19-561005/","ссылка")</f>
        <v/>
      </c>
      <c r="R576" t="inlineStr"/>
      <c r="S576" t="inlineStr"/>
    </row>
    <row r="577">
      <c r="A577" t="inlineStr">
        <is>
          <t>Красносельский</t>
        </is>
      </c>
      <c r="B577" t="inlineStr">
        <is>
          <t>Восстановления ул, 19</t>
        </is>
      </c>
      <c r="C577" t="inlineStr">
        <is>
          <t>sale</t>
        </is>
      </c>
      <c r="D577" t="inlineStr">
        <is>
          <t>Да</t>
        </is>
      </c>
      <c r="E577" t="inlineStr"/>
      <c r="F577" t="inlineStr"/>
      <c r="G577" t="inlineStr">
        <is>
          <t>149.7</t>
        </is>
      </c>
      <c r="H577" t="inlineStr"/>
      <c r="I577" t="inlineStr"/>
      <c r="J577" t="inlineStr">
        <is>
          <t>18 708 750</t>
        </is>
      </c>
      <c r="K577" t="inlineStr"/>
      <c r="L577" t="inlineStr"/>
      <c r="M577" t="inlineStr">
        <is>
          <t>По адресу есть, но площадь другая</t>
        </is>
      </c>
      <c r="N577" t="inlineStr"/>
      <c r="O577" t="inlineStr"/>
      <c r="P577" t="inlineStr"/>
      <c r="Q577">
        <f>HYPERLINK("https://knru.ru/catalog/ul-vosstanovleniya-d-19-561004/","ссылка")</f>
        <v/>
      </c>
      <c r="R577" t="inlineStr"/>
      <c r="S577" t="inlineStr"/>
    </row>
    <row r="578">
      <c r="A578" t="inlineStr">
        <is>
          <t>Красносельский</t>
        </is>
      </c>
      <c r="B578" t="inlineStr">
        <is>
          <t>Восстановления ул, 19</t>
        </is>
      </c>
      <c r="C578" t="inlineStr">
        <is>
          <t>sale</t>
        </is>
      </c>
      <c r="D578" t="inlineStr">
        <is>
          <t>Да</t>
        </is>
      </c>
      <c r="E578" t="inlineStr"/>
      <c r="F578" t="inlineStr"/>
      <c r="G578" t="inlineStr">
        <is>
          <t>113.8</t>
        </is>
      </c>
      <c r="H578" t="inlineStr"/>
      <c r="I578" t="inlineStr"/>
      <c r="J578" t="inlineStr">
        <is>
          <t>28 440 000</t>
        </is>
      </c>
      <c r="K578" t="inlineStr"/>
      <c r="L578" t="inlineStr"/>
      <c r="M578" t="inlineStr">
        <is>
          <t>По адресу есть, но площадь другая</t>
        </is>
      </c>
      <c r="N578" t="inlineStr"/>
      <c r="O578" t="inlineStr"/>
      <c r="P578" t="inlineStr"/>
      <c r="Q578">
        <f>HYPERLINK("https://knru.ru/catalog/ul-vosstanovleniya-d-19-561002/","ссылка")</f>
        <v/>
      </c>
      <c r="R578" t="inlineStr"/>
      <c r="S578" t="inlineStr"/>
    </row>
    <row r="579">
      <c r="A579" t="inlineStr">
        <is>
          <t>Красносельский</t>
        </is>
      </c>
      <c r="B579" t="inlineStr">
        <is>
          <t>Восстановления ул, 19</t>
        </is>
      </c>
      <c r="C579" t="inlineStr">
        <is>
          <t>sale</t>
        </is>
      </c>
      <c r="D579" t="inlineStr">
        <is>
          <t>Да</t>
        </is>
      </c>
      <c r="E579" t="inlineStr"/>
      <c r="F579" t="inlineStr"/>
      <c r="G579" t="inlineStr">
        <is>
          <t>107.9</t>
        </is>
      </c>
      <c r="H579" t="inlineStr"/>
      <c r="I579" t="inlineStr"/>
      <c r="J579" t="inlineStr">
        <is>
          <t>15 296 243</t>
        </is>
      </c>
      <c r="K579" t="inlineStr"/>
      <c r="L579" t="inlineStr"/>
      <c r="M579" t="inlineStr">
        <is>
          <t>Совпало</t>
        </is>
      </c>
      <c r="N579" t="inlineStr"/>
      <c r="O579" t="inlineStr"/>
      <c r="P579" t="inlineStr"/>
      <c r="Q579">
        <f>HYPERLINK("https://knru.ru/catalog/ul-vosstanovleniya-d-19-561003/","ссылка")</f>
        <v/>
      </c>
      <c r="R579" t="inlineStr"/>
      <c r="S579" t="inlineStr"/>
    </row>
    <row r="580">
      <c r="A580" t="inlineStr">
        <is>
          <t>Красносельский</t>
        </is>
      </c>
      <c r="B580" t="inlineStr">
        <is>
          <t>Восстановления ул, 19</t>
        </is>
      </c>
      <c r="C580" t="inlineStr">
        <is>
          <t>sale</t>
        </is>
      </c>
      <c r="D580" t="inlineStr">
        <is>
          <t>Да</t>
        </is>
      </c>
      <c r="E580" t="inlineStr"/>
      <c r="F580" t="inlineStr"/>
      <c r="G580" t="inlineStr">
        <is>
          <t>34.1</t>
        </is>
      </c>
      <c r="H580" t="inlineStr"/>
      <c r="I580" t="inlineStr"/>
      <c r="J580" t="inlineStr">
        <is>
          <t>6 095 775</t>
        </is>
      </c>
      <c r="K580" t="inlineStr"/>
      <c r="L580" t="inlineStr"/>
      <c r="M580" t="inlineStr">
        <is>
          <t>По адресу есть, но площадь другая</t>
        </is>
      </c>
      <c r="N580" t="inlineStr"/>
      <c r="O580" t="inlineStr"/>
      <c r="P580" t="inlineStr"/>
      <c r="Q580">
        <f>HYPERLINK("https://knru.ru/catalog/ul-vosstanovleniya-d-19-551989/","ссылка")</f>
        <v/>
      </c>
      <c r="R580" t="inlineStr"/>
      <c r="S580" t="inlineStr"/>
    </row>
    <row r="581">
      <c r="A581" t="inlineStr">
        <is>
          <t>Красносельский</t>
        </is>
      </c>
      <c r="B581" t="inlineStr">
        <is>
          <t>Героев пр-кт, 25</t>
        </is>
      </c>
      <c r="C581" t="inlineStr">
        <is>
          <t>sale</t>
        </is>
      </c>
      <c r="D581" t="inlineStr">
        <is>
          <t>Да</t>
        </is>
      </c>
      <c r="E581" t="inlineStr"/>
      <c r="F581" t="inlineStr"/>
      <c r="G581" t="inlineStr">
        <is>
          <t>62</t>
        </is>
      </c>
      <c r="H581" t="inlineStr"/>
      <c r="I581" t="inlineStr"/>
      <c r="J581" t="inlineStr">
        <is>
          <t>23 000 000</t>
        </is>
      </c>
      <c r="K581" t="inlineStr"/>
      <c r="L581" t="inlineStr"/>
      <c r="M581" t="inlineStr">
        <is>
          <t>Нет у нас</t>
        </is>
      </c>
      <c r="N581" t="inlineStr"/>
      <c r="O581" t="inlineStr"/>
      <c r="P581" t="inlineStr"/>
      <c r="Q581">
        <f>HYPERLINK("https://knru.ru/catalog/prospekt-geroev-d-25/","ссылка")</f>
        <v/>
      </c>
      <c r="R581" t="inlineStr"/>
      <c r="S581" t="inlineStr"/>
    </row>
    <row r="582">
      <c r="A582" t="inlineStr">
        <is>
          <t>Красносельский</t>
        </is>
      </c>
      <c r="B582" t="inlineStr">
        <is>
          <t>Героев пр-кт, 27к1 стр 1</t>
        </is>
      </c>
      <c r="C582" t="inlineStr">
        <is>
          <t>sale</t>
        </is>
      </c>
      <c r="D582" t="inlineStr"/>
      <c r="E582" t="inlineStr">
        <is>
          <t>Да</t>
        </is>
      </c>
      <c r="F582" t="inlineStr"/>
      <c r="G582" t="inlineStr"/>
      <c r="H582" t="inlineStr">
        <is>
          <t>226</t>
        </is>
      </c>
      <c r="I582" t="inlineStr"/>
      <c r="J582" t="inlineStr"/>
      <c r="K582" t="inlineStr">
        <is>
          <t>47 000 000</t>
        </is>
      </c>
      <c r="L582" t="inlineStr"/>
      <c r="M582" t="inlineStr"/>
      <c r="N582" t="inlineStr">
        <is>
          <t>Нет у нас</t>
        </is>
      </c>
      <c r="O582" t="inlineStr"/>
      <c r="P582" t="inlineStr"/>
      <c r="Q582" t="inlineStr"/>
      <c r="R582">
        <f>HYPERLINK("https://nordwestinvest.ru/real-estates/prodaza-pomeshheniia-v-zk-ogni-zaliva","ссылка")</f>
        <v/>
      </c>
      <c r="S582" t="inlineStr"/>
    </row>
    <row r="583">
      <c r="A583" t="inlineStr">
        <is>
          <t>Красносельский</t>
        </is>
      </c>
      <c r="B583" t="inlineStr">
        <is>
          <t>Героев, 27</t>
        </is>
      </c>
      <c r="C583" t="inlineStr">
        <is>
          <t>sale</t>
        </is>
      </c>
      <c r="D583" t="inlineStr">
        <is>
          <t>Да</t>
        </is>
      </c>
      <c r="E583" t="inlineStr"/>
      <c r="F583" t="inlineStr"/>
      <c r="G583" t="inlineStr">
        <is>
          <t>226</t>
        </is>
      </c>
      <c r="H583" t="inlineStr"/>
      <c r="I583" t="inlineStr"/>
      <c r="J583" t="inlineStr">
        <is>
          <t>60 000 000</t>
        </is>
      </c>
      <c r="K583" t="inlineStr"/>
      <c r="L583" t="inlineStr"/>
      <c r="M583" t="inlineStr">
        <is>
          <t>Нет у нас</t>
        </is>
      </c>
      <c r="N583" t="inlineStr"/>
      <c r="O583" t="inlineStr"/>
      <c r="P583" t="inlineStr"/>
      <c r="Q583">
        <f>HYPERLINK("https://knru.ru/catalog/pr-geroev-d-27/","ссылка")</f>
        <v/>
      </c>
      <c r="R583" t="inlineStr"/>
      <c r="S583" t="inlineStr"/>
    </row>
    <row r="584">
      <c r="A584" t="inlineStr">
        <is>
          <t>Красносельский</t>
        </is>
      </c>
      <c r="B584" t="inlineStr">
        <is>
          <t>Катерников ул, 5к1</t>
        </is>
      </c>
      <c r="C584" t="inlineStr">
        <is>
          <t>sale</t>
        </is>
      </c>
      <c r="D584" t="inlineStr">
        <is>
          <t>Да</t>
        </is>
      </c>
      <c r="E584" t="inlineStr"/>
      <c r="F584" t="inlineStr"/>
      <c r="G584" t="inlineStr">
        <is>
          <t>154.9</t>
        </is>
      </c>
      <c r="H584" t="inlineStr"/>
      <c r="I584" t="inlineStr"/>
      <c r="J584" t="inlineStr">
        <is>
          <t>56 600 000</t>
        </is>
      </c>
      <c r="K584" t="inlineStr"/>
      <c r="L584" t="inlineStr"/>
      <c r="M584" t="inlineStr">
        <is>
          <t>Совпало</t>
        </is>
      </c>
      <c r="N584" t="inlineStr"/>
      <c r="O584" t="inlineStr"/>
      <c r="P584" t="inlineStr"/>
      <c r="Q584">
        <f>HYPERLINK("https://knru.ru/catalog/katernikov-ul-5k1/","ссылка")</f>
        <v/>
      </c>
      <c r="R584" t="inlineStr"/>
      <c r="S584" t="inlineStr"/>
    </row>
    <row r="585">
      <c r="A585" t="inlineStr">
        <is>
          <t>Красносельский</t>
        </is>
      </c>
      <c r="B585" t="inlineStr">
        <is>
          <t>Коммунаров ул, 188к1</t>
        </is>
      </c>
      <c r="C585" t="inlineStr">
        <is>
          <t>sale</t>
        </is>
      </c>
      <c r="D585" t="inlineStr"/>
      <c r="E585" t="inlineStr">
        <is>
          <t>Да</t>
        </is>
      </c>
      <c r="F585" t="inlineStr"/>
      <c r="G585" t="inlineStr"/>
      <c r="H585" t="inlineStr">
        <is>
          <t>70.9</t>
        </is>
      </c>
      <c r="I585" t="inlineStr"/>
      <c r="J585" t="inlineStr"/>
      <c r="K585" t="inlineStr">
        <is>
          <t>17 725 000</t>
        </is>
      </c>
      <c r="L585" t="inlineStr"/>
      <c r="M585" t="inlineStr"/>
      <c r="N585" t="inlineStr">
        <is>
          <t>Нет у нас</t>
        </is>
      </c>
      <c r="O585" t="inlineStr"/>
      <c r="P585" t="inlineStr"/>
      <c r="Q585" t="inlineStr"/>
      <c r="R585">
        <f>HYPERLINK("https://nordwestinvest.ru/real-estates/prodaza-psn-na-1-etaze-zilogo-doma-709-kvm","ссылка")</f>
        <v/>
      </c>
      <c r="S585" t="inlineStr"/>
    </row>
    <row r="586">
      <c r="A586" t="inlineStr">
        <is>
          <t>Красносельский</t>
        </is>
      </c>
      <c r="B586" t="inlineStr">
        <is>
          <t>Коммунаров ул, 188к1</t>
        </is>
      </c>
      <c r="C586" t="inlineStr">
        <is>
          <t>sale</t>
        </is>
      </c>
      <c r="D586" t="inlineStr"/>
      <c r="E586" t="inlineStr">
        <is>
          <t>Да</t>
        </is>
      </c>
      <c r="F586" t="inlineStr"/>
      <c r="G586" t="inlineStr"/>
      <c r="H586" t="inlineStr">
        <is>
          <t>35.2</t>
        </is>
      </c>
      <c r="I586" t="inlineStr"/>
      <c r="J586" t="inlineStr"/>
      <c r="K586" t="inlineStr">
        <is>
          <t>8 800 000</t>
        </is>
      </c>
      <c r="L586" t="inlineStr"/>
      <c r="M586" t="inlineStr"/>
      <c r="N586" t="inlineStr">
        <is>
          <t>Нет у нас</t>
        </is>
      </c>
      <c r="O586" t="inlineStr"/>
      <c r="P586" t="inlineStr"/>
      <c r="Q586" t="inlineStr"/>
      <c r="R586">
        <f>HYPERLINK("https://nordwestinvest.ru/real-estates/prodaza-psn-na-1-etaze-zilogo-doma-352-kvm","ссылка")</f>
        <v/>
      </c>
      <c r="S586" t="inlineStr"/>
    </row>
    <row r="587">
      <c r="A587" t="inlineStr">
        <is>
          <t>Красносельский</t>
        </is>
      </c>
      <c r="B587" t="inlineStr">
        <is>
          <t>Коммунаров ул, 188к1</t>
        </is>
      </c>
      <c r="C587" t="inlineStr">
        <is>
          <t>sale</t>
        </is>
      </c>
      <c r="D587" t="inlineStr"/>
      <c r="E587" t="inlineStr">
        <is>
          <t>Да</t>
        </is>
      </c>
      <c r="F587" t="inlineStr"/>
      <c r="G587" t="inlineStr"/>
      <c r="H587" t="inlineStr">
        <is>
          <t>421.1</t>
        </is>
      </c>
      <c r="I587" t="inlineStr"/>
      <c r="J587" t="inlineStr"/>
      <c r="K587" t="inlineStr">
        <is>
          <t>105 275 000</t>
        </is>
      </c>
      <c r="L587" t="inlineStr"/>
      <c r="M587" t="inlineStr"/>
      <c r="N587" t="inlineStr">
        <is>
          <t>Нет у нас</t>
        </is>
      </c>
      <c r="O587" t="inlineStr"/>
      <c r="P587" t="inlineStr"/>
      <c r="Q587" t="inlineStr"/>
      <c r="R587">
        <f>HYPERLINK("https://nordwestinvest.ru/real-estates/prodaza-pod-setevoi-produktovyi-magazin-421kvm","ссылка")</f>
        <v/>
      </c>
      <c r="S587" t="inlineStr"/>
    </row>
    <row r="588">
      <c r="A588" t="inlineStr">
        <is>
          <t>Красносельский</t>
        </is>
      </c>
      <c r="B588" t="inlineStr">
        <is>
          <t>Коммунаров ул, 188к1</t>
        </is>
      </c>
      <c r="C588" t="inlineStr">
        <is>
          <t>sale</t>
        </is>
      </c>
      <c r="D588" t="inlineStr"/>
      <c r="E588" t="inlineStr">
        <is>
          <t>Да</t>
        </is>
      </c>
      <c r="F588" t="inlineStr"/>
      <c r="G588" t="inlineStr"/>
      <c r="H588" t="inlineStr">
        <is>
          <t>90</t>
        </is>
      </c>
      <c r="I588" t="inlineStr"/>
      <c r="J588" t="inlineStr"/>
      <c r="K588" t="inlineStr">
        <is>
          <t>22 500 000</t>
        </is>
      </c>
      <c r="L588" t="inlineStr"/>
      <c r="M588" t="inlineStr"/>
      <c r="N588" t="inlineStr">
        <is>
          <t>Нет у нас</t>
        </is>
      </c>
      <c r="O588" t="inlineStr"/>
      <c r="P588" t="inlineStr"/>
      <c r="Q588" t="inlineStr"/>
      <c r="R588">
        <f>HYPERLINK("https://nordwestinvest.ru/real-estates/prodaza-kommerceskogo-pomeshheniia-90kvm","ссылка")</f>
        <v/>
      </c>
      <c r="S588" t="inlineStr"/>
    </row>
    <row r="589">
      <c r="A589" t="inlineStr">
        <is>
          <t>Красносельский</t>
        </is>
      </c>
      <c r="B589" t="inlineStr">
        <is>
          <t>Коммунаров ул, 188к1</t>
        </is>
      </c>
      <c r="C589" t="inlineStr">
        <is>
          <t>sale</t>
        </is>
      </c>
      <c r="D589" t="inlineStr"/>
      <c r="E589" t="inlineStr">
        <is>
          <t>Да</t>
        </is>
      </c>
      <c r="F589" t="inlineStr"/>
      <c r="G589" t="inlineStr"/>
      <c r="H589" t="inlineStr">
        <is>
          <t>238.5</t>
        </is>
      </c>
      <c r="I589" t="inlineStr"/>
      <c r="J589" t="inlineStr"/>
      <c r="K589" t="inlineStr">
        <is>
          <t>59 625 000</t>
        </is>
      </c>
      <c r="L589" t="inlineStr"/>
      <c r="M589" t="inlineStr"/>
      <c r="N589" t="inlineStr">
        <is>
          <t>Нет у нас</t>
        </is>
      </c>
      <c r="O589" t="inlineStr"/>
      <c r="P589" t="inlineStr"/>
      <c r="Q589" t="inlineStr"/>
      <c r="R589">
        <f>HYPERLINK("https://nordwestinvest.ru/real-estates/prodaza-kommerceskogo-pomeshheniia-2385","ссылка")</f>
        <v/>
      </c>
      <c r="S589" t="inlineStr"/>
    </row>
    <row r="590">
      <c r="A590" t="inlineStr">
        <is>
          <t>Красносельский</t>
        </is>
      </c>
      <c r="B590" t="inlineStr">
        <is>
          <t>Коммунаров ул, 188к3</t>
        </is>
      </c>
      <c r="C590" t="inlineStr">
        <is>
          <t>sale</t>
        </is>
      </c>
      <c r="D590" t="inlineStr"/>
      <c r="E590" t="inlineStr">
        <is>
          <t>Да</t>
        </is>
      </c>
      <c r="F590" t="inlineStr"/>
      <c r="G590" t="inlineStr"/>
      <c r="H590" t="inlineStr">
        <is>
          <t>67.7</t>
        </is>
      </c>
      <c r="I590" t="inlineStr"/>
      <c r="J590" t="inlineStr"/>
      <c r="K590" t="inlineStr">
        <is>
          <t>17 128 100</t>
        </is>
      </c>
      <c r="L590" t="inlineStr"/>
      <c r="M590" t="inlineStr"/>
      <c r="N590" t="inlineStr">
        <is>
          <t>Нет у нас</t>
        </is>
      </c>
      <c r="O590" t="inlineStr"/>
      <c r="P590" t="inlineStr"/>
      <c r="Q590" t="inlineStr"/>
      <c r="R590">
        <f>HYPERLINK("https://nordwestinvest.ru/real-estates/prodaza-pomeshhenii-ot-40m2-do-897-m2","ссылка")</f>
        <v/>
      </c>
      <c r="S590" t="inlineStr"/>
    </row>
    <row r="591">
      <c r="A591" t="inlineStr">
        <is>
          <t>Красносельский</t>
        </is>
      </c>
      <c r="B591" t="inlineStr">
        <is>
          <t>Коммунаров ул, 190</t>
        </is>
      </c>
      <c r="C591" t="inlineStr">
        <is>
          <t>sale</t>
        </is>
      </c>
      <c r="D591" t="inlineStr"/>
      <c r="E591" t="inlineStr">
        <is>
          <t>Да</t>
        </is>
      </c>
      <c r="F591" t="inlineStr"/>
      <c r="G591" t="inlineStr"/>
      <c r="H591" t="inlineStr">
        <is>
          <t>744</t>
        </is>
      </c>
      <c r="I591" t="inlineStr"/>
      <c r="J591" t="inlineStr"/>
      <c r="K591" t="inlineStr">
        <is>
          <t>89 000 000</t>
        </is>
      </c>
      <c r="L591" t="inlineStr"/>
      <c r="M591" t="inlineStr"/>
      <c r="N591" t="inlineStr">
        <is>
          <t>По адресу есть, но площадь другая</t>
        </is>
      </c>
      <c r="O591" t="inlineStr"/>
      <c r="P591" t="inlineStr"/>
      <c r="Q591" t="inlineStr"/>
      <c r="R591">
        <f>HYPERLINK("https://nordwestinvest.ru/real-estates/prodaza-pomeshheniia-s-m-video","ссылка")</f>
        <v/>
      </c>
      <c r="S591" t="inlineStr"/>
    </row>
    <row r="592">
      <c r="A592" t="inlineStr">
        <is>
          <t>Красносельский</t>
        </is>
      </c>
      <c r="B592" t="inlineStr">
        <is>
          <t>Красносельское ш, 16</t>
        </is>
      </c>
      <c r="C592" t="inlineStr">
        <is>
          <t>sale</t>
        </is>
      </c>
      <c r="D592" t="inlineStr">
        <is>
          <t>Да</t>
        </is>
      </c>
      <c r="E592" t="inlineStr"/>
      <c r="F592" t="inlineStr"/>
      <c r="G592" t="inlineStr">
        <is>
          <t>142.5</t>
        </is>
      </c>
      <c r="H592" t="inlineStr"/>
      <c r="I592" t="inlineStr"/>
      <c r="J592" t="inlineStr">
        <is>
          <t>31 706 250</t>
        </is>
      </c>
      <c r="K592" t="inlineStr"/>
      <c r="L592" t="inlineStr"/>
      <c r="M592" t="inlineStr">
        <is>
          <t>Нет у нас</t>
        </is>
      </c>
      <c r="N592" t="inlineStr"/>
      <c r="O592" t="inlineStr"/>
      <c r="P592" t="inlineStr"/>
      <c r="Q592">
        <f>HYPERLINK("https://knru.ru/catalog/krasnoselskoe-sh-d-16/","ссылка")</f>
        <v/>
      </c>
      <c r="R592" t="inlineStr"/>
      <c r="S592" t="inlineStr"/>
    </row>
    <row r="593">
      <c r="A593" t="inlineStr">
        <is>
          <t>Красносельский</t>
        </is>
      </c>
      <c r="B593" t="inlineStr">
        <is>
          <t>Ленинский пр-кт, 147к2</t>
        </is>
      </c>
      <c r="C593" t="inlineStr">
        <is>
          <t>sale</t>
        </is>
      </c>
      <c r="D593" t="inlineStr"/>
      <c r="E593" t="inlineStr">
        <is>
          <t>Да</t>
        </is>
      </c>
      <c r="F593" t="inlineStr"/>
      <c r="G593" t="inlineStr"/>
      <c r="H593" t="inlineStr">
        <is>
          <t>197</t>
        </is>
      </c>
      <c r="I593" t="inlineStr"/>
      <c r="J593" t="inlineStr"/>
      <c r="K593" t="inlineStr">
        <is>
          <t>29 000 000</t>
        </is>
      </c>
      <c r="L593" t="inlineStr"/>
      <c r="M593" t="inlineStr"/>
      <c r="N593" t="inlineStr">
        <is>
          <t>По адресу есть, но площадь другая</t>
        </is>
      </c>
      <c r="O593" t="inlineStr"/>
      <c r="P593" t="inlineStr"/>
      <c r="Q593" t="inlineStr"/>
      <c r="R593">
        <f>HYPERLINK("https://nordwestinvest.ru/real-estates/prodaza-pomeshheniia-pod-biznes-197-m2","ссылка")</f>
        <v/>
      </c>
      <c r="S593" t="inlineStr"/>
    </row>
    <row r="594">
      <c r="A594" t="inlineStr">
        <is>
          <t>Красносельский</t>
        </is>
      </c>
      <c r="B594" t="inlineStr">
        <is>
          <t>Ленинский пр-кт, 64к1</t>
        </is>
      </c>
      <c r="C594" t="inlineStr">
        <is>
          <t>sale</t>
        </is>
      </c>
      <c r="D594" t="inlineStr">
        <is>
          <t>Да</t>
        </is>
      </c>
      <c r="E594" t="inlineStr"/>
      <c r="F594" t="inlineStr"/>
      <c r="G594" t="inlineStr">
        <is>
          <t>112.1</t>
        </is>
      </c>
      <c r="H594" t="inlineStr"/>
      <c r="I594" t="inlineStr"/>
      <c r="J594" t="inlineStr">
        <is>
          <t>42 000 000</t>
        </is>
      </c>
      <c r="K594" t="inlineStr"/>
      <c r="L594" t="inlineStr"/>
      <c r="M594" t="inlineStr">
        <is>
          <t>Нет у нас</t>
        </is>
      </c>
      <c r="N594" t="inlineStr"/>
      <c r="O594" t="inlineStr"/>
      <c r="P594" t="inlineStr"/>
      <c r="Q594">
        <f>HYPERLINK("https://knru.ru/catalog/leninskiy-pr-kt-64k1/","ссылка")</f>
        <v/>
      </c>
      <c r="R594" t="inlineStr"/>
      <c r="S594" t="inlineStr"/>
    </row>
    <row r="595">
      <c r="A595" t="inlineStr">
        <is>
          <t>Красносельский</t>
        </is>
      </c>
      <c r="B595" t="inlineStr">
        <is>
          <t>Ленинский пр-кт, 72к1</t>
        </is>
      </c>
      <c r="C595" t="inlineStr">
        <is>
          <t>sale</t>
        </is>
      </c>
      <c r="D595" t="inlineStr"/>
      <c r="E595" t="inlineStr">
        <is>
          <t>Да</t>
        </is>
      </c>
      <c r="F595" t="inlineStr"/>
      <c r="G595" t="inlineStr"/>
      <c r="H595" t="inlineStr">
        <is>
          <t>185</t>
        </is>
      </c>
      <c r="I595" t="inlineStr"/>
      <c r="J595" t="inlineStr"/>
      <c r="K595" t="inlineStr">
        <is>
          <t>88 900 000</t>
        </is>
      </c>
      <c r="L595" t="inlineStr"/>
      <c r="M595" t="inlineStr"/>
      <c r="N595" t="inlineStr">
        <is>
          <t>Совпало</t>
        </is>
      </c>
      <c r="O595" t="inlineStr"/>
      <c r="P595" t="inlineStr"/>
      <c r="Q595" t="inlineStr"/>
      <c r="R595">
        <f>HYPERLINK("https://nordwestinvest.ru/real-estates/prodaza-uglovogo-pomeshheniia-s-dvumia-arendatorami","ссылка")</f>
        <v/>
      </c>
      <c r="S595" t="inlineStr"/>
    </row>
    <row r="596">
      <c r="A596" t="inlineStr">
        <is>
          <t>Красносельский</t>
        </is>
      </c>
      <c r="B596" t="inlineStr">
        <is>
          <t>Малая ул</t>
        </is>
      </c>
      <c r="C596" t="inlineStr">
        <is>
          <t>sale</t>
        </is>
      </c>
      <c r="D596" t="inlineStr">
        <is>
          <t>Да</t>
        </is>
      </c>
      <c r="E596" t="inlineStr"/>
      <c r="F596" t="inlineStr"/>
      <c r="G596" t="inlineStr">
        <is>
          <t>1450</t>
        </is>
      </c>
      <c r="H596" t="inlineStr"/>
      <c r="I596" t="inlineStr"/>
      <c r="J596" t="inlineStr">
        <is>
          <t>50 000 000</t>
        </is>
      </c>
      <c r="K596" t="inlineStr"/>
      <c r="L596" t="inlineStr"/>
      <c r="M596" t="inlineStr">
        <is>
          <t>Нет у нас</t>
        </is>
      </c>
      <c r="N596" t="inlineStr"/>
      <c r="O596" t="inlineStr"/>
      <c r="P596" t="inlineStr"/>
      <c r="Q596">
        <f>HYPERLINK("https://knru.ru/catalog/malaya-ul/","ссылка")</f>
        <v/>
      </c>
      <c r="R596" t="inlineStr"/>
      <c r="S596" t="inlineStr"/>
    </row>
    <row r="597">
      <c r="A597" t="inlineStr">
        <is>
          <t>Красносельский</t>
        </is>
      </c>
      <c r="B597" t="inlineStr">
        <is>
          <t>Маршала Захарова ул, 46 А</t>
        </is>
      </c>
      <c r="C597" t="inlineStr">
        <is>
          <t>sale</t>
        </is>
      </c>
      <c r="D597" t="inlineStr">
        <is>
          <t>Да</t>
        </is>
      </c>
      <c r="E597" t="inlineStr"/>
      <c r="F597" t="inlineStr"/>
      <c r="G597" t="inlineStr">
        <is>
          <t>113</t>
        </is>
      </c>
      <c r="H597" t="inlineStr"/>
      <c r="I597" t="inlineStr"/>
      <c r="J597" t="inlineStr">
        <is>
          <t>45 200 000</t>
        </is>
      </c>
      <c r="K597" t="inlineStr"/>
      <c r="L597" t="inlineStr"/>
      <c r="M597" t="inlineStr">
        <is>
          <t>Нет у нас</t>
        </is>
      </c>
      <c r="N597" t="inlineStr"/>
      <c r="O597" t="inlineStr"/>
      <c r="P597" t="inlineStr"/>
      <c r="Q597">
        <f>HYPERLINK("https://knru.ru/catalog/ul-marshala-zaxarova-d-46/","ссылка")</f>
        <v/>
      </c>
      <c r="R597" t="inlineStr"/>
      <c r="S597" t="inlineStr"/>
    </row>
    <row r="598">
      <c r="A598" t="inlineStr">
        <is>
          <t>Красносельский</t>
        </is>
      </c>
      <c r="B598" t="inlineStr">
        <is>
          <t>Маршала Казакова ул, 21к3</t>
        </is>
      </c>
      <c r="C598" t="inlineStr">
        <is>
          <t>sale</t>
        </is>
      </c>
      <c r="D598" t="inlineStr">
        <is>
          <t>Да</t>
        </is>
      </c>
      <c r="E598" t="inlineStr"/>
      <c r="F598" t="inlineStr"/>
      <c r="G598" t="inlineStr">
        <is>
          <t>72</t>
        </is>
      </c>
      <c r="H598" t="inlineStr"/>
      <c r="I598" t="inlineStr"/>
      <c r="J598" t="inlineStr">
        <is>
          <t>23 852 500</t>
        </is>
      </c>
      <c r="K598" t="inlineStr"/>
      <c r="L598" t="inlineStr"/>
      <c r="M598" t="inlineStr">
        <is>
          <t>По адресу есть, но площадь другая</t>
        </is>
      </c>
      <c r="N598" t="inlineStr"/>
      <c r="O598" t="inlineStr"/>
      <c r="P598" t="inlineStr"/>
      <c r="Q598">
        <f>HYPERLINK("https://knru.ru/catalog/ul-marshala-kazakova-d-21-559999/","ссылка")</f>
        <v/>
      </c>
      <c r="R598" t="inlineStr"/>
      <c r="S598" t="inlineStr"/>
    </row>
    <row r="599">
      <c r="A599" t="inlineStr">
        <is>
          <t>Красносельский</t>
        </is>
      </c>
      <c r="B599" t="inlineStr">
        <is>
          <t>Маршала Казакова ул, 21к3</t>
        </is>
      </c>
      <c r="C599" t="inlineStr">
        <is>
          <t>sale</t>
        </is>
      </c>
      <c r="D599" t="inlineStr">
        <is>
          <t>Да</t>
        </is>
      </c>
      <c r="E599" t="inlineStr"/>
      <c r="F599" t="inlineStr"/>
      <c r="G599" t="inlineStr">
        <is>
          <t>56</t>
        </is>
      </c>
      <c r="H599" t="inlineStr"/>
      <c r="I599" t="inlineStr"/>
      <c r="J599" t="inlineStr">
        <is>
          <t>21 356 000</t>
        </is>
      </c>
      <c r="K599" t="inlineStr"/>
      <c r="L599" t="inlineStr"/>
      <c r="M599" t="inlineStr">
        <is>
          <t>По адресу есть, но площадь другая</t>
        </is>
      </c>
      <c r="N599" t="inlineStr"/>
      <c r="O599" t="inlineStr"/>
      <c r="P599" t="inlineStr"/>
      <c r="Q599">
        <f>HYPERLINK("https://knru.ru/catalog/ul-marshala-kazakova-d-21/","ссылка")</f>
        <v/>
      </c>
      <c r="R599" t="inlineStr"/>
      <c r="S599" t="inlineStr"/>
    </row>
    <row r="600">
      <c r="A600" t="inlineStr">
        <is>
          <t>Красносельский</t>
        </is>
      </c>
      <c r="B600" t="inlineStr">
        <is>
          <t>Маршала Казакова ул, 70к1 стр 1</t>
        </is>
      </c>
      <c r="C600" t="inlineStr">
        <is>
          <t>sale</t>
        </is>
      </c>
      <c r="D600" t="inlineStr">
        <is>
          <t>Да</t>
        </is>
      </c>
      <c r="E600" t="inlineStr"/>
      <c r="F600" t="inlineStr"/>
      <c r="G600" t="inlineStr">
        <is>
          <t>145</t>
        </is>
      </c>
      <c r="H600" t="inlineStr"/>
      <c r="I600" t="inlineStr"/>
      <c r="J600" t="inlineStr">
        <is>
          <t>43 500 000</t>
        </is>
      </c>
      <c r="K600" t="inlineStr"/>
      <c r="L600" t="inlineStr"/>
      <c r="M600" t="inlineStr">
        <is>
          <t>У нас аренда, у конкурента продажа</t>
        </is>
      </c>
      <c r="N600" t="inlineStr"/>
      <c r="O600" t="inlineStr"/>
      <c r="P600" t="inlineStr"/>
      <c r="Q600">
        <f>HYPERLINK("https://knru.ru/catalog/ul-marshala-kazakova-d-70k1/","ссылка")</f>
        <v/>
      </c>
      <c r="R600" t="inlineStr"/>
      <c r="S600" t="inlineStr"/>
    </row>
    <row r="601">
      <c r="A601" t="inlineStr">
        <is>
          <t>Красносельский</t>
        </is>
      </c>
      <c r="B601" t="inlineStr">
        <is>
          <t>Маршала Казакова ул, 70к1 стр 2</t>
        </is>
      </c>
      <c r="C601" t="inlineStr">
        <is>
          <t>sale</t>
        </is>
      </c>
      <c r="D601" t="inlineStr">
        <is>
          <t>Да</t>
        </is>
      </c>
      <c r="E601" t="inlineStr"/>
      <c r="F601" t="inlineStr"/>
      <c r="G601" t="inlineStr">
        <is>
          <t>365</t>
        </is>
      </c>
      <c r="H601" t="inlineStr"/>
      <c r="I601" t="inlineStr"/>
      <c r="J601" t="inlineStr">
        <is>
          <t>90 000 000</t>
        </is>
      </c>
      <c r="K601" t="inlineStr"/>
      <c r="L601" t="inlineStr"/>
      <c r="M601" t="inlineStr">
        <is>
          <t>По адресу есть, но площадь другая</t>
        </is>
      </c>
      <c r="N601" t="inlineStr"/>
      <c r="O601" t="inlineStr"/>
      <c r="P601" t="inlineStr"/>
      <c r="Q601">
        <f>HYPERLINK("https://knru.ru/catalog/ul-marshala-kazakova-d-70k1-1669898213/","ссылка")</f>
        <v/>
      </c>
      <c r="R601" t="inlineStr"/>
      <c r="S601" t="inlineStr"/>
    </row>
    <row r="602">
      <c r="A602" t="inlineStr">
        <is>
          <t>Красносельский</t>
        </is>
      </c>
      <c r="B602" t="inlineStr">
        <is>
          <t>Маршала Казакова ул, 72к1 стр 1</t>
        </is>
      </c>
      <c r="C602" t="inlineStr">
        <is>
          <t>sale</t>
        </is>
      </c>
      <c r="D602" t="inlineStr">
        <is>
          <t>Да</t>
        </is>
      </c>
      <c r="E602" t="inlineStr"/>
      <c r="F602" t="inlineStr"/>
      <c r="G602" t="inlineStr">
        <is>
          <t>103</t>
        </is>
      </c>
      <c r="H602" t="inlineStr"/>
      <c r="I602" t="inlineStr"/>
      <c r="J602" t="inlineStr">
        <is>
          <t>30 900 000</t>
        </is>
      </c>
      <c r="K602" t="inlineStr"/>
      <c r="L602" t="inlineStr"/>
      <c r="M602" t="inlineStr">
        <is>
          <t>У нас аренда, у конкурента продажа</t>
        </is>
      </c>
      <c r="N602" t="inlineStr"/>
      <c r="O602" t="inlineStr"/>
      <c r="P602" t="inlineStr"/>
      <c r="Q602">
        <f>HYPERLINK("https://knru.ru/catalog/ul-marshala-kazakova-d-72k1str1/","ссылка")</f>
        <v/>
      </c>
      <c r="R602" t="inlineStr"/>
      <c r="S602" t="inlineStr"/>
    </row>
    <row r="603">
      <c r="A603" t="inlineStr">
        <is>
          <t>Красносельский</t>
        </is>
      </c>
      <c r="B603" t="inlineStr">
        <is>
          <t>Маршала Казакова, 36</t>
        </is>
      </c>
      <c r="C603" t="inlineStr">
        <is>
          <t>sale</t>
        </is>
      </c>
      <c r="D603" t="inlineStr">
        <is>
          <t>Да</t>
        </is>
      </c>
      <c r="E603" t="inlineStr"/>
      <c r="F603" t="inlineStr"/>
      <c r="G603" t="inlineStr">
        <is>
          <t>2044</t>
        </is>
      </c>
      <c r="H603" t="inlineStr"/>
      <c r="I603" t="inlineStr"/>
      <c r="J603" t="inlineStr">
        <is>
          <t>280 000 000</t>
        </is>
      </c>
      <c r="K603" t="inlineStr"/>
      <c r="L603" t="inlineStr"/>
      <c r="M603" t="inlineStr">
        <is>
          <t>Нет у нас</t>
        </is>
      </c>
      <c r="N603" t="inlineStr"/>
      <c r="O603" t="inlineStr"/>
      <c r="P603" t="inlineStr"/>
      <c r="Q603">
        <f>HYPERLINK("https://knru.ru/catalog/marshala-kazakova-ul-d-36/","ссылка")</f>
        <v/>
      </c>
      <c r="R603" t="inlineStr"/>
      <c r="S603" t="inlineStr"/>
    </row>
    <row r="604">
      <c r="A604" t="inlineStr">
        <is>
          <t>Красносельский</t>
        </is>
      </c>
      <c r="B604" t="inlineStr">
        <is>
          <t>Маршала Казакова, 70</t>
        </is>
      </c>
      <c r="C604" t="inlineStr">
        <is>
          <t>sale</t>
        </is>
      </c>
      <c r="D604" t="inlineStr">
        <is>
          <t>Да</t>
        </is>
      </c>
      <c r="E604" t="inlineStr"/>
      <c r="F604" t="inlineStr"/>
      <c r="G604" t="inlineStr">
        <is>
          <t>162</t>
        </is>
      </c>
      <c r="H604" t="inlineStr"/>
      <c r="I604" t="inlineStr"/>
      <c r="J604" t="inlineStr">
        <is>
          <t>32 500 000</t>
        </is>
      </c>
      <c r="K604" t="inlineStr"/>
      <c r="L604" t="inlineStr"/>
      <c r="M604" t="inlineStr">
        <is>
          <t>Совпало</t>
        </is>
      </c>
      <c r="N604" t="inlineStr"/>
      <c r="O604" t="inlineStr"/>
      <c r="P604" t="inlineStr"/>
      <c r="Q604">
        <f>HYPERLINK("https://knru.ru/catalog/marshala-kazakova-ul-d-70/","ссылка")</f>
        <v/>
      </c>
      <c r="R604" t="inlineStr"/>
      <c r="S604" t="inlineStr"/>
    </row>
    <row r="605">
      <c r="A605" t="inlineStr">
        <is>
          <t>Красносельский</t>
        </is>
      </c>
      <c r="B605" t="inlineStr">
        <is>
          <t>Морской Пехоты ул, 28</t>
        </is>
      </c>
      <c r="C605" t="inlineStr">
        <is>
          <t>sale</t>
        </is>
      </c>
      <c r="D605" t="inlineStr">
        <is>
          <t>Да</t>
        </is>
      </c>
      <c r="E605" t="inlineStr"/>
      <c r="F605" t="inlineStr"/>
      <c r="G605" t="inlineStr">
        <is>
          <t>607</t>
        </is>
      </c>
      <c r="H605" t="inlineStr"/>
      <c r="I605" t="inlineStr"/>
      <c r="J605" t="inlineStr">
        <is>
          <t>112 397 880</t>
        </is>
      </c>
      <c r="K605" t="inlineStr"/>
      <c r="L605" t="inlineStr"/>
      <c r="M605" t="inlineStr">
        <is>
          <t>Нет у нас</t>
        </is>
      </c>
      <c r="N605" t="inlineStr"/>
      <c r="O605" t="inlineStr"/>
      <c r="P605" t="inlineStr"/>
      <c r="Q605">
        <f>HYPERLINK("https://knru.ru/catalog/ul-morskoy-pekhoty-d-28-1102973252/","ссылка")</f>
        <v/>
      </c>
      <c r="R605" t="inlineStr"/>
      <c r="S605" t="inlineStr"/>
    </row>
    <row r="606">
      <c r="A606" t="inlineStr">
        <is>
          <t>Красносельский</t>
        </is>
      </c>
      <c r="B606" t="inlineStr">
        <is>
          <t>Патриотов пр., д. 35/1</t>
        </is>
      </c>
      <c r="C606" t="inlineStr">
        <is>
          <t>sale</t>
        </is>
      </c>
      <c r="D606" t="inlineStr">
        <is>
          <t>Да</t>
        </is>
      </c>
      <c r="E606" t="inlineStr"/>
      <c r="F606" t="inlineStr"/>
      <c r="G606" t="inlineStr">
        <is>
          <t>55.3</t>
        </is>
      </c>
      <c r="H606" t="inlineStr"/>
      <c r="I606" t="inlineStr"/>
      <c r="J606" t="inlineStr">
        <is>
          <t>19 340 511</t>
        </is>
      </c>
      <c r="K606" t="inlineStr"/>
      <c r="L606" t="inlineStr"/>
      <c r="M606" t="inlineStr">
        <is>
          <t>По адресу есть, но площадь другая</t>
        </is>
      </c>
      <c r="N606" t="inlineStr"/>
      <c r="O606" t="inlineStr"/>
      <c r="P606" t="inlineStr"/>
      <c r="Q606">
        <f>HYPERLINK("https://knru.ru/catalog/patriotov-pr-d-35-1-590985562/","ссылка")</f>
        <v/>
      </c>
      <c r="R606" t="inlineStr"/>
      <c r="S606" t="inlineStr"/>
    </row>
    <row r="607">
      <c r="A607" t="inlineStr">
        <is>
          <t>Красносельский</t>
        </is>
      </c>
      <c r="B607" t="inlineStr">
        <is>
          <t>Патриотов пр-кт, 35</t>
        </is>
      </c>
      <c r="C607" t="inlineStr">
        <is>
          <t>sale</t>
        </is>
      </c>
      <c r="D607" t="inlineStr">
        <is>
          <t>Да</t>
        </is>
      </c>
      <c r="E607" t="inlineStr"/>
      <c r="F607" t="inlineStr"/>
      <c r="G607" t="inlineStr">
        <is>
          <t>39.6</t>
        </is>
      </c>
      <c r="H607" t="inlineStr"/>
      <c r="I607" t="inlineStr"/>
      <c r="J607" t="inlineStr">
        <is>
          <t>16 640 316</t>
        </is>
      </c>
      <c r="K607" t="inlineStr"/>
      <c r="L607" t="inlineStr"/>
      <c r="M607" t="inlineStr">
        <is>
          <t>У нас аренда, у конкурента продажа</t>
        </is>
      </c>
      <c r="N607" t="inlineStr"/>
      <c r="O607" t="inlineStr"/>
      <c r="P607" t="inlineStr"/>
      <c r="Q607">
        <f>HYPERLINK("https://knru.ru/catalog/pr-patriotov-d-35-679581337/","ссылка")</f>
        <v/>
      </c>
      <c r="R607" t="inlineStr"/>
      <c r="S607" t="inlineStr"/>
    </row>
    <row r="608">
      <c r="A608" t="inlineStr">
        <is>
          <t>Красносельский</t>
        </is>
      </c>
      <c r="B608" t="inlineStr">
        <is>
          <t>Патриотов пр-кт, 35</t>
        </is>
      </c>
      <c r="C608" t="inlineStr">
        <is>
          <t>sale</t>
        </is>
      </c>
      <c r="D608" t="inlineStr">
        <is>
          <t>Да</t>
        </is>
      </c>
      <c r="E608" t="inlineStr"/>
      <c r="F608" t="inlineStr"/>
      <c r="G608" t="inlineStr">
        <is>
          <t>80.2</t>
        </is>
      </c>
      <c r="H608" t="inlineStr"/>
      <c r="I608" t="inlineStr"/>
      <c r="J608" t="inlineStr">
        <is>
          <t>27 276 020</t>
        </is>
      </c>
      <c r="K608" t="inlineStr"/>
      <c r="L608" t="inlineStr"/>
      <c r="M608" t="inlineStr">
        <is>
          <t>По адресу есть, но площадь другая</t>
        </is>
      </c>
      <c r="N608" t="inlineStr"/>
      <c r="O608" t="inlineStr"/>
      <c r="P608" t="inlineStr"/>
      <c r="Q608">
        <f>HYPERLINK("https://knru.ru/catalog/pr-patriotov-d-35/","ссылка")</f>
        <v/>
      </c>
      <c r="R608" t="inlineStr"/>
      <c r="S608" t="inlineStr"/>
    </row>
    <row r="609">
      <c r="A609" t="inlineStr">
        <is>
          <t>Красносельский</t>
        </is>
      </c>
      <c r="B609" t="inlineStr">
        <is>
          <t>Петергофское ш, 57 А</t>
        </is>
      </c>
      <c r="C609" t="inlineStr">
        <is>
          <t>sale</t>
        </is>
      </c>
      <c r="D609" t="inlineStr">
        <is>
          <t>Да</t>
        </is>
      </c>
      <c r="E609" t="inlineStr"/>
      <c r="F609" t="inlineStr"/>
      <c r="G609" t="inlineStr">
        <is>
          <t>352</t>
        </is>
      </c>
      <c r="H609" t="inlineStr"/>
      <c r="I609" t="inlineStr"/>
      <c r="J609" t="inlineStr">
        <is>
          <t>45 000 000</t>
        </is>
      </c>
      <c r="K609" t="inlineStr"/>
      <c r="L609" t="inlineStr"/>
      <c r="M609" t="inlineStr">
        <is>
          <t>Нет у нас</t>
        </is>
      </c>
      <c r="N609" t="inlineStr"/>
      <c r="O609" t="inlineStr"/>
      <c r="P609" t="inlineStr"/>
      <c r="Q609">
        <f>HYPERLINK("https://knru.ru/catalog/petergofskoe-sh-d-57/","ссылка")</f>
        <v/>
      </c>
      <c r="R609" t="inlineStr"/>
      <c r="S609" t="inlineStr"/>
    </row>
    <row r="610">
      <c r="A610" t="inlineStr">
        <is>
          <t>Красносельский</t>
        </is>
      </c>
      <c r="B610" t="inlineStr">
        <is>
          <t>Пограничника Гарькавого ул, 34</t>
        </is>
      </c>
      <c r="C610" t="inlineStr">
        <is>
          <t>sale</t>
        </is>
      </c>
      <c r="D610" t="inlineStr">
        <is>
          <t>Да</t>
        </is>
      </c>
      <c r="E610" t="inlineStr"/>
      <c r="F610" t="inlineStr"/>
      <c r="G610" t="inlineStr">
        <is>
          <t>216</t>
        </is>
      </c>
      <c r="H610" t="inlineStr"/>
      <c r="I610" t="inlineStr"/>
      <c r="J610" t="inlineStr">
        <is>
          <t>26 900 000</t>
        </is>
      </c>
      <c r="K610" t="inlineStr"/>
      <c r="L610" t="inlineStr"/>
      <c r="M610" t="inlineStr">
        <is>
          <t>Нет у нас</t>
        </is>
      </c>
      <c r="N610" t="inlineStr"/>
      <c r="O610" t="inlineStr"/>
      <c r="P610" t="inlineStr"/>
      <c r="Q610">
        <f>HYPERLINK("https://knru.ru/catalog/ul-pogranichnika-garkavogo-d-34/","ссылка")</f>
        <v/>
      </c>
      <c r="R610" t="inlineStr"/>
      <c r="S610" t="inlineStr"/>
    </row>
    <row r="611">
      <c r="A611" t="inlineStr">
        <is>
          <t>Красносельский</t>
        </is>
      </c>
      <c r="B611" t="inlineStr">
        <is>
          <t>Шоссейная ул</t>
        </is>
      </c>
      <c r="C611" t="inlineStr">
        <is>
          <t>sale</t>
        </is>
      </c>
      <c r="D611" t="inlineStr">
        <is>
          <t>Да</t>
        </is>
      </c>
      <c r="E611" t="inlineStr"/>
      <c r="F611" t="inlineStr"/>
      <c r="G611" t="inlineStr">
        <is>
          <t>133793</t>
        </is>
      </c>
      <c r="H611" t="inlineStr"/>
      <c r="I611" t="inlineStr"/>
      <c r="J611" t="inlineStr">
        <is>
          <t>334 482 500</t>
        </is>
      </c>
      <c r="K611" t="inlineStr"/>
      <c r="L611" t="inlineStr"/>
      <c r="M611" t="inlineStr">
        <is>
          <t>Нет у нас</t>
        </is>
      </c>
      <c r="N611" t="inlineStr"/>
      <c r="O611" t="inlineStr"/>
      <c r="P611" t="inlineStr"/>
      <c r="Q611">
        <f>HYPERLINK("https://knru.ru/catalog/shossejnaya-ul/","ссылка")</f>
        <v/>
      </c>
      <c r="R611" t="inlineStr"/>
      <c r="S611" t="inlineStr"/>
    </row>
    <row r="612">
      <c r="A612" t="inlineStr">
        <is>
          <t>Красносельский</t>
        </is>
      </c>
      <c r="B612" t="inlineStr">
        <is>
          <t>Шоссейная ул, 38</t>
        </is>
      </c>
      <c r="C612" t="inlineStr">
        <is>
          <t>sale</t>
        </is>
      </c>
      <c r="D612" t="inlineStr">
        <is>
          <t>Да</t>
        </is>
      </c>
      <c r="E612" t="inlineStr"/>
      <c r="F612" t="inlineStr"/>
      <c r="G612" t="inlineStr">
        <is>
          <t>12310</t>
        </is>
      </c>
      <c r="H612" t="inlineStr"/>
      <c r="I612" t="inlineStr"/>
      <c r="J612" t="inlineStr">
        <is>
          <t>30 775 000</t>
        </is>
      </c>
      <c r="K612" t="inlineStr"/>
      <c r="L612" t="inlineStr"/>
      <c r="M612" t="inlineStr">
        <is>
          <t>Нет у нас</t>
        </is>
      </c>
      <c r="N612" t="inlineStr"/>
      <c r="O612" t="inlineStr"/>
      <c r="P612" t="inlineStr"/>
      <c r="Q612">
        <f>HYPERLINK("https://knru.ru/catalog/shossejnaya-ul-38-557638/","ссылка")</f>
        <v/>
      </c>
      <c r="R612" t="inlineStr"/>
      <c r="S612" t="inlineStr"/>
    </row>
    <row r="613">
      <c r="A613" t="inlineStr">
        <is>
          <t>Красносельский</t>
        </is>
      </c>
      <c r="B613" t="inlineStr">
        <is>
          <t>Шоссейная ул, 38</t>
        </is>
      </c>
      <c r="C613" t="inlineStr">
        <is>
          <t>sale</t>
        </is>
      </c>
      <c r="D613" t="inlineStr">
        <is>
          <t>Да</t>
        </is>
      </c>
      <c r="E613" t="inlineStr"/>
      <c r="F613" t="inlineStr"/>
      <c r="G613" t="inlineStr">
        <is>
          <t>10005</t>
        </is>
      </c>
      <c r="H613" t="inlineStr"/>
      <c r="I613" t="inlineStr"/>
      <c r="J613" t="inlineStr">
        <is>
          <t>40 020 000</t>
        </is>
      </c>
      <c r="K613" t="inlineStr"/>
      <c r="L613" t="inlineStr"/>
      <c r="M613" t="inlineStr">
        <is>
          <t>Нет у нас</t>
        </is>
      </c>
      <c r="N613" t="inlineStr"/>
      <c r="O613" t="inlineStr"/>
      <c r="P613" t="inlineStr"/>
      <c r="Q613">
        <f>HYPERLINK("https://knru.ru/catalog/shossejnaya-ul-38/","ссылка")</f>
        <v/>
      </c>
      <c r="R613" t="inlineStr"/>
      <c r="S613" t="inlineStr"/>
    </row>
    <row r="614">
      <c r="A614" t="inlineStr">
        <is>
          <t>Красносельский</t>
        </is>
      </c>
      <c r="B614" t="inlineStr">
        <is>
          <t>Шоссейная ул, 42а</t>
        </is>
      </c>
      <c r="C614" t="inlineStr">
        <is>
          <t>sale</t>
        </is>
      </c>
      <c r="D614" t="inlineStr">
        <is>
          <t>Да</t>
        </is>
      </c>
      <c r="E614" t="inlineStr"/>
      <c r="F614" t="inlineStr"/>
      <c r="G614" t="inlineStr">
        <is>
          <t>2000</t>
        </is>
      </c>
      <c r="H614" t="inlineStr"/>
      <c r="I614" t="inlineStr"/>
      <c r="J614" t="inlineStr">
        <is>
          <t>5 000 000</t>
        </is>
      </c>
      <c r="K614" t="inlineStr"/>
      <c r="L614" t="inlineStr"/>
      <c r="M614" t="inlineStr">
        <is>
          <t>Совпало</t>
        </is>
      </c>
      <c r="N614" t="inlineStr"/>
      <c r="O614" t="inlineStr"/>
      <c r="P614" t="inlineStr"/>
      <c r="Q614">
        <f>HYPERLINK("https://knru.ru/catalog/shossejnaya-ul-42a/","ссылка")</f>
        <v/>
      </c>
      <c r="R614" t="inlineStr"/>
      <c r="S614" t="inlineStr"/>
    </row>
    <row r="615">
      <c r="A615" t="inlineStr">
        <is>
          <t>Красносельское с.п.</t>
        </is>
      </c>
      <c r="B615" t="inlineStr">
        <is>
          <t>Карелия Респ, Лумиваара п, Центральная ул, 28</t>
        </is>
      </c>
      <c r="C615" t="inlineStr">
        <is>
          <t>sale</t>
        </is>
      </c>
      <c r="D615" t="inlineStr"/>
      <c r="E615" t="inlineStr">
        <is>
          <t>Да</t>
        </is>
      </c>
      <c r="F615" t="inlineStr"/>
      <c r="G615" t="inlineStr"/>
      <c r="H615" t="inlineStr">
        <is>
          <t>36000</t>
        </is>
      </c>
      <c r="I615" t="inlineStr"/>
      <c r="J615" t="inlineStr"/>
      <c r="K615" t="inlineStr">
        <is>
          <t>9 000 000</t>
        </is>
      </c>
      <c r="L615" t="inlineStr"/>
      <c r="M615" t="inlineStr"/>
      <c r="N615" t="inlineStr">
        <is>
          <t>Нет у нас</t>
        </is>
      </c>
      <c r="O615" t="inlineStr"/>
      <c r="P615" t="inlineStr"/>
      <c r="Q615" t="inlineStr"/>
      <c r="R615">
        <f>HYPERLINK("https://nordwestinvest.ru/real-estates/zemlia-pod-dacnoe-stroitelstvo-36-ga","ссылка")</f>
        <v/>
      </c>
      <c r="S615" t="inlineStr"/>
    </row>
    <row r="616">
      <c r="A616" t="inlineStr">
        <is>
          <t>Красносельское с.п.</t>
        </is>
      </c>
      <c r="B616" t="inlineStr">
        <is>
          <t>Ленинградская обл, Аннолово д, Центральная ул, 32</t>
        </is>
      </c>
      <c r="C616" t="inlineStr">
        <is>
          <t>sale</t>
        </is>
      </c>
      <c r="D616" t="inlineStr"/>
      <c r="E616" t="inlineStr">
        <is>
          <t>Да</t>
        </is>
      </c>
      <c r="F616" t="inlineStr"/>
      <c r="G616" t="inlineStr"/>
      <c r="H616" t="inlineStr">
        <is>
          <t>22000</t>
        </is>
      </c>
      <c r="I616" t="inlineStr"/>
      <c r="J616" t="inlineStr"/>
      <c r="K616" t="inlineStr">
        <is>
          <t>65 000 000</t>
        </is>
      </c>
      <c r="L616" t="inlineStr"/>
      <c r="M616" t="inlineStr"/>
      <c r="N616" t="inlineStr">
        <is>
          <t>Нет у нас</t>
        </is>
      </c>
      <c r="O616" t="inlineStr"/>
      <c r="P616" t="inlineStr"/>
      <c r="Q616" t="inlineStr"/>
      <c r="R616">
        <f>HYPERLINK("https://nordwestinvest.ru/real-estates/prodaza-zemelnogo-ucastka-s-3-skladami-22-ga-1","ссылка")</f>
        <v/>
      </c>
      <c r="S616" t="inlineStr"/>
    </row>
    <row r="617">
      <c r="A617" t="inlineStr">
        <is>
          <t>Красносельское с.п.</t>
        </is>
      </c>
      <c r="B617" t="inlineStr">
        <is>
          <t>Ленинградская обл, Всеволожск г, Центральная ул, 2</t>
        </is>
      </c>
      <c r="C617" t="inlineStr">
        <is>
          <t>sale</t>
        </is>
      </c>
      <c r="D617" t="inlineStr"/>
      <c r="E617" t="inlineStr">
        <is>
          <t>Да</t>
        </is>
      </c>
      <c r="F617" t="inlineStr"/>
      <c r="G617" t="inlineStr"/>
      <c r="H617" t="inlineStr">
        <is>
          <t>1180</t>
        </is>
      </c>
      <c r="I617" t="inlineStr"/>
      <c r="J617" t="inlineStr"/>
      <c r="K617" t="inlineStr">
        <is>
          <t>100 000 000</t>
        </is>
      </c>
      <c r="L617" t="inlineStr"/>
      <c r="M617" t="inlineStr"/>
      <c r="N617" t="inlineStr">
        <is>
          <t>Нет у нас</t>
        </is>
      </c>
      <c r="O617" t="inlineStr"/>
      <c r="P617" t="inlineStr"/>
      <c r="Q617" t="inlineStr"/>
      <c r="R617">
        <f>HYPERLINK("https://nordwestinvest.ru/real-estates/prodaza-zdaniia-s-zemelnym-ucastkom-1","ссылка")</f>
        <v/>
      </c>
      <c r="S617" t="inlineStr"/>
    </row>
    <row r="618">
      <c r="A618" t="inlineStr">
        <is>
          <t>Красносельское с.п.</t>
        </is>
      </c>
      <c r="B618" t="inlineStr">
        <is>
          <t>Ленинградская обл, Кудрово г, Центральная ул, 11</t>
        </is>
      </c>
      <c r="C618" t="inlineStr">
        <is>
          <t>sale</t>
        </is>
      </c>
      <c r="D618" t="inlineStr"/>
      <c r="E618" t="inlineStr">
        <is>
          <t>Да</t>
        </is>
      </c>
      <c r="F618" t="inlineStr"/>
      <c r="G618" t="inlineStr"/>
      <c r="H618" t="inlineStr">
        <is>
          <t>2200</t>
        </is>
      </c>
      <c r="I618" t="inlineStr"/>
      <c r="J618" t="inlineStr"/>
      <c r="K618" t="inlineStr">
        <is>
          <t>35 000 000</t>
        </is>
      </c>
      <c r="L618" t="inlineStr"/>
      <c r="M618" t="inlineStr"/>
      <c r="N618" t="inlineStr">
        <is>
          <t>Нет у нас</t>
        </is>
      </c>
      <c r="O618" t="inlineStr"/>
      <c r="P618" t="inlineStr"/>
      <c r="Q618" t="inlineStr"/>
      <c r="R618">
        <f>HYPERLINK("https://nordwestinvest.ru/real-estates/prodaza-zu-pod-medcentr-22-sotki","ссылка")</f>
        <v/>
      </c>
      <c r="S618" t="inlineStr"/>
    </row>
    <row r="619">
      <c r="A619" t="inlineStr">
        <is>
          <t>Красносельское с.п.</t>
        </is>
      </c>
      <c r="B619" t="inlineStr">
        <is>
          <t>Ленинградская обл, Новоселье гп, Центральная ул, 11</t>
        </is>
      </c>
      <c r="C619" t="inlineStr">
        <is>
          <t>sale</t>
        </is>
      </c>
      <c r="D619" t="inlineStr"/>
      <c r="E619" t="inlineStr">
        <is>
          <t>Да</t>
        </is>
      </c>
      <c r="F619" t="inlineStr"/>
      <c r="G619" t="inlineStr"/>
      <c r="H619" t="inlineStr">
        <is>
          <t>1288</t>
        </is>
      </c>
      <c r="I619" t="inlineStr"/>
      <c r="J619" t="inlineStr"/>
      <c r="K619" t="inlineStr">
        <is>
          <t>176 000 000</t>
        </is>
      </c>
      <c r="L619" t="inlineStr"/>
      <c r="M619" t="inlineStr"/>
      <c r="N619" t="inlineStr">
        <is>
          <t>Нет у нас</t>
        </is>
      </c>
      <c r="O619" t="inlineStr"/>
      <c r="P619" t="inlineStr"/>
      <c r="Q619" t="inlineStr"/>
      <c r="R619">
        <f>HYPERLINK("https://nordwestinvest.ru/real-estates/prodaza-pomeshheniia-s-lentoi","ссылка")</f>
        <v/>
      </c>
      <c r="S619" t="inlineStr"/>
    </row>
    <row r="620">
      <c r="A620" t="inlineStr">
        <is>
          <t>Красносельское с.п.</t>
        </is>
      </c>
      <c r="B620" t="inlineStr">
        <is>
          <t>Центральная ул, 7</t>
        </is>
      </c>
      <c r="C620" t="inlineStr">
        <is>
          <t>sale</t>
        </is>
      </c>
      <c r="D620" t="inlineStr">
        <is>
          <t>Да</t>
        </is>
      </c>
      <c r="E620" t="inlineStr"/>
      <c r="F620" t="inlineStr"/>
      <c r="G620" t="inlineStr">
        <is>
          <t>375</t>
        </is>
      </c>
      <c r="H620" t="inlineStr"/>
      <c r="I620" t="inlineStr"/>
      <c r="J620" t="inlineStr">
        <is>
          <t>42 600 000</t>
        </is>
      </c>
      <c r="K620" t="inlineStr"/>
      <c r="L620" t="inlineStr"/>
      <c r="M620" t="inlineStr">
        <is>
          <t>Нет у нас</t>
        </is>
      </c>
      <c r="N620" t="inlineStr"/>
      <c r="O620" t="inlineStr"/>
      <c r="P620" t="inlineStr"/>
      <c r="Q620">
        <f>HYPERLINK("https://knru.ru/catalog/lo-korobitsyno-tsentralnaya-ul-d-7/","ссылка")</f>
        <v/>
      </c>
      <c r="R620" t="inlineStr"/>
      <c r="S620" t="inlineStr"/>
    </row>
    <row r="621">
      <c r="A621" t="inlineStr">
        <is>
          <t>Красносельское с.п.</t>
        </is>
      </c>
      <c r="B621" t="inlineStr">
        <is>
          <t>Центральная ул., д. 30 к 1</t>
        </is>
      </c>
      <c r="C621" t="inlineStr">
        <is>
          <t>sale</t>
        </is>
      </c>
      <c r="D621" t="inlineStr">
        <is>
          <t>Да</t>
        </is>
      </c>
      <c r="E621" t="inlineStr"/>
      <c r="F621" t="inlineStr"/>
      <c r="G621" t="inlineStr">
        <is>
          <t>84.8</t>
        </is>
      </c>
      <c r="H621" t="inlineStr"/>
      <c r="I621" t="inlineStr"/>
      <c r="J621" t="inlineStr">
        <is>
          <t>15 427 887</t>
        </is>
      </c>
      <c r="K621" t="inlineStr"/>
      <c r="L621" t="inlineStr"/>
      <c r="M621" t="inlineStr">
        <is>
          <t>Нет у нас</t>
        </is>
      </c>
      <c r="N621" t="inlineStr"/>
      <c r="O621" t="inlineStr"/>
      <c r="P621" t="inlineStr"/>
      <c r="Q621">
        <f>HYPERLINK("https://knru.ru/catalog/tsentralnaya-ul-d-30-k-1-595659094/","ссылка")</f>
        <v/>
      </c>
      <c r="R621" t="inlineStr"/>
      <c r="S621" t="inlineStr"/>
    </row>
    <row r="622">
      <c r="A622" t="inlineStr">
        <is>
          <t>Красносельское с.п.</t>
        </is>
      </c>
      <c r="B622" t="inlineStr">
        <is>
          <t>Центральная ул., д. 30 к 1</t>
        </is>
      </c>
      <c r="C622" t="inlineStr">
        <is>
          <t>sale</t>
        </is>
      </c>
      <c r="D622" t="inlineStr">
        <is>
          <t>Да</t>
        </is>
      </c>
      <c r="E622" t="inlineStr"/>
      <c r="F622" t="inlineStr"/>
      <c r="G622" t="inlineStr">
        <is>
          <t>119.9</t>
        </is>
      </c>
      <c r="H622" t="inlineStr"/>
      <c r="I622" t="inlineStr"/>
      <c r="J622" t="inlineStr">
        <is>
          <t>21 494 887</t>
        </is>
      </c>
      <c r="K622" t="inlineStr"/>
      <c r="L622" t="inlineStr"/>
      <c r="M622" t="inlineStr">
        <is>
          <t>Нет у нас</t>
        </is>
      </c>
      <c r="N622" t="inlineStr"/>
      <c r="O622" t="inlineStr"/>
      <c r="P622" t="inlineStr"/>
      <c r="Q622">
        <f>HYPERLINK("https://knru.ru/catalog/tsentralnaya-ul-d-30-k-1-114678461/","ссылка")</f>
        <v/>
      </c>
      <c r="R622" t="inlineStr"/>
      <c r="S622" t="inlineStr"/>
    </row>
    <row r="623">
      <c r="A623" t="inlineStr">
        <is>
          <t>Красносельское с.п.</t>
        </is>
      </c>
      <c r="B623" t="inlineStr">
        <is>
          <t>Центральная ул., д. 30 к 1</t>
        </is>
      </c>
      <c r="C623" t="inlineStr">
        <is>
          <t>sale</t>
        </is>
      </c>
      <c r="D623" t="inlineStr">
        <is>
          <t>Да</t>
        </is>
      </c>
      <c r="E623" t="inlineStr"/>
      <c r="F623" t="inlineStr"/>
      <c r="G623" t="inlineStr">
        <is>
          <t>128</t>
        </is>
      </c>
      <c r="H623" t="inlineStr"/>
      <c r="I623" t="inlineStr"/>
      <c r="J623" t="inlineStr">
        <is>
          <t>22 582 888</t>
        </is>
      </c>
      <c r="K623" t="inlineStr"/>
      <c r="L623" t="inlineStr"/>
      <c r="M623" t="inlineStr">
        <is>
          <t>Нет у нас</t>
        </is>
      </c>
      <c r="N623" t="inlineStr"/>
      <c r="O623" t="inlineStr"/>
      <c r="P623" t="inlineStr"/>
      <c r="Q623">
        <f>HYPERLINK("https://knru.ru/catalog/tsentralnaya-ul-d-30-k-1-1580423848/","ссылка")</f>
        <v/>
      </c>
      <c r="R623" t="inlineStr"/>
      <c r="S623" t="inlineStr"/>
    </row>
    <row r="624">
      <c r="A624" t="inlineStr">
        <is>
          <t>Красносельское с.п.</t>
        </is>
      </c>
      <c r="B624" t="inlineStr">
        <is>
          <t>Центральная ул., д. 30 к 1</t>
        </is>
      </c>
      <c r="C624" t="inlineStr">
        <is>
          <t>sale</t>
        </is>
      </c>
      <c r="D624" t="inlineStr">
        <is>
          <t>Да</t>
        </is>
      </c>
      <c r="E624" t="inlineStr"/>
      <c r="F624" t="inlineStr"/>
      <c r="G624" t="inlineStr">
        <is>
          <t>151.6</t>
        </is>
      </c>
      <c r="H624" t="inlineStr"/>
      <c r="I624" t="inlineStr"/>
      <c r="J624" t="inlineStr">
        <is>
          <t>26 626 888</t>
        </is>
      </c>
      <c r="K624" t="inlineStr"/>
      <c r="L624" t="inlineStr"/>
      <c r="M624" t="inlineStr">
        <is>
          <t>Нет у нас</t>
        </is>
      </c>
      <c r="N624" t="inlineStr"/>
      <c r="O624" t="inlineStr"/>
      <c r="P624" t="inlineStr"/>
      <c r="Q624">
        <f>HYPERLINK("https://knru.ru/catalog/tsentralnaya-ul-d-30-k-1-758658922/","ссылка")</f>
        <v/>
      </c>
      <c r="R624" t="inlineStr"/>
      <c r="S624" t="inlineStr"/>
    </row>
    <row r="625">
      <c r="A625" t="inlineStr">
        <is>
          <t>Красносельское с.п.</t>
        </is>
      </c>
      <c r="B625" t="inlineStr">
        <is>
          <t>Центральная ул., д. 30 к 1</t>
        </is>
      </c>
      <c r="C625" t="inlineStr">
        <is>
          <t>sale</t>
        </is>
      </c>
      <c r="D625" t="inlineStr">
        <is>
          <t>Да</t>
        </is>
      </c>
      <c r="E625" t="inlineStr"/>
      <c r="F625" t="inlineStr"/>
      <c r="G625" t="inlineStr">
        <is>
          <t>105.1</t>
        </is>
      </c>
      <c r="H625" t="inlineStr"/>
      <c r="I625" t="inlineStr"/>
      <c r="J625" t="inlineStr">
        <is>
          <t>20 207 887</t>
        </is>
      </c>
      <c r="K625" t="inlineStr"/>
      <c r="L625" t="inlineStr"/>
      <c r="M625" t="inlineStr">
        <is>
          <t>Нет у нас</t>
        </is>
      </c>
      <c r="N625" t="inlineStr"/>
      <c r="O625" t="inlineStr"/>
      <c r="P625" t="inlineStr"/>
      <c r="Q625">
        <f>HYPERLINK("https://knru.ru/catalog/tsentralnaya-ul-d-30-k-1-376052396/","ссылка")</f>
        <v/>
      </c>
      <c r="R625" t="inlineStr"/>
      <c r="S625" t="inlineStr"/>
    </row>
    <row r="626">
      <c r="A626" t="inlineStr">
        <is>
          <t>Красносельское с.п.</t>
        </is>
      </c>
      <c r="B626" t="inlineStr">
        <is>
          <t>Центральная ул., д. 30 к 1</t>
        </is>
      </c>
      <c r="C626" t="inlineStr">
        <is>
          <t>sale</t>
        </is>
      </c>
      <c r="D626" t="inlineStr">
        <is>
          <t>Да</t>
        </is>
      </c>
      <c r="E626" t="inlineStr"/>
      <c r="F626" t="inlineStr"/>
      <c r="G626" t="inlineStr">
        <is>
          <t>98</t>
        </is>
      </c>
      <c r="H626" t="inlineStr"/>
      <c r="I626" t="inlineStr"/>
      <c r="J626" t="inlineStr">
        <is>
          <t>18 210 887</t>
        </is>
      </c>
      <c r="K626" t="inlineStr"/>
      <c r="L626" t="inlineStr"/>
      <c r="M626" t="inlineStr">
        <is>
          <t>Нет у нас</t>
        </is>
      </c>
      <c r="N626" t="inlineStr"/>
      <c r="O626" t="inlineStr"/>
      <c r="P626" t="inlineStr"/>
      <c r="Q626">
        <f>HYPERLINK("https://knru.ru/catalog/tsentralnaya-ul-d-30-k-1/","ссылка")</f>
        <v/>
      </c>
      <c r="R626" t="inlineStr"/>
      <c r="S626" t="inlineStr"/>
    </row>
    <row r="627">
      <c r="A627" t="inlineStr">
        <is>
          <t>Красносельское с.п.</t>
        </is>
      </c>
      <c r="B627" t="inlineStr">
        <is>
          <t>Центральная ул., д. 30 к 2</t>
        </is>
      </c>
      <c r="C627" t="inlineStr">
        <is>
          <t>sale</t>
        </is>
      </c>
      <c r="D627" t="inlineStr">
        <is>
          <t>Да</t>
        </is>
      </c>
      <c r="E627" t="inlineStr"/>
      <c r="F627" t="inlineStr"/>
      <c r="G627" t="inlineStr">
        <is>
          <t>69.8</t>
        </is>
      </c>
      <c r="H627" t="inlineStr"/>
      <c r="I627" t="inlineStr"/>
      <c r="J627" t="inlineStr">
        <is>
          <t>14 786 888</t>
        </is>
      </c>
      <c r="K627" t="inlineStr"/>
      <c r="L627" t="inlineStr"/>
      <c r="M627" t="inlineStr">
        <is>
          <t>Нет у нас</t>
        </is>
      </c>
      <c r="N627" t="inlineStr"/>
      <c r="O627" t="inlineStr"/>
      <c r="P627" t="inlineStr"/>
      <c r="Q627">
        <f>HYPERLINK("https://knru.ru/catalog/tsentralnaya-ul-d-30-k-2-979636662/","ссылка")</f>
        <v/>
      </c>
      <c r="R627" t="inlineStr"/>
      <c r="S627" t="inlineStr"/>
    </row>
    <row r="628">
      <c r="A628" t="inlineStr">
        <is>
          <t>Красносельское с.п.</t>
        </is>
      </c>
      <c r="B628" t="inlineStr">
        <is>
          <t>Центральная ул., д. 30 к 2</t>
        </is>
      </c>
      <c r="C628" t="inlineStr">
        <is>
          <t>sale</t>
        </is>
      </c>
      <c r="D628" t="inlineStr">
        <is>
          <t>Да</t>
        </is>
      </c>
      <c r="E628" t="inlineStr"/>
      <c r="F628" t="inlineStr"/>
      <c r="G628" t="inlineStr">
        <is>
          <t>109.2</t>
        </is>
      </c>
      <c r="H628" t="inlineStr"/>
      <c r="I628" t="inlineStr"/>
      <c r="J628" t="inlineStr">
        <is>
          <t>19 236 888</t>
        </is>
      </c>
      <c r="K628" t="inlineStr"/>
      <c r="L628" t="inlineStr"/>
      <c r="M628" t="inlineStr">
        <is>
          <t>Нет у нас</t>
        </is>
      </c>
      <c r="N628" t="inlineStr"/>
      <c r="O628" t="inlineStr"/>
      <c r="P628" t="inlineStr"/>
      <c r="Q628">
        <f>HYPERLINK("https://knru.ru/catalog/tsentralnaya-ul-d-30-k-2-1833462499/","ссылка")</f>
        <v/>
      </c>
      <c r="R628" t="inlineStr"/>
      <c r="S628" t="inlineStr"/>
    </row>
    <row r="629">
      <c r="A629" t="inlineStr">
        <is>
          <t>Красносельское с.п.</t>
        </is>
      </c>
      <c r="B629" t="inlineStr">
        <is>
          <t>Центральная ул., д. 30 к 2</t>
        </is>
      </c>
      <c r="C629" t="inlineStr">
        <is>
          <t>sale</t>
        </is>
      </c>
      <c r="D629" t="inlineStr">
        <is>
          <t>Да</t>
        </is>
      </c>
      <c r="E629" t="inlineStr"/>
      <c r="F629" t="inlineStr"/>
      <c r="G629" t="inlineStr">
        <is>
          <t>94.5</t>
        </is>
      </c>
      <c r="H629" t="inlineStr"/>
      <c r="I629" t="inlineStr"/>
      <c r="J629" t="inlineStr">
        <is>
          <t>16 620 888</t>
        </is>
      </c>
      <c r="K629" t="inlineStr"/>
      <c r="L629" t="inlineStr"/>
      <c r="M629" t="inlineStr">
        <is>
          <t>Нет у нас</t>
        </is>
      </c>
      <c r="N629" t="inlineStr"/>
      <c r="O629" t="inlineStr"/>
      <c r="P629" t="inlineStr"/>
      <c r="Q629">
        <f>HYPERLINK("https://knru.ru/catalog/tsentralnaya-ul-d-30-k-2-616889017/","ссылка")</f>
        <v/>
      </c>
      <c r="R629" t="inlineStr"/>
      <c r="S629" t="inlineStr"/>
    </row>
    <row r="630">
      <c r="A630" t="inlineStr">
        <is>
          <t>Красносельское с.п.</t>
        </is>
      </c>
      <c r="B630" t="inlineStr">
        <is>
          <t>Центральная, 11</t>
        </is>
      </c>
      <c r="C630" t="inlineStr">
        <is>
          <t>sale</t>
        </is>
      </c>
      <c r="D630" t="inlineStr">
        <is>
          <t>Да</t>
        </is>
      </c>
      <c r="E630" t="inlineStr"/>
      <c r="F630" t="inlineStr"/>
      <c r="G630" t="inlineStr">
        <is>
          <t>2685</t>
        </is>
      </c>
      <c r="H630" t="inlineStr"/>
      <c r="I630" t="inlineStr"/>
      <c r="J630" t="inlineStr">
        <is>
          <t>159 000 000</t>
        </is>
      </c>
      <c r="K630" t="inlineStr"/>
      <c r="L630" t="inlineStr"/>
      <c r="M630" t="inlineStr">
        <is>
          <t>Нет у нас</t>
        </is>
      </c>
      <c r="N630" t="inlineStr"/>
      <c r="O630" t="inlineStr"/>
      <c r="P630" t="inlineStr"/>
      <c r="Q630">
        <f>HYPERLINK("https://knru.ru/catalog/tsentralnaya-11/","ссылка")</f>
        <v/>
      </c>
      <c r="R630" t="inlineStr"/>
      <c r="S630" t="inlineStr"/>
    </row>
    <row r="631">
      <c r="A631" t="inlineStr">
        <is>
          <t>Красные Зори</t>
        </is>
      </c>
      <c r="B631" t="inlineStr">
        <is>
          <t>Ропшинское ш, 1</t>
        </is>
      </c>
      <c r="C631" t="inlineStr">
        <is>
          <t>sale</t>
        </is>
      </c>
      <c r="D631" t="inlineStr">
        <is>
          <t>Да</t>
        </is>
      </c>
      <c r="E631" t="inlineStr"/>
      <c r="F631" t="inlineStr"/>
      <c r="G631" t="inlineStr">
        <is>
          <t>30000</t>
        </is>
      </c>
      <c r="H631" t="inlineStr"/>
      <c r="I631" t="inlineStr"/>
      <c r="J631" t="inlineStr">
        <is>
          <t>580 000 000</t>
        </is>
      </c>
      <c r="K631" t="inlineStr"/>
      <c r="L631" t="inlineStr"/>
      <c r="M631" t="inlineStr">
        <is>
          <t>Нет у нас</t>
        </is>
      </c>
      <c r="N631" t="inlineStr"/>
      <c r="O631" t="inlineStr"/>
      <c r="P631" t="inlineStr"/>
      <c r="Q631">
        <f>HYPERLINK("https://knru.ru/catalog/ropshinskoe-sh-1/","ссылка")</f>
        <v/>
      </c>
      <c r="R631" t="inlineStr"/>
      <c r="S631" t="inlineStr"/>
    </row>
    <row r="632">
      <c r="A632" t="inlineStr">
        <is>
          <t>Кронштадтская колония</t>
        </is>
      </c>
      <c r="B632" t="inlineStr">
        <is>
          <t>Токарева ул, 1</t>
        </is>
      </c>
      <c r="C632" t="inlineStr">
        <is>
          <t>sale</t>
        </is>
      </c>
      <c r="D632" t="inlineStr">
        <is>
          <t>Да</t>
        </is>
      </c>
      <c r="E632" t="inlineStr"/>
      <c r="F632" t="inlineStr"/>
      <c r="G632" t="inlineStr">
        <is>
          <t>2400</t>
        </is>
      </c>
      <c r="H632" t="inlineStr"/>
      <c r="I632" t="inlineStr"/>
      <c r="J632" t="inlineStr">
        <is>
          <t>133 000 000</t>
        </is>
      </c>
      <c r="K632" t="inlineStr"/>
      <c r="L632" t="inlineStr"/>
      <c r="M632" t="inlineStr">
        <is>
          <t>Нет у нас</t>
        </is>
      </c>
      <c r="N632" t="inlineStr"/>
      <c r="O632" t="inlineStr"/>
      <c r="P632" t="inlineStr"/>
      <c r="Q632">
        <f>HYPERLINK("https://knru.ru/catalog/tokareva-ul-1/","ссылка")</f>
        <v/>
      </c>
      <c r="R632" t="inlineStr"/>
      <c r="S632" t="inlineStr"/>
    </row>
    <row r="633">
      <c r="A633" t="inlineStr">
        <is>
          <t>Курортный район</t>
        </is>
      </c>
      <c r="B633" t="inlineStr">
        <is>
          <t>Инструментальщиков ул, 18стр1</t>
        </is>
      </c>
      <c r="C633" t="inlineStr">
        <is>
          <t>sale</t>
        </is>
      </c>
      <c r="D633" t="inlineStr">
        <is>
          <t>Да</t>
        </is>
      </c>
      <c r="E633" t="inlineStr"/>
      <c r="F633" t="inlineStr"/>
      <c r="G633" t="inlineStr">
        <is>
          <t>690</t>
        </is>
      </c>
      <c r="H633" t="inlineStr"/>
      <c r="I633" t="inlineStr"/>
      <c r="J633" t="inlineStr">
        <is>
          <t>270 000 000</t>
        </is>
      </c>
      <c r="K633" t="inlineStr"/>
      <c r="L633" t="inlineStr"/>
      <c r="M633" t="inlineStr">
        <is>
          <t>Нет у нас</t>
        </is>
      </c>
      <c r="N633" t="inlineStr"/>
      <c r="O633" t="inlineStr"/>
      <c r="P633" t="inlineStr"/>
      <c r="Q633">
        <f>HYPERLINK("https://knru.ru/catalog/g-sestroretsk-ul-instrumentalshchikov-d-18/","ссылка")</f>
        <v/>
      </c>
      <c r="R633" t="inlineStr"/>
      <c r="S633" t="inlineStr"/>
    </row>
    <row r="634">
      <c r="A634" t="inlineStr">
        <is>
          <t>Курортный</t>
        </is>
      </c>
      <c r="B634" t="inlineStr">
        <is>
          <t>Народная ул, 6 А</t>
        </is>
      </c>
      <c r="C634" t="inlineStr">
        <is>
          <t>sale</t>
        </is>
      </c>
      <c r="D634" t="inlineStr"/>
      <c r="E634" t="inlineStr">
        <is>
          <t>Да</t>
        </is>
      </c>
      <c r="F634" t="inlineStr"/>
      <c r="G634" t="inlineStr"/>
      <c r="H634" t="inlineStr">
        <is>
          <t>1582.5</t>
        </is>
      </c>
      <c r="I634" t="inlineStr"/>
      <c r="J634" t="inlineStr"/>
      <c r="K634" t="inlineStr">
        <is>
          <t>230 000 000</t>
        </is>
      </c>
      <c r="L634" t="inlineStr"/>
      <c r="M634" t="inlineStr"/>
      <c r="N634" t="inlineStr">
        <is>
          <t>Нет у нас</t>
        </is>
      </c>
      <c r="O634" t="inlineStr"/>
      <c r="P634" t="inlineStr"/>
      <c r="Q634" t="inlineStr"/>
      <c r="R634">
        <f>HYPERLINK("https://nordwestinvest.ru/real-estates/prodaza-s-arendatorami-1-5825-kvm","ссылка")</f>
        <v/>
      </c>
      <c r="S634" t="inlineStr"/>
    </row>
    <row r="635">
      <c r="A635" t="inlineStr">
        <is>
          <t>Курортный</t>
        </is>
      </c>
      <c r="B635" t="inlineStr">
        <is>
          <t>Отдыха ул, 6 А</t>
        </is>
      </c>
      <c r="C635" t="inlineStr">
        <is>
          <t>sale</t>
        </is>
      </c>
      <c r="D635" t="inlineStr">
        <is>
          <t>Да</t>
        </is>
      </c>
      <c r="E635" t="inlineStr"/>
      <c r="F635" t="inlineStr"/>
      <c r="G635" t="inlineStr">
        <is>
          <t>26647</t>
        </is>
      </c>
      <c r="H635" t="inlineStr"/>
      <c r="I635" t="inlineStr"/>
      <c r="J635" t="inlineStr">
        <is>
          <t>1 700 000 000</t>
        </is>
      </c>
      <c r="K635" t="inlineStr"/>
      <c r="L635" t="inlineStr"/>
      <c r="M635" t="inlineStr">
        <is>
          <t>Нет у нас</t>
        </is>
      </c>
      <c r="N635" t="inlineStr"/>
      <c r="O635" t="inlineStr"/>
      <c r="P635" t="inlineStr"/>
      <c r="Q635">
        <f>HYPERLINK("https://knru.ru/catalog/otdykha-ul-6-a/","ссылка")</f>
        <v/>
      </c>
      <c r="R635" t="inlineStr"/>
      <c r="S635" t="inlineStr"/>
    </row>
    <row r="636">
      <c r="A636" t="inlineStr">
        <is>
          <t>Курортный</t>
        </is>
      </c>
      <c r="B636" t="inlineStr">
        <is>
          <t>Руднева ул, 18стр1</t>
        </is>
      </c>
      <c r="C636" t="inlineStr">
        <is>
          <t>sale</t>
        </is>
      </c>
      <c r="D636" t="inlineStr"/>
      <c r="E636" t="inlineStr">
        <is>
          <t>Да</t>
        </is>
      </c>
      <c r="F636" t="inlineStr"/>
      <c r="G636" t="inlineStr"/>
      <c r="H636" t="inlineStr">
        <is>
          <t>369.3</t>
        </is>
      </c>
      <c r="I636" t="inlineStr"/>
      <c r="J636" t="inlineStr"/>
      <c r="K636" t="inlineStr">
        <is>
          <t>59 519 000</t>
        </is>
      </c>
      <c r="L636" t="inlineStr"/>
      <c r="M636" t="inlineStr"/>
      <c r="N636" t="inlineStr">
        <is>
          <t>Нет у нас</t>
        </is>
      </c>
      <c r="O636" t="inlineStr"/>
      <c r="P636" t="inlineStr"/>
      <c r="Q636" t="inlineStr"/>
      <c r="R636">
        <f>HYPERLINK("https://nordwestinvest.ru/real-estates/prodaza-s-nds-2-etaz-10-minut-ot-metro","ссылка")</f>
        <v/>
      </c>
      <c r="S636" t="inlineStr"/>
    </row>
    <row r="637">
      <c r="A637" t="inlineStr">
        <is>
          <t>Курортный</t>
        </is>
      </c>
      <c r="B637" t="inlineStr">
        <is>
          <t>Шушары п, Старорусский пр-кт, 6 А</t>
        </is>
      </c>
      <c r="C637" t="inlineStr">
        <is>
          <t>sale</t>
        </is>
      </c>
      <c r="D637" t="inlineStr"/>
      <c r="E637" t="inlineStr">
        <is>
          <t>Да</t>
        </is>
      </c>
      <c r="F637" t="inlineStr"/>
      <c r="G637" t="inlineStr"/>
      <c r="H637" t="inlineStr">
        <is>
          <t>169.2</t>
        </is>
      </c>
      <c r="I637" t="inlineStr"/>
      <c r="J637" t="inlineStr"/>
      <c r="K637" t="inlineStr">
        <is>
          <t>32 000 000</t>
        </is>
      </c>
      <c r="L637" t="inlineStr"/>
      <c r="M637" t="inlineStr"/>
      <c r="N637" t="inlineStr">
        <is>
          <t>Нет у нас</t>
        </is>
      </c>
      <c r="O637" t="inlineStr"/>
      <c r="P637" t="inlineStr"/>
      <c r="Q637" t="inlineStr"/>
      <c r="R637">
        <f>HYPERLINK("https://nordwestinvest.ru/real-estates/prodaza-pomeshheniia-svobodnogo-naznaceniia-170-kvm","ссылка")</f>
        <v/>
      </c>
      <c r="S637" t="inlineStr"/>
    </row>
    <row r="638">
      <c r="A638" t="inlineStr">
        <is>
          <t>Курортный</t>
        </is>
      </c>
      <c r="B638" t="inlineStr">
        <is>
          <t>Юнтоловский пр-кт, 49к6 А</t>
        </is>
      </c>
      <c r="C638" t="inlineStr">
        <is>
          <t>sale</t>
        </is>
      </c>
      <c r="D638" t="inlineStr">
        <is>
          <t>Да</t>
        </is>
      </c>
      <c r="E638" t="inlineStr"/>
      <c r="F638" t="inlineStr"/>
      <c r="G638" t="inlineStr">
        <is>
          <t>99</t>
        </is>
      </c>
      <c r="H638" t="inlineStr"/>
      <c r="I638" t="inlineStr"/>
      <c r="J638" t="inlineStr">
        <is>
          <t>22 000 000</t>
        </is>
      </c>
      <c r="K638" t="inlineStr"/>
      <c r="L638" t="inlineStr"/>
      <c r="M638" t="inlineStr">
        <is>
          <t>По адресу есть, но площадь другая</t>
        </is>
      </c>
      <c r="N638" t="inlineStr"/>
      <c r="O638" t="inlineStr"/>
      <c r="P638" t="inlineStr"/>
      <c r="Q638">
        <f>HYPERLINK("https://knru.ru/catalog/yuntolovskij-pr-t-d-49-korp-6/","ссылка")</f>
        <v/>
      </c>
      <c r="R638" t="inlineStr"/>
      <c r="S638" t="inlineStr"/>
    </row>
    <row r="639">
      <c r="A639" t="inlineStr">
        <is>
          <t>Лаголово</t>
        </is>
      </c>
      <c r="B639" t="inlineStr">
        <is>
          <t>Лаголово дер.</t>
        </is>
      </c>
      <c r="C639" t="inlineStr">
        <is>
          <t>sale</t>
        </is>
      </c>
      <c r="D639" t="inlineStr">
        <is>
          <t>Да</t>
        </is>
      </c>
      <c r="E639" t="inlineStr"/>
      <c r="F639" t="inlineStr"/>
      <c r="G639" t="inlineStr">
        <is>
          <t>85.1</t>
        </is>
      </c>
      <c r="H639" t="inlineStr"/>
      <c r="I639" t="inlineStr"/>
      <c r="J639" t="inlineStr">
        <is>
          <t>14 516 358</t>
        </is>
      </c>
      <c r="K639" t="inlineStr"/>
      <c r="L639" t="inlineStr"/>
      <c r="M639" t="inlineStr">
        <is>
          <t>Нет у нас</t>
        </is>
      </c>
      <c r="N639" t="inlineStr"/>
      <c r="O639" t="inlineStr"/>
      <c r="P639" t="inlineStr"/>
      <c r="Q639">
        <f>HYPERLINK("https://knru.ru/catalog/lagolovo-der-1942649527/","ссылка")</f>
        <v/>
      </c>
      <c r="R639" t="inlineStr"/>
      <c r="S639" t="inlineStr"/>
    </row>
    <row r="640">
      <c r="A640" t="inlineStr">
        <is>
          <t>Лаголово</t>
        </is>
      </c>
      <c r="B640" t="inlineStr">
        <is>
          <t>Лаголово дер.</t>
        </is>
      </c>
      <c r="C640" t="inlineStr">
        <is>
          <t>sale</t>
        </is>
      </c>
      <c r="D640" t="inlineStr">
        <is>
          <t>Да</t>
        </is>
      </c>
      <c r="E640" t="inlineStr"/>
      <c r="F640" t="inlineStr"/>
      <c r="G640" t="inlineStr">
        <is>
          <t>43.2</t>
        </is>
      </c>
      <c r="H640" t="inlineStr"/>
      <c r="I640" t="inlineStr"/>
      <c r="J640" t="inlineStr">
        <is>
          <t>9 035 280</t>
        </is>
      </c>
      <c r="K640" t="inlineStr"/>
      <c r="L640" t="inlineStr"/>
      <c r="M640" t="inlineStr">
        <is>
          <t>Нет у нас</t>
        </is>
      </c>
      <c r="N640" t="inlineStr"/>
      <c r="O640" t="inlineStr"/>
      <c r="P640" t="inlineStr"/>
      <c r="Q640">
        <f>HYPERLINK("https://knru.ru/catalog/lagolovo-der-294204414/","ссылка")</f>
        <v/>
      </c>
      <c r="R640" t="inlineStr"/>
      <c r="S640" t="inlineStr"/>
    </row>
    <row r="641">
      <c r="A641" t="inlineStr">
        <is>
          <t>Лаголово</t>
        </is>
      </c>
      <c r="B641" t="inlineStr">
        <is>
          <t>Лаголово дер.</t>
        </is>
      </c>
      <c r="C641" t="inlineStr">
        <is>
          <t>sale</t>
        </is>
      </c>
      <c r="D641" t="inlineStr">
        <is>
          <t>Да</t>
        </is>
      </c>
      <c r="E641" t="inlineStr"/>
      <c r="F641" t="inlineStr"/>
      <c r="G641" t="inlineStr">
        <is>
          <t>57.8</t>
        </is>
      </c>
      <c r="H641" t="inlineStr"/>
      <c r="I641" t="inlineStr"/>
      <c r="J641" t="inlineStr">
        <is>
          <t>12 088 870</t>
        </is>
      </c>
      <c r="K641" t="inlineStr"/>
      <c r="L641" t="inlineStr"/>
      <c r="M641" t="inlineStr">
        <is>
          <t>Нет у нас</t>
        </is>
      </c>
      <c r="N641" t="inlineStr"/>
      <c r="O641" t="inlineStr"/>
      <c r="P641" t="inlineStr"/>
      <c r="Q641">
        <f>HYPERLINK("https://knru.ru/catalog/lagolovo-der-446154511/","ссылка")</f>
        <v/>
      </c>
      <c r="R641" t="inlineStr"/>
      <c r="S641" t="inlineStr"/>
    </row>
    <row r="642">
      <c r="A642" t="inlineStr">
        <is>
          <t>Лаголово</t>
        </is>
      </c>
      <c r="B642" t="inlineStr">
        <is>
          <t>Лаголово дер.</t>
        </is>
      </c>
      <c r="C642" t="inlineStr">
        <is>
          <t>sale</t>
        </is>
      </c>
      <c r="D642" t="inlineStr">
        <is>
          <t>Да</t>
        </is>
      </c>
      <c r="E642" t="inlineStr"/>
      <c r="F642" t="inlineStr"/>
      <c r="G642" t="inlineStr">
        <is>
          <t>116.9</t>
        </is>
      </c>
      <c r="H642" t="inlineStr"/>
      <c r="I642" t="inlineStr"/>
      <c r="J642" t="inlineStr">
        <is>
          <t>20 120 828</t>
        </is>
      </c>
      <c r="K642" t="inlineStr"/>
      <c r="L642" t="inlineStr"/>
      <c r="M642" t="inlineStr">
        <is>
          <t>Нет у нас</t>
        </is>
      </c>
      <c r="N642" t="inlineStr"/>
      <c r="O642" t="inlineStr"/>
      <c r="P642" t="inlineStr"/>
      <c r="Q642">
        <f>HYPERLINK("https://knru.ru/catalog/lagolovo-der-675241557/","ссылка")</f>
        <v/>
      </c>
      <c r="R642" t="inlineStr"/>
      <c r="S642" t="inlineStr"/>
    </row>
    <row r="643">
      <c r="A643" t="inlineStr">
        <is>
          <t>Лаголово</t>
        </is>
      </c>
      <c r="B643" t="inlineStr">
        <is>
          <t>Лаголово дер.</t>
        </is>
      </c>
      <c r="C643" t="inlineStr">
        <is>
          <t>sale</t>
        </is>
      </c>
      <c r="D643" t="inlineStr">
        <is>
          <t>Да</t>
        </is>
      </c>
      <c r="E643" t="inlineStr"/>
      <c r="F643" t="inlineStr"/>
      <c r="G643" t="inlineStr">
        <is>
          <t>112.1</t>
        </is>
      </c>
      <c r="H643" t="inlineStr"/>
      <c r="I643" t="inlineStr"/>
      <c r="J643" t="inlineStr">
        <is>
          <t>18 198 314</t>
        </is>
      </c>
      <c r="K643" t="inlineStr"/>
      <c r="L643" t="inlineStr"/>
      <c r="M643" t="inlineStr">
        <is>
          <t>Нет у нас</t>
        </is>
      </c>
      <c r="N643" t="inlineStr"/>
      <c r="O643" t="inlineStr"/>
      <c r="P643" t="inlineStr"/>
      <c r="Q643">
        <f>HYPERLINK("https://knru.ru/catalog/lagolovo-der-1817799514/","ссылка")</f>
        <v/>
      </c>
      <c r="R643" t="inlineStr"/>
      <c r="S643" t="inlineStr"/>
    </row>
    <row r="644">
      <c r="A644" t="inlineStr">
        <is>
          <t>Лаголово</t>
        </is>
      </c>
      <c r="B644" t="inlineStr">
        <is>
          <t>Лаголово дер.</t>
        </is>
      </c>
      <c r="C644" t="inlineStr">
        <is>
          <t>sale</t>
        </is>
      </c>
      <c r="D644" t="inlineStr">
        <is>
          <t>Да</t>
        </is>
      </c>
      <c r="E644" t="inlineStr"/>
      <c r="F644" t="inlineStr"/>
      <c r="G644" t="inlineStr">
        <is>
          <t>33.4</t>
        </is>
      </c>
      <c r="H644" t="inlineStr"/>
      <c r="I644" t="inlineStr"/>
      <c r="J644" t="inlineStr">
        <is>
          <t>10 427 480</t>
        </is>
      </c>
      <c r="K644" t="inlineStr"/>
      <c r="L644" t="inlineStr"/>
      <c r="M644" t="inlineStr">
        <is>
          <t>Нет у нас</t>
        </is>
      </c>
      <c r="N644" t="inlineStr"/>
      <c r="O644" t="inlineStr"/>
      <c r="P644" t="inlineStr"/>
      <c r="Q644">
        <f>HYPERLINK("https://knru.ru/catalog/lagolovo-der-53510736/","ссылка")</f>
        <v/>
      </c>
      <c r="R644" t="inlineStr"/>
      <c r="S644" t="inlineStr"/>
    </row>
    <row r="645">
      <c r="A645" t="inlineStr">
        <is>
          <t>Лаголово</t>
        </is>
      </c>
      <c r="B645" t="inlineStr">
        <is>
          <t>Лаголово дер.</t>
        </is>
      </c>
      <c r="C645" t="inlineStr">
        <is>
          <t>sale</t>
        </is>
      </c>
      <c r="D645" t="inlineStr">
        <is>
          <t>Да</t>
        </is>
      </c>
      <c r="E645" t="inlineStr"/>
      <c r="F645" t="inlineStr"/>
      <c r="G645" t="inlineStr">
        <is>
          <t>239.3</t>
        </is>
      </c>
      <c r="H645" t="inlineStr"/>
      <c r="I645" t="inlineStr"/>
      <c r="J645" t="inlineStr">
        <is>
          <t>76 678 213</t>
        </is>
      </c>
      <c r="K645" t="inlineStr"/>
      <c r="L645" t="inlineStr"/>
      <c r="M645" t="inlineStr">
        <is>
          <t>Нет у нас</t>
        </is>
      </c>
      <c r="N645" t="inlineStr"/>
      <c r="O645" t="inlineStr"/>
      <c r="P645" t="inlineStr"/>
      <c r="Q645">
        <f>HYPERLINK("https://knru.ru/catalog/lagolovo-der-553081250/","ссылка")</f>
        <v/>
      </c>
      <c r="R645" t="inlineStr"/>
      <c r="S645" t="inlineStr"/>
    </row>
    <row r="646">
      <c r="A646" t="inlineStr">
        <is>
          <t>Лаголово</t>
        </is>
      </c>
      <c r="B646" t="inlineStr">
        <is>
          <t>Лаголово дер.</t>
        </is>
      </c>
      <c r="C646" t="inlineStr">
        <is>
          <t>sale</t>
        </is>
      </c>
      <c r="D646" t="inlineStr">
        <is>
          <t>Да</t>
        </is>
      </c>
      <c r="E646" t="inlineStr"/>
      <c r="F646" t="inlineStr"/>
      <c r="G646" t="inlineStr">
        <is>
          <t>79.2</t>
        </is>
      </c>
      <c r="H646" t="inlineStr"/>
      <c r="I646" t="inlineStr"/>
      <c r="J646" t="inlineStr">
        <is>
          <t>19 733 473</t>
        </is>
      </c>
      <c r="K646" t="inlineStr"/>
      <c r="L646" t="inlineStr"/>
      <c r="M646" t="inlineStr">
        <is>
          <t>Нет у нас</t>
        </is>
      </c>
      <c r="N646" t="inlineStr"/>
      <c r="O646" t="inlineStr"/>
      <c r="P646" t="inlineStr"/>
      <c r="Q646">
        <f>HYPERLINK("https://knru.ru/catalog/lagolovo-der-1927759881/","ссылка")</f>
        <v/>
      </c>
      <c r="R646" t="inlineStr"/>
      <c r="S646" t="inlineStr"/>
    </row>
    <row r="647">
      <c r="A647" t="inlineStr">
        <is>
          <t>Лаголово</t>
        </is>
      </c>
      <c r="B647" t="inlineStr">
        <is>
          <t>Лаголово дер.</t>
        </is>
      </c>
      <c r="C647" t="inlineStr">
        <is>
          <t>sale</t>
        </is>
      </c>
      <c r="D647" t="inlineStr">
        <is>
          <t>Да</t>
        </is>
      </c>
      <c r="E647" t="inlineStr"/>
      <c r="F647" t="inlineStr"/>
      <c r="G647" t="inlineStr">
        <is>
          <t>170.4</t>
        </is>
      </c>
      <c r="H647" t="inlineStr"/>
      <c r="I647" t="inlineStr"/>
      <c r="J647" t="inlineStr">
        <is>
          <t>38 632 258</t>
        </is>
      </c>
      <c r="K647" t="inlineStr"/>
      <c r="L647" t="inlineStr"/>
      <c r="M647" t="inlineStr">
        <is>
          <t>Нет у нас</t>
        </is>
      </c>
      <c r="N647" t="inlineStr"/>
      <c r="O647" t="inlineStr"/>
      <c r="P647" t="inlineStr"/>
      <c r="Q647">
        <f>HYPERLINK("https://knru.ru/catalog/lagolovo-der-439422606/","ссылка")</f>
        <v/>
      </c>
      <c r="R647" t="inlineStr"/>
      <c r="S647" t="inlineStr"/>
    </row>
    <row r="648">
      <c r="A648" t="inlineStr">
        <is>
          <t>Лаголово</t>
        </is>
      </c>
      <c r="B648" t="inlineStr">
        <is>
          <t>Лаголово дер.</t>
        </is>
      </c>
      <c r="C648" t="inlineStr">
        <is>
          <t>sale</t>
        </is>
      </c>
      <c r="D648" t="inlineStr">
        <is>
          <t>Да</t>
        </is>
      </c>
      <c r="E648" t="inlineStr"/>
      <c r="F648" t="inlineStr"/>
      <c r="G648" t="inlineStr">
        <is>
          <t>129.6</t>
        </is>
      </c>
      <c r="H648" t="inlineStr"/>
      <c r="I648" t="inlineStr"/>
      <c r="J648" t="inlineStr">
        <is>
          <t>31 225 857</t>
        </is>
      </c>
      <c r="K648" t="inlineStr"/>
      <c r="L648" t="inlineStr"/>
      <c r="M648" t="inlineStr">
        <is>
          <t>Нет у нас</t>
        </is>
      </c>
      <c r="N648" t="inlineStr"/>
      <c r="O648" t="inlineStr"/>
      <c r="P648" t="inlineStr"/>
      <c r="Q648">
        <f>HYPERLINK("https://knru.ru/catalog/lagolovo-der-1260339022/","ссылка")</f>
        <v/>
      </c>
      <c r="R648" t="inlineStr"/>
      <c r="S648" t="inlineStr"/>
    </row>
    <row r="649">
      <c r="A649" t="inlineStr">
        <is>
          <t>Лаголово</t>
        </is>
      </c>
      <c r="B649" t="inlineStr">
        <is>
          <t>Лаголово дер.</t>
        </is>
      </c>
      <c r="C649" t="inlineStr">
        <is>
          <t>sale</t>
        </is>
      </c>
      <c r="D649" t="inlineStr">
        <is>
          <t>Да</t>
        </is>
      </c>
      <c r="E649" t="inlineStr"/>
      <c r="F649" t="inlineStr"/>
      <c r="G649" t="inlineStr">
        <is>
          <t>38.7</t>
        </is>
      </c>
      <c r="H649" t="inlineStr"/>
      <c r="I649" t="inlineStr"/>
      <c r="J649" t="inlineStr">
        <is>
          <t>12 694 636</t>
        </is>
      </c>
      <c r="K649" t="inlineStr"/>
      <c r="L649" t="inlineStr"/>
      <c r="M649" t="inlineStr">
        <is>
          <t>Нет у нас</t>
        </is>
      </c>
      <c r="N649" t="inlineStr"/>
      <c r="O649" t="inlineStr"/>
      <c r="P649" t="inlineStr"/>
      <c r="Q649">
        <f>HYPERLINK("https://knru.ru/catalog/lagolovo-der-2056408885/","ссылка")</f>
        <v/>
      </c>
      <c r="R649" t="inlineStr"/>
      <c r="S649" t="inlineStr"/>
    </row>
    <row r="650">
      <c r="A650" t="inlineStr">
        <is>
          <t>Лаголово</t>
        </is>
      </c>
      <c r="B650" t="inlineStr">
        <is>
          <t>Лаголово дер.</t>
        </is>
      </c>
      <c r="C650" t="inlineStr">
        <is>
          <t>sale</t>
        </is>
      </c>
      <c r="D650" t="inlineStr">
        <is>
          <t>Да</t>
        </is>
      </c>
      <c r="E650" t="inlineStr"/>
      <c r="F650" t="inlineStr"/>
      <c r="G650" t="inlineStr">
        <is>
          <t>145.6</t>
        </is>
      </c>
      <c r="H650" t="inlineStr"/>
      <c r="I650" t="inlineStr"/>
      <c r="J650" t="inlineStr">
        <is>
          <t>34 113 127</t>
        </is>
      </c>
      <c r="K650" t="inlineStr"/>
      <c r="L650" t="inlineStr"/>
      <c r="M650" t="inlineStr">
        <is>
          <t>Нет у нас</t>
        </is>
      </c>
      <c r="N650" t="inlineStr"/>
      <c r="O650" t="inlineStr"/>
      <c r="P650" t="inlineStr"/>
      <c r="Q650">
        <f>HYPERLINK("https://knru.ru/catalog/lagolovo-der-1709136639/","ссылка")</f>
        <v/>
      </c>
      <c r="R650" t="inlineStr"/>
      <c r="S650" t="inlineStr"/>
    </row>
    <row r="651">
      <c r="A651" t="inlineStr">
        <is>
          <t>Лаголово</t>
        </is>
      </c>
      <c r="B651" t="inlineStr">
        <is>
          <t>Лаголово дер.</t>
        </is>
      </c>
      <c r="C651" t="inlineStr">
        <is>
          <t>sale</t>
        </is>
      </c>
      <c r="D651" t="inlineStr">
        <is>
          <t>Да</t>
        </is>
      </c>
      <c r="E651" t="inlineStr"/>
      <c r="F651" t="inlineStr"/>
      <c r="G651" t="inlineStr">
        <is>
          <t>185.8</t>
        </is>
      </c>
      <c r="H651" t="inlineStr"/>
      <c r="I651" t="inlineStr"/>
      <c r="J651" t="inlineStr">
        <is>
          <t>39 348 807</t>
        </is>
      </c>
      <c r="K651" t="inlineStr"/>
      <c r="L651" t="inlineStr"/>
      <c r="M651" t="inlineStr">
        <is>
          <t>Нет у нас</t>
        </is>
      </c>
      <c r="N651" t="inlineStr"/>
      <c r="O651" t="inlineStr"/>
      <c r="P651" t="inlineStr"/>
      <c r="Q651">
        <f>HYPERLINK("https://knru.ru/catalog/lagolovo-der-244312918/","ссылка")</f>
        <v/>
      </c>
      <c r="R651" t="inlineStr"/>
      <c r="S651" t="inlineStr"/>
    </row>
    <row r="652">
      <c r="A652" t="inlineStr">
        <is>
          <t>Лаголово</t>
        </is>
      </c>
      <c r="B652" t="inlineStr">
        <is>
          <t>Лаголово дер.</t>
        </is>
      </c>
      <c r="C652" t="inlineStr">
        <is>
          <t>sale</t>
        </is>
      </c>
      <c r="D652" t="inlineStr">
        <is>
          <t>Да</t>
        </is>
      </c>
      <c r="E652" t="inlineStr"/>
      <c r="F652" t="inlineStr"/>
      <c r="G652" t="inlineStr">
        <is>
          <t>98.4</t>
        </is>
      </c>
      <c r="H652" t="inlineStr"/>
      <c r="I652" t="inlineStr"/>
      <c r="J652" t="inlineStr">
        <is>
          <t>27 479 687</t>
        </is>
      </c>
      <c r="K652" t="inlineStr"/>
      <c r="L652" t="inlineStr"/>
      <c r="M652" t="inlineStr">
        <is>
          <t>Нет у нас</t>
        </is>
      </c>
      <c r="N652" t="inlineStr"/>
      <c r="O652" t="inlineStr"/>
      <c r="P652" t="inlineStr"/>
      <c r="Q652">
        <f>HYPERLINK("https://knru.ru/catalog/lagolovo-der/","ссылка")</f>
        <v/>
      </c>
      <c r="R652" t="inlineStr"/>
      <c r="S652" t="inlineStr"/>
    </row>
    <row r="653">
      <c r="A653" t="inlineStr">
        <is>
          <t>Лаголово</t>
        </is>
      </c>
      <c r="B653" t="inlineStr">
        <is>
          <t>Лаголово дер., 2</t>
        </is>
      </c>
      <c r="C653" t="inlineStr">
        <is>
          <t>sale</t>
        </is>
      </c>
      <c r="D653" t="inlineStr">
        <is>
          <t>Да</t>
        </is>
      </c>
      <c r="E653" t="inlineStr"/>
      <c r="F653" t="inlineStr"/>
      <c r="G653" t="inlineStr">
        <is>
          <t>18.9</t>
        </is>
      </c>
      <c r="H653" t="inlineStr"/>
      <c r="I653" t="inlineStr"/>
      <c r="J653" t="inlineStr">
        <is>
          <t>8 492 148</t>
        </is>
      </c>
      <c r="K653" t="inlineStr"/>
      <c r="L653" t="inlineStr"/>
      <c r="M653" t="inlineStr">
        <is>
          <t>Нет у нас</t>
        </is>
      </c>
      <c r="N653" t="inlineStr"/>
      <c r="O653" t="inlineStr"/>
      <c r="P653" t="inlineStr"/>
      <c r="Q653">
        <f>HYPERLINK("https://knru.ru/catalog/lagolovo-der-2/","ссылка")</f>
        <v/>
      </c>
      <c r="R653" t="inlineStr"/>
      <c r="S653" t="inlineStr"/>
    </row>
    <row r="654">
      <c r="A654" t="inlineStr">
        <is>
          <t>Ленинградская область</t>
        </is>
      </c>
      <c r="B654" t="inlineStr">
        <is>
          <t>Ленинградская обл, автодорога Кола 21 км, -, -</t>
        </is>
      </c>
      <c r="C654" t="inlineStr">
        <is>
          <t>sale</t>
        </is>
      </c>
      <c r="D654" t="inlineStr"/>
      <c r="E654" t="inlineStr">
        <is>
          <t>Да</t>
        </is>
      </c>
      <c r="F654" t="inlineStr"/>
      <c r="G654" t="inlineStr"/>
      <c r="H654" t="inlineStr">
        <is>
          <t>1797</t>
        </is>
      </c>
      <c r="I654" t="inlineStr"/>
      <c r="J654" t="inlineStr"/>
      <c r="K654" t="inlineStr">
        <is>
          <t>115 000 000</t>
        </is>
      </c>
      <c r="L654" t="inlineStr"/>
      <c r="M654" t="inlineStr"/>
      <c r="N654" t="inlineStr">
        <is>
          <t>Нет у нас</t>
        </is>
      </c>
      <c r="O654" t="inlineStr"/>
      <c r="P654" t="inlineStr"/>
      <c r="Q654" t="inlineStr"/>
      <c r="R654">
        <f>HYPERLINK("https://nordwestinvest.ru/real-estates/prodaza-skladskogo-pomeshheniia-1797-m2","ссылка")</f>
        <v/>
      </c>
      <c r="S654" t="inlineStr"/>
    </row>
    <row r="655">
      <c r="A655" t="inlineStr">
        <is>
          <t>Ленинградская область</t>
        </is>
      </c>
      <c r="B655" t="inlineStr">
        <is>
          <t>Ленинградская обл, автодорога Кола 21 км, Р-21 Кола, 71</t>
        </is>
      </c>
      <c r="C655" t="inlineStr">
        <is>
          <t>sale</t>
        </is>
      </c>
      <c r="D655" t="inlineStr"/>
      <c r="E655" t="inlineStr">
        <is>
          <t>Да</t>
        </is>
      </c>
      <c r="F655" t="inlineStr"/>
      <c r="G655" t="inlineStr"/>
      <c r="H655" t="inlineStr">
        <is>
          <t>212</t>
        </is>
      </c>
      <c r="I655" t="inlineStr"/>
      <c r="J655" t="inlineStr"/>
      <c r="K655" t="inlineStr">
        <is>
          <t>19 080 000</t>
        </is>
      </c>
      <c r="L655" t="inlineStr"/>
      <c r="M655" t="inlineStr"/>
      <c r="N655" t="inlineStr">
        <is>
          <t>Нет у нас</t>
        </is>
      </c>
      <c r="O655" t="inlineStr"/>
      <c r="P655" t="inlineStr"/>
      <c r="Q655" t="inlineStr"/>
      <c r="R655">
        <f>HYPERLINK("https://nordwestinvest.ru/real-estates/prodaza-skladskogo-pomeshheniia-212-m2","ссылка")</f>
        <v/>
      </c>
      <c r="S655" t="inlineStr"/>
    </row>
    <row r="656">
      <c r="A656" t="inlineStr">
        <is>
          <t>Ленинградская область</t>
        </is>
      </c>
      <c r="B656" t="inlineStr">
        <is>
          <t>Ленинградская обл, автодорога Кола 21 км, Р-21 Кола, 71</t>
        </is>
      </c>
      <c r="C656" t="inlineStr">
        <is>
          <t>sale</t>
        </is>
      </c>
      <c r="D656" t="inlineStr"/>
      <c r="E656" t="inlineStr">
        <is>
          <t>Да</t>
        </is>
      </c>
      <c r="F656" t="inlineStr"/>
      <c r="G656" t="inlineStr"/>
      <c r="H656" t="inlineStr">
        <is>
          <t>252</t>
        </is>
      </c>
      <c r="I656" t="inlineStr"/>
      <c r="J656" t="inlineStr"/>
      <c r="K656" t="inlineStr">
        <is>
          <t>22 680 000</t>
        </is>
      </c>
      <c r="L656" t="inlineStr"/>
      <c r="M656" t="inlineStr"/>
      <c r="N656" t="inlineStr">
        <is>
          <t>Нет у нас</t>
        </is>
      </c>
      <c r="O656" t="inlineStr"/>
      <c r="P656" t="inlineStr"/>
      <c r="Q656" t="inlineStr"/>
      <c r="R656">
        <f>HYPERLINK("https://nordwestinvest.ru/real-estates/prodaza-skladskogo-pomeshheniia-252-m2","ссылка")</f>
        <v/>
      </c>
      <c r="S656" t="inlineStr"/>
    </row>
    <row r="657">
      <c r="A657" t="inlineStr">
        <is>
          <t>Ленинградская область</t>
        </is>
      </c>
      <c r="B657" t="inlineStr">
        <is>
          <t>Ленинградская обл, Большая Ивановка д, Песочная ул, 54</t>
        </is>
      </c>
      <c r="C657" t="inlineStr">
        <is>
          <t>sale</t>
        </is>
      </c>
      <c r="D657" t="inlineStr"/>
      <c r="E657" t="inlineStr">
        <is>
          <t>Да</t>
        </is>
      </c>
      <c r="F657" t="inlineStr"/>
      <c r="G657" t="inlineStr"/>
      <c r="H657" t="inlineStr">
        <is>
          <t>2048</t>
        </is>
      </c>
      <c r="I657" t="inlineStr"/>
      <c r="J657" t="inlineStr"/>
      <c r="K657" t="inlineStr">
        <is>
          <t>20 000 000</t>
        </is>
      </c>
      <c r="L657" t="inlineStr"/>
      <c r="M657" t="inlineStr"/>
      <c r="N657" t="inlineStr">
        <is>
          <t>Нет у нас</t>
        </is>
      </c>
      <c r="O657" t="inlineStr"/>
      <c r="P657" t="inlineStr"/>
      <c r="Q657" t="inlineStr"/>
      <c r="R657">
        <f>HYPERLINK("https://nordwestinvest.ru/real-estates/prodaza-zu-s-proektom-stroitelstva-magnita","ссылка")</f>
        <v/>
      </c>
      <c r="S657" t="inlineStr"/>
    </row>
    <row r="658">
      <c r="A658" t="inlineStr">
        <is>
          <t>Ленинградская область</t>
        </is>
      </c>
      <c r="B658" t="inlineStr">
        <is>
          <t>Ленинградская обл, Графская (История Парк тер.) ул, Графская (История Парк тер.) ул, 6</t>
        </is>
      </c>
      <c r="C658" t="inlineStr">
        <is>
          <t>sale</t>
        </is>
      </c>
      <c r="D658" t="inlineStr"/>
      <c r="E658" t="inlineStr">
        <is>
          <t>Да</t>
        </is>
      </c>
      <c r="F658" t="inlineStr"/>
      <c r="G658" t="inlineStr"/>
      <c r="H658" t="inlineStr">
        <is>
          <t>118.1</t>
        </is>
      </c>
      <c r="I658" t="inlineStr"/>
      <c r="J658" t="inlineStr"/>
      <c r="K658" t="inlineStr">
        <is>
          <t>29 730 000</t>
        </is>
      </c>
      <c r="L658" t="inlineStr"/>
      <c r="M658" t="inlineStr"/>
      <c r="N658" t="inlineStr">
        <is>
          <t>Нет у нас</t>
        </is>
      </c>
      <c r="O658" t="inlineStr"/>
      <c r="P658" t="inlineStr"/>
      <c r="Q658" t="inlineStr"/>
      <c r="R658">
        <f>HYPERLINK("https://nordwestinvest.ru/real-estates/prodaza-novyi-zk-2-vxoda-sveca","ссылка")</f>
        <v/>
      </c>
      <c r="S658" t="inlineStr"/>
    </row>
    <row r="659">
      <c r="A659" t="inlineStr">
        <is>
          <t>Ленинградская область</t>
        </is>
      </c>
      <c r="B659" t="inlineStr">
        <is>
          <t>Ленинградская обл, деревня Заостровье, улица Труда, 14</t>
        </is>
      </c>
      <c r="C659" t="inlineStr">
        <is>
          <t>sale</t>
        </is>
      </c>
      <c r="D659" t="inlineStr"/>
      <c r="E659" t="inlineStr">
        <is>
          <t>Да</t>
        </is>
      </c>
      <c r="F659" t="inlineStr"/>
      <c r="G659" t="inlineStr"/>
      <c r="H659" t="inlineStr">
        <is>
          <t>400</t>
        </is>
      </c>
      <c r="I659" t="inlineStr"/>
      <c r="J659" t="inlineStr"/>
      <c r="K659" t="inlineStr">
        <is>
          <t>63 500 000</t>
        </is>
      </c>
      <c r="L659" t="inlineStr"/>
      <c r="M659" t="inlineStr"/>
      <c r="N659" t="inlineStr">
        <is>
          <t>Нет у нас</t>
        </is>
      </c>
      <c r="O659" t="inlineStr"/>
      <c r="P659" t="inlineStr"/>
      <c r="Q659" t="inlineStr"/>
      <c r="R659">
        <f>HYPERLINK("https://nordwestinvest.ru/real-estates/prodaza-gab-s-magnitomzu-555-m2","ссылка")</f>
        <v/>
      </c>
      <c r="S659" t="inlineStr"/>
    </row>
    <row r="660">
      <c r="A660" t="inlineStr">
        <is>
          <t>Ленинградская область</t>
        </is>
      </c>
      <c r="B660" t="inlineStr">
        <is>
          <t>Ленинградская обл, деревня Заостровье, улица Труда, 14</t>
        </is>
      </c>
      <c r="C660" t="inlineStr">
        <is>
          <t>sale</t>
        </is>
      </c>
      <c r="D660" t="inlineStr"/>
      <c r="E660" t="inlineStr">
        <is>
          <t>Да</t>
        </is>
      </c>
      <c r="F660" t="inlineStr"/>
      <c r="G660" t="inlineStr"/>
      <c r="H660" t="inlineStr">
        <is>
          <t>555</t>
        </is>
      </c>
      <c r="I660" t="inlineStr"/>
      <c r="J660" t="inlineStr"/>
      <c r="K660" t="inlineStr">
        <is>
          <t>75 000 000</t>
        </is>
      </c>
      <c r="L660" t="inlineStr"/>
      <c r="M660" t="inlineStr"/>
      <c r="N660" t="inlineStr">
        <is>
          <t>Нет у нас</t>
        </is>
      </c>
      <c r="O660" t="inlineStr"/>
      <c r="P660" t="inlineStr"/>
      <c r="Q660" t="inlineStr"/>
      <c r="R660">
        <f>HYPERLINK("https://nordwestinvest.ru/real-estates/prodaza-gab-s-magnitomzu-1","ссылка")</f>
        <v/>
      </c>
      <c r="S660" t="inlineStr"/>
    </row>
    <row r="661">
      <c r="A661" t="inlineStr">
        <is>
          <t>Ленинградская область</t>
        </is>
      </c>
      <c r="B661" t="inlineStr">
        <is>
          <t>Ленинградская обл, Колясово д, Новоприозерское шоссе, -</t>
        </is>
      </c>
      <c r="C661" t="inlineStr">
        <is>
          <t>sale</t>
        </is>
      </c>
      <c r="D661" t="inlineStr"/>
      <c r="E661" t="inlineStr">
        <is>
          <t>Да</t>
        </is>
      </c>
      <c r="F661" t="inlineStr"/>
      <c r="G661" t="inlineStr"/>
      <c r="H661" t="inlineStr">
        <is>
          <t>3070</t>
        </is>
      </c>
      <c r="I661" t="inlineStr"/>
      <c r="J661" t="inlineStr"/>
      <c r="K661" t="inlineStr">
        <is>
          <t>45 000 000</t>
        </is>
      </c>
      <c r="L661" t="inlineStr"/>
      <c r="M661" t="inlineStr"/>
      <c r="N661" t="inlineStr">
        <is>
          <t>Нет у нас</t>
        </is>
      </c>
      <c r="O661" t="inlineStr"/>
      <c r="P661" t="inlineStr"/>
      <c r="Q661" t="inlineStr"/>
      <c r="R661">
        <f>HYPERLINK("https://nordwestinvest.ru/real-estates/prodaza-zemelnogo-ucastka-v-agalatovo","ссылка")</f>
        <v/>
      </c>
      <c r="S661" t="inlineStr"/>
    </row>
    <row r="662">
      <c r="A662" t="inlineStr">
        <is>
          <t>Ленинградская область</t>
        </is>
      </c>
      <c r="B662" t="inlineStr">
        <is>
          <t>Ленинградская обл, Корневские Гривки тер. ТСН, -, -</t>
        </is>
      </c>
      <c r="C662" t="inlineStr">
        <is>
          <t>sale</t>
        </is>
      </c>
      <c r="D662" t="inlineStr"/>
      <c r="E662" t="inlineStr">
        <is>
          <t>Да</t>
        </is>
      </c>
      <c r="F662" t="inlineStr"/>
      <c r="G662" t="inlineStr"/>
      <c r="H662" t="inlineStr">
        <is>
          <t>170172</t>
        </is>
      </c>
      <c r="I662" t="inlineStr"/>
      <c r="J662" t="inlineStr"/>
      <c r="K662" t="inlineStr">
        <is>
          <t>165 000 000</t>
        </is>
      </c>
      <c r="L662" t="inlineStr"/>
      <c r="M662" t="inlineStr"/>
      <c r="N662" t="inlineStr">
        <is>
          <t>Нет у нас</t>
        </is>
      </c>
      <c r="O662" t="inlineStr"/>
      <c r="P662" t="inlineStr"/>
      <c r="Q662" t="inlineStr"/>
      <c r="R662">
        <f>HYPERLINK("https://nordwestinvest.ru/real-estates/prodaza-zu-tsn-kornevskie-grivki-17-ga","ссылка")</f>
        <v/>
      </c>
      <c r="S662" t="inlineStr"/>
    </row>
    <row r="663">
      <c r="A663" t="inlineStr">
        <is>
          <t>Ленинградская область</t>
        </is>
      </c>
      <c r="B663" t="inlineStr">
        <is>
          <t>Ленинградская обл, коттеджный посёлок Дольское, -, -</t>
        </is>
      </c>
      <c r="C663" t="inlineStr">
        <is>
          <t>sale</t>
        </is>
      </c>
      <c r="D663" t="inlineStr"/>
      <c r="E663" t="inlineStr">
        <is>
          <t>Да</t>
        </is>
      </c>
      <c r="F663" t="inlineStr"/>
      <c r="G663" t="inlineStr"/>
      <c r="H663" t="inlineStr">
        <is>
          <t>480</t>
        </is>
      </c>
      <c r="I663" t="inlineStr"/>
      <c r="J663" t="inlineStr"/>
      <c r="K663" t="inlineStr">
        <is>
          <t>60 000 000</t>
        </is>
      </c>
      <c r="L663" t="inlineStr"/>
      <c r="M663" t="inlineStr"/>
      <c r="N663" t="inlineStr">
        <is>
          <t>Нет у нас</t>
        </is>
      </c>
      <c r="O663" t="inlineStr"/>
      <c r="P663" t="inlineStr"/>
      <c r="Q663" t="inlineStr"/>
      <c r="R663">
        <f>HYPERLINK("https://nordwestinvest.ru/real-estates/prodam-zagorodnye-doma-s-pliazem","ссылка")</f>
        <v/>
      </c>
      <c r="S663" t="inlineStr"/>
    </row>
    <row r="664">
      <c r="A664" t="inlineStr">
        <is>
          <t>Ленинградская область</t>
        </is>
      </c>
      <c r="B664" t="inlineStr">
        <is>
          <t>Ленинградская обл, Малые Борницы д, -, 47</t>
        </is>
      </c>
      <c r="C664" t="inlineStr">
        <is>
          <t>sale</t>
        </is>
      </c>
      <c r="D664" t="inlineStr"/>
      <c r="E664" t="inlineStr">
        <is>
          <t>Да</t>
        </is>
      </c>
      <c r="F664" t="inlineStr"/>
      <c r="G664" t="inlineStr"/>
      <c r="H664" t="inlineStr">
        <is>
          <t>1200</t>
        </is>
      </c>
      <c r="I664" t="inlineStr"/>
      <c r="J664" t="inlineStr"/>
      <c r="K664" t="inlineStr">
        <is>
          <t>7 500 000</t>
        </is>
      </c>
      <c r="L664" t="inlineStr"/>
      <c r="M664" t="inlineStr"/>
      <c r="N664" t="inlineStr">
        <is>
          <t>Нет у нас</t>
        </is>
      </c>
      <c r="O664" t="inlineStr"/>
      <c r="P664" t="inlineStr"/>
      <c r="Q664" t="inlineStr"/>
      <c r="R664">
        <f>HYPERLINK("https://nordwestinvest.ru/real-estates/prodaza-zemelnogo-ucastka-1-200-s-zdaniem","ссылка")</f>
        <v/>
      </c>
      <c r="S664" t="inlineStr"/>
    </row>
    <row r="665">
      <c r="A665" t="inlineStr">
        <is>
          <t>Ленинградская область</t>
        </is>
      </c>
      <c r="B665" t="inlineStr">
        <is>
          <t>Ленинградская обл, Озерки д, 25 киллометр, 8</t>
        </is>
      </c>
      <c r="C665" t="inlineStr">
        <is>
          <t>sale</t>
        </is>
      </c>
      <c r="D665" t="inlineStr"/>
      <c r="E665" t="inlineStr">
        <is>
          <t>Да</t>
        </is>
      </c>
      <c r="F665" t="inlineStr"/>
      <c r="G665" t="inlineStr"/>
      <c r="H665" t="inlineStr">
        <is>
          <t>73900</t>
        </is>
      </c>
      <c r="I665" t="inlineStr"/>
      <c r="J665" t="inlineStr"/>
      <c r="K665" t="inlineStr">
        <is>
          <t>162 580 000</t>
        </is>
      </c>
      <c r="L665" t="inlineStr"/>
      <c r="M665" t="inlineStr"/>
      <c r="N665" t="inlineStr">
        <is>
          <t>Нет у нас</t>
        </is>
      </c>
      <c r="O665" t="inlineStr"/>
      <c r="P665" t="inlineStr"/>
      <c r="Q665" t="inlineStr"/>
      <c r="R665">
        <f>HYPERLINK("https://nordwestinvest.ru/real-estates/prodaza-zemelnogo-ucastka-73900-m2-pod-zastroiku","ссылка")</f>
        <v/>
      </c>
      <c r="S665" t="inlineStr"/>
    </row>
    <row r="666">
      <c r="A666" t="inlineStr">
        <is>
          <t>Ленинградская область</t>
        </is>
      </c>
      <c r="B666" t="inlineStr">
        <is>
          <t>Ленинградская обл, Отрадное п, мыс Рублевый, -</t>
        </is>
      </c>
      <c r="C666" t="inlineStr">
        <is>
          <t>sale</t>
        </is>
      </c>
      <c r="D666" t="inlineStr"/>
      <c r="E666" t="inlineStr">
        <is>
          <t>Да</t>
        </is>
      </c>
      <c r="F666" t="inlineStr"/>
      <c r="G666" t="inlineStr"/>
      <c r="H666" t="inlineStr">
        <is>
          <t>20000</t>
        </is>
      </c>
      <c r="I666" t="inlineStr"/>
      <c r="J666" t="inlineStr"/>
      <c r="K666" t="inlineStr">
        <is>
          <t>103 000 000</t>
        </is>
      </c>
      <c r="L666" t="inlineStr"/>
      <c r="M666" t="inlineStr"/>
      <c r="N666" t="inlineStr">
        <is>
          <t>Нет у нас</t>
        </is>
      </c>
      <c r="O666" t="inlineStr"/>
      <c r="P666" t="inlineStr"/>
      <c r="Q666" t="inlineStr"/>
      <c r="R666">
        <f>HYPERLINK("https://nordwestinvest.ru/real-estates/prodaza-zemelnogo-ucastka-2-ga-izs-1","ссылка")</f>
        <v/>
      </c>
      <c r="S666" t="inlineStr"/>
    </row>
    <row r="667">
      <c r="A667" t="inlineStr">
        <is>
          <t>Ленинградская область</t>
        </is>
      </c>
      <c r="B667" t="inlineStr">
        <is>
          <t>Ленинградская обл, Производственная зона-1 тер, Ресурсная ул, 16</t>
        </is>
      </c>
      <c r="C667" t="inlineStr">
        <is>
          <t>sale</t>
        </is>
      </c>
      <c r="D667" t="inlineStr"/>
      <c r="E667" t="inlineStr">
        <is>
          <t>Да</t>
        </is>
      </c>
      <c r="F667" t="inlineStr"/>
      <c r="G667" t="inlineStr"/>
      <c r="H667" t="inlineStr">
        <is>
          <t>1000</t>
        </is>
      </c>
      <c r="I667" t="inlineStr"/>
      <c r="J667" t="inlineStr"/>
      <c r="K667" t="inlineStr">
        <is>
          <t>50 000 000</t>
        </is>
      </c>
      <c r="L667" t="inlineStr"/>
      <c r="M667" t="inlineStr"/>
      <c r="N667" t="inlineStr">
        <is>
          <t>Нет у нас</t>
        </is>
      </c>
      <c r="O667" t="inlineStr"/>
      <c r="P667" t="inlineStr"/>
      <c r="Q667" t="inlineStr"/>
      <c r="R667">
        <f>HYPERLINK("https://nordwestinvest.ru/real-estates/prodaza-novogo-teplogo-sklada-pgt-fedorovskoe","ссылка")</f>
        <v/>
      </c>
      <c r="S667" t="inlineStr"/>
    </row>
    <row r="668">
      <c r="A668" t="inlineStr">
        <is>
          <t>Ленинградская область</t>
        </is>
      </c>
      <c r="B668" t="inlineStr">
        <is>
          <t>Ленинградская обл, Промышленно-деловая зона Рыжики тер, -, -</t>
        </is>
      </c>
      <c r="C668" t="inlineStr">
        <is>
          <t>sale</t>
        </is>
      </c>
      <c r="D668" t="inlineStr"/>
      <c r="E668" t="inlineStr">
        <is>
          <t>Да</t>
        </is>
      </c>
      <c r="F668" t="inlineStr"/>
      <c r="G668" t="inlineStr"/>
      <c r="H668" t="inlineStr">
        <is>
          <t>18704</t>
        </is>
      </c>
      <c r="I668" t="inlineStr"/>
      <c r="J668" t="inlineStr"/>
      <c r="K668" t="inlineStr">
        <is>
          <t>110 000 000</t>
        </is>
      </c>
      <c r="L668" t="inlineStr"/>
      <c r="M668" t="inlineStr"/>
      <c r="N668" t="inlineStr">
        <is>
          <t>Нет у нас</t>
        </is>
      </c>
      <c r="O668" t="inlineStr"/>
      <c r="P668" t="inlineStr"/>
      <c r="Q668" t="inlineStr"/>
      <c r="R668">
        <f>HYPERLINK("https://nordwestinvest.ru/real-estates/prodaza-zemelnogo-ucastka-na-koltusskix-vysotax","ссылка")</f>
        <v/>
      </c>
      <c r="S668" t="inlineStr"/>
    </row>
    <row r="669">
      <c r="A669" t="inlineStr">
        <is>
          <t>Ленинградская область</t>
        </is>
      </c>
      <c r="B669" t="inlineStr">
        <is>
          <t>Ленинградская обл, Соколовка д, -, -</t>
        </is>
      </c>
      <c r="C669" t="inlineStr">
        <is>
          <t>sale</t>
        </is>
      </c>
      <c r="D669" t="inlineStr"/>
      <c r="E669" t="inlineStr">
        <is>
          <t>Да</t>
        </is>
      </c>
      <c r="F669" t="inlineStr"/>
      <c r="G669" t="inlineStr"/>
      <c r="H669" t="inlineStr">
        <is>
          <t>4069</t>
        </is>
      </c>
      <c r="I669" t="inlineStr"/>
      <c r="J669" t="inlineStr"/>
      <c r="K669" t="inlineStr">
        <is>
          <t>2 000 000</t>
        </is>
      </c>
      <c r="L669" t="inlineStr"/>
      <c r="M669" t="inlineStr"/>
      <c r="N669" t="inlineStr">
        <is>
          <t>Нет у нас</t>
        </is>
      </c>
      <c r="O669" t="inlineStr"/>
      <c r="P669" t="inlineStr"/>
      <c r="Q669" t="inlineStr"/>
      <c r="R669">
        <f>HYPERLINK("https://nordwestinvest.ru/real-estates/prodaza-zemelnogo-ucastka-14","ссылка")</f>
        <v/>
      </c>
      <c r="S669" t="inlineStr"/>
    </row>
    <row r="670">
      <c r="A670" t="inlineStr">
        <is>
          <t>Ленинградская область</t>
        </is>
      </c>
      <c r="B670" t="inlineStr">
        <is>
          <t>Ленинградская обл, Сосновый Бор г, Красных Фортов ул, 49</t>
        </is>
      </c>
      <c r="C670" t="inlineStr">
        <is>
          <t>sale</t>
        </is>
      </c>
      <c r="D670" t="inlineStr"/>
      <c r="E670" t="inlineStr">
        <is>
          <t>Да</t>
        </is>
      </c>
      <c r="F670" t="inlineStr"/>
      <c r="G670" t="inlineStr"/>
      <c r="H670" t="inlineStr">
        <is>
          <t>516</t>
        </is>
      </c>
      <c r="I670" t="inlineStr"/>
      <c r="J670" t="inlineStr"/>
      <c r="K670" t="inlineStr">
        <is>
          <t>51 000 000</t>
        </is>
      </c>
      <c r="L670" t="inlineStr"/>
      <c r="M670" t="inlineStr"/>
      <c r="N670" t="inlineStr">
        <is>
          <t>Нет у нас</t>
        </is>
      </c>
      <c r="O670" t="inlineStr"/>
      <c r="P670" t="inlineStr"/>
      <c r="Q670" t="inlineStr"/>
      <c r="R670">
        <f>HYPERLINK("https://nordwestinvest.ru/real-estates/prodaza-osz-516-m2-s-arendatorom","ссылка")</f>
        <v/>
      </c>
      <c r="S670" t="inlineStr"/>
    </row>
    <row r="671">
      <c r="A671" t="inlineStr">
        <is>
          <t>Ленинградская область</t>
        </is>
      </c>
      <c r="B671" t="inlineStr">
        <is>
          <t>Ленинградская обл, Чуфринский (Цвелодубовская тер.) проезд, Чуфринский (Цвелодубовская тер.) проезд, 1</t>
        </is>
      </c>
      <c r="C671" t="inlineStr">
        <is>
          <t>sale</t>
        </is>
      </c>
      <c r="D671" t="inlineStr"/>
      <c r="E671" t="inlineStr">
        <is>
          <t>Да</t>
        </is>
      </c>
      <c r="F671" t="inlineStr"/>
      <c r="G671" t="inlineStr"/>
      <c r="H671" t="inlineStr">
        <is>
          <t>675</t>
        </is>
      </c>
      <c r="I671" t="inlineStr"/>
      <c r="J671" t="inlineStr"/>
      <c r="K671" t="inlineStr">
        <is>
          <t>30 000 000</t>
        </is>
      </c>
      <c r="L671" t="inlineStr"/>
      <c r="M671" t="inlineStr"/>
      <c r="N671" t="inlineStr">
        <is>
          <t>Нет у нас</t>
        </is>
      </c>
      <c r="O671" t="inlineStr"/>
      <c r="P671" t="inlineStr"/>
      <c r="Q671" t="inlineStr"/>
      <c r="R671">
        <f>HYPERLINK("https://nordwestinvest.ru/real-estates/prodaza-novogo-teplogo-sklada-675-m2","ссылка")</f>
        <v/>
      </c>
      <c r="S671" t="inlineStr"/>
    </row>
    <row r="672">
      <c r="A672" t="inlineStr">
        <is>
          <t>Ленинградская область</t>
        </is>
      </c>
      <c r="B672" t="inlineStr">
        <is>
          <t>Ленинградская ул, 15/20к1</t>
        </is>
      </c>
      <c r="C672" t="inlineStr">
        <is>
          <t>sale</t>
        </is>
      </c>
      <c r="D672" t="inlineStr">
        <is>
          <t>Да</t>
        </is>
      </c>
      <c r="E672" t="inlineStr"/>
      <c r="F672" t="inlineStr"/>
      <c r="G672" t="inlineStr">
        <is>
          <t>1057</t>
        </is>
      </c>
      <c r="H672" t="inlineStr"/>
      <c r="I672" t="inlineStr"/>
      <c r="J672" t="inlineStr">
        <is>
          <t>16 000 000</t>
        </is>
      </c>
      <c r="K672" t="inlineStr"/>
      <c r="L672" t="inlineStr"/>
      <c r="M672" t="inlineStr">
        <is>
          <t>Нет у нас</t>
        </is>
      </c>
      <c r="N672" t="inlineStr"/>
      <c r="O672" t="inlineStr"/>
      <c r="P672" t="inlineStr"/>
      <c r="Q672">
        <f>HYPERLINK("https://knru.ru/catalog/leningradskaya-ul-15-20k1/","ссылка")</f>
        <v/>
      </c>
      <c r="R672" t="inlineStr"/>
      <c r="S672" t="inlineStr"/>
    </row>
    <row r="673">
      <c r="A673" t="inlineStr">
        <is>
          <t>Ленинградская область</t>
        </is>
      </c>
      <c r="B673" t="inlineStr">
        <is>
          <t>Ленинградское ш, 14</t>
        </is>
      </c>
      <c r="C673" t="inlineStr">
        <is>
          <t>sale</t>
        </is>
      </c>
      <c r="D673" t="inlineStr">
        <is>
          <t>Да</t>
        </is>
      </c>
      <c r="E673" t="inlineStr"/>
      <c r="F673" t="inlineStr"/>
      <c r="G673" t="inlineStr">
        <is>
          <t>5000</t>
        </is>
      </c>
      <c r="H673" t="inlineStr"/>
      <c r="I673" t="inlineStr"/>
      <c r="J673" t="inlineStr">
        <is>
          <t>561 000 000</t>
        </is>
      </c>
      <c r="K673" t="inlineStr"/>
      <c r="L673" t="inlineStr"/>
      <c r="M673" t="inlineStr">
        <is>
          <t>Нет у нас</t>
        </is>
      </c>
      <c r="N673" t="inlineStr"/>
      <c r="O673" t="inlineStr"/>
      <c r="P673" t="inlineStr"/>
      <c r="Q673">
        <f>HYPERLINK("https://knru.ru/catalog/leningradskoe-sh-14/","ссылка")</f>
        <v/>
      </c>
      <c r="R673" t="inlineStr"/>
      <c r="S673" t="inlineStr"/>
    </row>
    <row r="674">
      <c r="A674" t="inlineStr">
        <is>
          <t>Ленинградская область, Волосовский район</t>
        </is>
      </c>
      <c r="B674" t="inlineStr">
        <is>
          <t>Ленинградская обл, Волосово г, Хрустицкого ул, 35</t>
        </is>
      </c>
      <c r="C674" t="inlineStr">
        <is>
          <t>sale</t>
        </is>
      </c>
      <c r="D674" t="inlineStr"/>
      <c r="E674" t="inlineStr">
        <is>
          <t>Да</t>
        </is>
      </c>
      <c r="F674" t="inlineStr"/>
      <c r="G674" t="inlineStr"/>
      <c r="H674" t="inlineStr">
        <is>
          <t>352</t>
        </is>
      </c>
      <c r="I674" t="inlineStr"/>
      <c r="J674" t="inlineStr"/>
      <c r="K674" t="inlineStr">
        <is>
          <t>25 000 000</t>
        </is>
      </c>
      <c r="L674" t="inlineStr"/>
      <c r="M674" t="inlineStr"/>
      <c r="N674" t="inlineStr">
        <is>
          <t>Нет у нас</t>
        </is>
      </c>
      <c r="O674" t="inlineStr"/>
      <c r="P674" t="inlineStr"/>
      <c r="Q674" t="inlineStr"/>
      <c r="R674">
        <f>HYPERLINK("https://nordwestinvest.ru/real-estates/predlagaetsia-v-prodazu-zdanie-352-kvm","ссылка")</f>
        <v/>
      </c>
      <c r="S674" t="inlineStr"/>
    </row>
    <row r="675">
      <c r="A675" t="inlineStr">
        <is>
          <t>Ленинградская область, Волховский район</t>
        </is>
      </c>
      <c r="B675" t="inlineStr">
        <is>
          <t>Ленинградская обл, Волхов г, Металлургов ул, 6</t>
        </is>
      </c>
      <c r="C675" t="inlineStr">
        <is>
          <t>sale</t>
        </is>
      </c>
      <c r="D675" t="inlineStr"/>
      <c r="E675" t="inlineStr">
        <is>
          <t>Да</t>
        </is>
      </c>
      <c r="F675" t="inlineStr"/>
      <c r="G675" t="inlineStr"/>
      <c r="H675" t="inlineStr">
        <is>
          <t>67177</t>
        </is>
      </c>
      <c r="I675" t="inlineStr"/>
      <c r="J675" t="inlineStr"/>
      <c r="K675" t="inlineStr">
        <is>
          <t>22 000 000</t>
        </is>
      </c>
      <c r="L675" t="inlineStr"/>
      <c r="M675" t="inlineStr"/>
      <c r="N675" t="inlineStr">
        <is>
          <t>Нет у нас</t>
        </is>
      </c>
      <c r="O675" t="inlineStr"/>
      <c r="P675" t="inlineStr"/>
      <c r="Q675" t="inlineStr"/>
      <c r="R675">
        <f>HYPERLINK("https://nordwestinvest.ru/real-estates/prodaza-zemli-6-ga-v-volxove","ссылка")</f>
        <v/>
      </c>
      <c r="S675" t="inlineStr"/>
    </row>
    <row r="676">
      <c r="A676" t="inlineStr">
        <is>
          <t>Ленинградская область, Всеволожский район</t>
        </is>
      </c>
      <c r="B676" t="inlineStr">
        <is>
          <t>Ленинградская обл, 2-й (Разметелево промзона) проезд, участок 1, -</t>
        </is>
      </c>
      <c r="C676" t="inlineStr">
        <is>
          <t>sale</t>
        </is>
      </c>
      <c r="D676" t="inlineStr"/>
      <c r="E676" t="inlineStr">
        <is>
          <t>Да</t>
        </is>
      </c>
      <c r="F676" t="inlineStr"/>
      <c r="G676" t="inlineStr"/>
      <c r="H676" t="inlineStr">
        <is>
          <t>2958</t>
        </is>
      </c>
      <c r="I676" t="inlineStr"/>
      <c r="J676" t="inlineStr"/>
      <c r="K676" t="inlineStr">
        <is>
          <t>354 960 000</t>
        </is>
      </c>
      <c r="L676" t="inlineStr"/>
      <c r="M676" t="inlineStr"/>
      <c r="N676" t="inlineStr">
        <is>
          <t>Нет у нас</t>
        </is>
      </c>
      <c r="O676" t="inlineStr"/>
      <c r="P676" t="inlineStr"/>
      <c r="Q676" t="inlineStr"/>
      <c r="R676">
        <f>HYPERLINK("https://nordwestinvest.ru/real-estates/prodaza-psn-v-razmetelevo-parkovka-2958-m2","ссылка")</f>
        <v/>
      </c>
      <c r="S676" t="inlineStr"/>
    </row>
    <row r="677">
      <c r="A677" t="inlineStr">
        <is>
          <t>Ленинградская область, Всеволожский район</t>
        </is>
      </c>
      <c r="B677" t="inlineStr">
        <is>
          <t>Ленинградская обл, 2-й (Разметелево промзона) проезд, участок 1, -</t>
        </is>
      </c>
      <c r="C677" t="inlineStr">
        <is>
          <t>sale</t>
        </is>
      </c>
      <c r="D677" t="inlineStr"/>
      <c r="E677" t="inlineStr">
        <is>
          <t>Да</t>
        </is>
      </c>
      <c r="F677" t="inlineStr"/>
      <c r="G677" t="inlineStr"/>
      <c r="H677" t="inlineStr">
        <is>
          <t>1031</t>
        </is>
      </c>
      <c r="I677" t="inlineStr"/>
      <c r="J677" t="inlineStr"/>
      <c r="K677" t="inlineStr">
        <is>
          <t>123 720 000</t>
        </is>
      </c>
      <c r="L677" t="inlineStr"/>
      <c r="M677" t="inlineStr"/>
      <c r="N677" t="inlineStr">
        <is>
          <t>Нет у нас</t>
        </is>
      </c>
      <c r="O677" t="inlineStr"/>
      <c r="P677" t="inlineStr"/>
      <c r="Q677" t="inlineStr"/>
      <c r="R677">
        <f>HYPERLINK("https://nordwestinvest.ru/real-estates/prodaza-psn-v-razmetelevo-1031-m2","ссылка")</f>
        <v/>
      </c>
      <c r="S677" t="inlineStr"/>
    </row>
    <row r="678">
      <c r="A678" t="inlineStr">
        <is>
          <t>Ленинградская область, Всеволожский район</t>
        </is>
      </c>
      <c r="B678" t="inlineStr">
        <is>
          <t>Ленинградская обл, 2-й (Разметелево промзона) проезд, участок 1, -</t>
        </is>
      </c>
      <c r="C678" t="inlineStr">
        <is>
          <t>sale</t>
        </is>
      </c>
      <c r="D678" t="inlineStr"/>
      <c r="E678" t="inlineStr">
        <is>
          <t>Да</t>
        </is>
      </c>
      <c r="F678" t="inlineStr"/>
      <c r="G678" t="inlineStr"/>
      <c r="H678" t="inlineStr">
        <is>
          <t>896</t>
        </is>
      </c>
      <c r="I678" t="inlineStr"/>
      <c r="J678" t="inlineStr"/>
      <c r="K678" t="inlineStr">
        <is>
          <t>107 520 000</t>
        </is>
      </c>
      <c r="L678" t="inlineStr"/>
      <c r="M678" t="inlineStr"/>
      <c r="N678" t="inlineStr">
        <is>
          <t>Нет у нас</t>
        </is>
      </c>
      <c r="O678" t="inlineStr"/>
      <c r="P678" t="inlineStr"/>
      <c r="Q678" t="inlineStr"/>
      <c r="R678">
        <f>HYPERLINK("https://nordwestinvest.ru/real-estates/prodaza-psn-v-razmetelevo-896-m2","ссылка")</f>
        <v/>
      </c>
      <c r="S678" t="inlineStr"/>
    </row>
    <row r="679">
      <c r="A679" t="inlineStr">
        <is>
          <t>Ленинградская область, Всеволожский район</t>
        </is>
      </c>
      <c r="B679" t="inlineStr">
        <is>
          <t>Ленинградская обл, Бугры г, -, -</t>
        </is>
      </c>
      <c r="C679" t="inlineStr">
        <is>
          <t>sale</t>
        </is>
      </c>
      <c r="D679" t="inlineStr"/>
      <c r="E679" t="inlineStr">
        <is>
          <t>Да</t>
        </is>
      </c>
      <c r="F679" t="inlineStr"/>
      <c r="G679" t="inlineStr"/>
      <c r="H679" t="inlineStr">
        <is>
          <t>1000</t>
        </is>
      </c>
      <c r="I679" t="inlineStr"/>
      <c r="J679" t="inlineStr"/>
      <c r="K679" t="inlineStr">
        <is>
          <t>30 000 000</t>
        </is>
      </c>
      <c r="L679" t="inlineStr"/>
      <c r="M679" t="inlineStr"/>
      <c r="N679" t="inlineStr">
        <is>
          <t>Нет у нас</t>
        </is>
      </c>
      <c r="O679" t="inlineStr"/>
      <c r="P679" t="inlineStr"/>
      <c r="Q679" t="inlineStr"/>
      <c r="R679">
        <f>HYPERLINK("https://nordwestinvest.ru/real-estates/prodaza-zemelnogo-ucastka-v-bugrax-pod-magaziny","ссылка")</f>
        <v/>
      </c>
      <c r="S679" t="inlineStr"/>
    </row>
    <row r="680">
      <c r="A680" t="inlineStr">
        <is>
          <t>Ленинградская область, Всеволожский район</t>
        </is>
      </c>
      <c r="B680" t="inlineStr">
        <is>
          <t>Ленинградская обл, Бугры п, Торговая ул, 29с1</t>
        </is>
      </c>
      <c r="C680" t="inlineStr">
        <is>
          <t>sale</t>
        </is>
      </c>
      <c r="D680" t="inlineStr"/>
      <c r="E680" t="inlineStr">
        <is>
          <t>Да</t>
        </is>
      </c>
      <c r="F680" t="inlineStr"/>
      <c r="G680" t="inlineStr"/>
      <c r="H680" t="inlineStr">
        <is>
          <t>27800</t>
        </is>
      </c>
      <c r="I680" t="inlineStr"/>
      <c r="J680" t="inlineStr"/>
      <c r="K680" t="inlineStr">
        <is>
          <t>320 000 000</t>
        </is>
      </c>
      <c r="L680" t="inlineStr"/>
      <c r="M680" t="inlineStr"/>
      <c r="N680" t="inlineStr">
        <is>
          <t>Нет у нас</t>
        </is>
      </c>
      <c r="O680" t="inlineStr"/>
      <c r="P680" t="inlineStr"/>
      <c r="Q680" t="inlineStr"/>
      <c r="R680">
        <f>HYPERLINK("https://nordwestinvest.ru/real-estates/prodaza-zemelnogo-ucastka-v-bugrax-278-ga","ссылка")</f>
        <v/>
      </c>
      <c r="S680" t="inlineStr"/>
    </row>
    <row r="681">
      <c r="A681" t="inlineStr">
        <is>
          <t>Ленинградская область, Всеволожский район</t>
        </is>
      </c>
      <c r="B681" t="inlineStr">
        <is>
          <t>Ленинградская обл, Бугры п, Торговая ул, 3</t>
        </is>
      </c>
      <c r="C681" t="inlineStr">
        <is>
          <t>sale</t>
        </is>
      </c>
      <c r="D681" t="inlineStr"/>
      <c r="E681" t="inlineStr">
        <is>
          <t>Да</t>
        </is>
      </c>
      <c r="F681" t="inlineStr"/>
      <c r="G681" t="inlineStr"/>
      <c r="H681" t="inlineStr">
        <is>
          <t>1500</t>
        </is>
      </c>
      <c r="I681" t="inlineStr"/>
      <c r="J681" t="inlineStr"/>
      <c r="K681" t="inlineStr">
        <is>
          <t>160 000 000</t>
        </is>
      </c>
      <c r="L681" t="inlineStr"/>
      <c r="M681" t="inlineStr"/>
      <c r="N681" t="inlineStr">
        <is>
          <t>Нет у нас</t>
        </is>
      </c>
      <c r="O681" t="inlineStr"/>
      <c r="P681" t="inlineStr"/>
      <c r="Q681" t="inlineStr"/>
      <c r="R681">
        <f>HYPERLINK("https://nordwestinvest.ru/real-estates/prodaza-osz-1500-m2-s-arendatorom","ссылка")</f>
        <v/>
      </c>
      <c r="S681" t="inlineStr"/>
    </row>
    <row r="682">
      <c r="A682" t="inlineStr">
        <is>
          <t>Ленинградская область, Всеволожский район</t>
        </is>
      </c>
      <c r="B682" t="inlineStr">
        <is>
          <t>Ленинградская обл, Бугры п, Чайная ул, 4</t>
        </is>
      </c>
      <c r="C682" t="inlineStr">
        <is>
          <t>sale</t>
        </is>
      </c>
      <c r="D682" t="inlineStr"/>
      <c r="E682" t="inlineStr">
        <is>
          <t>Да</t>
        </is>
      </c>
      <c r="F682" t="inlineStr"/>
      <c r="G682" t="inlineStr"/>
      <c r="H682" t="inlineStr">
        <is>
          <t>447.3</t>
        </is>
      </c>
      <c r="I682" t="inlineStr"/>
      <c r="J682" t="inlineStr"/>
      <c r="K682" t="inlineStr">
        <is>
          <t>120 000 000</t>
        </is>
      </c>
      <c r="L682" t="inlineStr"/>
      <c r="M682" t="inlineStr"/>
      <c r="N682" t="inlineStr">
        <is>
          <t>Нет у нас</t>
        </is>
      </c>
      <c r="O682" t="inlineStr"/>
      <c r="P682" t="inlineStr"/>
      <c r="Q682" t="inlineStr"/>
      <c r="R682">
        <f>HYPERLINK("https://nordwestinvest.ru/real-estates/prodaza-diksi-4473m2","ссылка")</f>
        <v/>
      </c>
      <c r="S682" t="inlineStr"/>
    </row>
    <row r="683">
      <c r="A683" t="inlineStr">
        <is>
          <t>Ленинградская область, Всеволожский район</t>
        </is>
      </c>
      <c r="B683" t="inlineStr">
        <is>
          <t>Ленинградская обл, Бугры п, Шекспира ул, 7</t>
        </is>
      </c>
      <c r="C683" t="inlineStr">
        <is>
          <t>sale</t>
        </is>
      </c>
      <c r="D683" t="inlineStr"/>
      <c r="E683" t="inlineStr">
        <is>
          <t>Да</t>
        </is>
      </c>
      <c r="F683" t="inlineStr"/>
      <c r="G683" t="inlineStr"/>
      <c r="H683" t="inlineStr">
        <is>
          <t>120.3</t>
        </is>
      </c>
      <c r="I683" t="inlineStr"/>
      <c r="J683" t="inlineStr"/>
      <c r="K683" t="inlineStr">
        <is>
          <t>36 090 000</t>
        </is>
      </c>
      <c r="L683" t="inlineStr"/>
      <c r="M683" t="inlineStr"/>
      <c r="N683" t="inlineStr">
        <is>
          <t>По адресу есть, но площадь другая</t>
        </is>
      </c>
      <c r="O683" t="inlineStr"/>
      <c r="P683" t="inlineStr"/>
      <c r="Q683" t="inlineStr"/>
      <c r="R683">
        <f>HYPERLINK("https://nordwestinvest.ru/real-estates/prodaza-pomeshheniia-1203-m2-1","ссылка")</f>
        <v/>
      </c>
      <c r="S683" t="inlineStr"/>
    </row>
    <row r="684">
      <c r="A684" t="inlineStr">
        <is>
          <t>Ленинградская область, Всеволожский район</t>
        </is>
      </c>
      <c r="B684" t="inlineStr">
        <is>
          <t>Ленинградская обл, Всеволожск г, Дорога Жизни ш, 12</t>
        </is>
      </c>
      <c r="C684" t="inlineStr">
        <is>
          <t>sale</t>
        </is>
      </c>
      <c r="D684" t="inlineStr"/>
      <c r="E684" t="inlineStr">
        <is>
          <t>Да</t>
        </is>
      </c>
      <c r="F684" t="inlineStr"/>
      <c r="G684" t="inlineStr"/>
      <c r="H684" t="inlineStr">
        <is>
          <t>8250</t>
        </is>
      </c>
      <c r="I684" t="inlineStr"/>
      <c r="J684" t="inlineStr"/>
      <c r="K684" t="inlineStr">
        <is>
          <t>200 000 000</t>
        </is>
      </c>
      <c r="L684" t="inlineStr"/>
      <c r="M684" t="inlineStr"/>
      <c r="N684" t="inlineStr">
        <is>
          <t>Нет у нас</t>
        </is>
      </c>
      <c r="O684" t="inlineStr"/>
      <c r="P684" t="inlineStr"/>
      <c r="Q684" t="inlineStr"/>
      <c r="R684">
        <f>HYPERLINK("https://nordwestinvest.ru/real-estates/prodaza-ucastka-pod-stroitelstvo-tk","ссылка")</f>
        <v/>
      </c>
      <c r="S684" t="inlineStr"/>
    </row>
    <row r="685">
      <c r="A685" t="inlineStr">
        <is>
          <t>Ленинградская область, Всеволожский район</t>
        </is>
      </c>
      <c r="B685" t="inlineStr">
        <is>
          <t>Ленинградская обл, Всеволожск г, Дорога Жизни ш, 46</t>
        </is>
      </c>
      <c r="C685" t="inlineStr">
        <is>
          <t>sale</t>
        </is>
      </c>
      <c r="D685" t="inlineStr"/>
      <c r="E685" t="inlineStr">
        <is>
          <t>Да</t>
        </is>
      </c>
      <c r="F685" t="inlineStr"/>
      <c r="G685" t="inlineStr"/>
      <c r="H685" t="inlineStr">
        <is>
          <t>53</t>
        </is>
      </c>
      <c r="I685" t="inlineStr"/>
      <c r="J685" t="inlineStr"/>
      <c r="K685" t="inlineStr">
        <is>
          <t>11 000 000</t>
        </is>
      </c>
      <c r="L685" t="inlineStr"/>
      <c r="M685" t="inlineStr"/>
      <c r="N685" t="inlineStr">
        <is>
          <t>По адресу есть, но площадь другая</t>
        </is>
      </c>
      <c r="O685" t="inlineStr"/>
      <c r="P685" t="inlineStr"/>
      <c r="Q685" t="inlineStr"/>
      <c r="R685">
        <f>HYPERLINK("https://nordwestinvest.ru/real-estates/prodaza-pomeshheniia-53-m2-1","ссылка")</f>
        <v/>
      </c>
      <c r="S685" t="inlineStr"/>
    </row>
    <row r="686">
      <c r="A686" t="inlineStr">
        <is>
          <t>Ленинградская область, Всеволожский район</t>
        </is>
      </c>
      <c r="B686" t="inlineStr">
        <is>
          <t>Ленинградская обл, Всеволожск г, Дорога Жизни ш, 46</t>
        </is>
      </c>
      <c r="C686" t="inlineStr">
        <is>
          <t>sale</t>
        </is>
      </c>
      <c r="D686" t="inlineStr"/>
      <c r="E686" t="inlineStr">
        <is>
          <t>Да</t>
        </is>
      </c>
      <c r="F686" t="inlineStr"/>
      <c r="G686" t="inlineStr"/>
      <c r="H686" t="inlineStr">
        <is>
          <t>113</t>
        </is>
      </c>
      <c r="I686" t="inlineStr"/>
      <c r="J686" t="inlineStr"/>
      <c r="K686" t="inlineStr">
        <is>
          <t>24 000 000</t>
        </is>
      </c>
      <c r="L686" t="inlineStr"/>
      <c r="M686" t="inlineStr"/>
      <c r="N686" t="inlineStr">
        <is>
          <t>По адресу есть, но площадь другая</t>
        </is>
      </c>
      <c r="O686" t="inlineStr"/>
      <c r="P686" t="inlineStr"/>
      <c r="Q686" t="inlineStr"/>
      <c r="R686">
        <f>HYPERLINK("https://nordwestinvest.ru/real-estates/prodaza-pomeshheniia-s-vingarazom","ссылка")</f>
        <v/>
      </c>
      <c r="S686" t="inlineStr"/>
    </row>
    <row r="687">
      <c r="A687" t="inlineStr">
        <is>
          <t>Ленинградская область, Всеволожский район</t>
        </is>
      </c>
      <c r="B687" t="inlineStr">
        <is>
          <t>Ленинградская обл, Всеволожск г, Дорога Жизни ш, 46</t>
        </is>
      </c>
      <c r="C687" t="inlineStr">
        <is>
          <t>sale</t>
        </is>
      </c>
      <c r="D687" t="inlineStr"/>
      <c r="E687" t="inlineStr">
        <is>
          <t>Да</t>
        </is>
      </c>
      <c r="F687" t="inlineStr"/>
      <c r="G687" t="inlineStr"/>
      <c r="H687" t="inlineStr">
        <is>
          <t>655</t>
        </is>
      </c>
      <c r="I687" t="inlineStr"/>
      <c r="J687" t="inlineStr"/>
      <c r="K687" t="inlineStr">
        <is>
          <t>105 000 000</t>
        </is>
      </c>
      <c r="L687" t="inlineStr"/>
      <c r="M687" t="inlineStr"/>
      <c r="N687" t="inlineStr">
        <is>
          <t>Совпало</t>
        </is>
      </c>
      <c r="O687" t="inlineStr"/>
      <c r="P687" t="inlineStr"/>
      <c r="Q687" t="inlineStr"/>
      <c r="R687">
        <f>HYPERLINK("https://nordwestinvest.ru/real-estates/prodaza-pomeshheniia-s-piaterockoi-1","ссылка")</f>
        <v/>
      </c>
      <c r="S687" t="inlineStr"/>
    </row>
    <row r="688">
      <c r="A688" t="inlineStr">
        <is>
          <t>Ленинградская область, Всеволожский район</t>
        </is>
      </c>
      <c r="B688" t="inlineStr">
        <is>
          <t>Ленинградская обл, Всеволожск г, Евграфова ул, 19</t>
        </is>
      </c>
      <c r="C688" t="inlineStr">
        <is>
          <t>sale</t>
        </is>
      </c>
      <c r="D688" t="inlineStr"/>
      <c r="E688" t="inlineStr">
        <is>
          <t>Да</t>
        </is>
      </c>
      <c r="F688" t="inlineStr"/>
      <c r="G688" t="inlineStr"/>
      <c r="H688" t="inlineStr">
        <is>
          <t>4221</t>
        </is>
      </c>
      <c r="I688" t="inlineStr"/>
      <c r="J688" t="inlineStr"/>
      <c r="K688" t="inlineStr">
        <is>
          <t>1</t>
        </is>
      </c>
      <c r="L688" t="inlineStr"/>
      <c r="M688" t="inlineStr"/>
      <c r="N688" t="inlineStr">
        <is>
          <t>Нет у нас</t>
        </is>
      </c>
      <c r="O688" t="inlineStr"/>
      <c r="P688" t="inlineStr"/>
      <c r="Q688" t="inlineStr"/>
      <c r="R688">
        <f>HYPERLINK("https://nordwestinvest.ru/real-estates/prodaza-zu-vo-vsevolozske-42-sotki","ссылка")</f>
        <v/>
      </c>
      <c r="S688" t="inlineStr"/>
    </row>
    <row r="689">
      <c r="A689" t="inlineStr">
        <is>
          <t>Ленинградская область, Всеволожский район</t>
        </is>
      </c>
      <c r="B689" t="inlineStr">
        <is>
          <t>Ленинградская обл, Всеволожск г, Операторов ул, -</t>
        </is>
      </c>
      <c r="C689" t="inlineStr">
        <is>
          <t>sale</t>
        </is>
      </c>
      <c r="D689" t="inlineStr"/>
      <c r="E689" t="inlineStr">
        <is>
          <t>Да</t>
        </is>
      </c>
      <c r="F689" t="inlineStr"/>
      <c r="G689" t="inlineStr"/>
      <c r="H689" t="inlineStr">
        <is>
          <t>20000</t>
        </is>
      </c>
      <c r="I689" t="inlineStr"/>
      <c r="J689" t="inlineStr"/>
      <c r="K689" t="inlineStr">
        <is>
          <t>60 000 000</t>
        </is>
      </c>
      <c r="L689" t="inlineStr"/>
      <c r="M689" t="inlineStr"/>
      <c r="N689" t="inlineStr">
        <is>
          <t>Нет у нас</t>
        </is>
      </c>
      <c r="O689" t="inlineStr"/>
      <c r="P689" t="inlineStr"/>
      <c r="Q689" t="inlineStr"/>
      <c r="R689">
        <f>HYPERLINK("https://nordwestinvest.ru/real-estates/prodaza-zemelnogo-ucastka-2-ga-1","ссылка")</f>
        <v/>
      </c>
      <c r="S689" t="inlineStr"/>
    </row>
    <row r="690">
      <c r="A690" t="inlineStr">
        <is>
          <t>Ленинградская область, Всеволожский район</t>
        </is>
      </c>
      <c r="B690" t="inlineStr">
        <is>
          <t>Ленинградская обл, Всеволожск г, Операторов ул, -</t>
        </is>
      </c>
      <c r="C690" t="inlineStr">
        <is>
          <t>sale</t>
        </is>
      </c>
      <c r="D690" t="inlineStr"/>
      <c r="E690" t="inlineStr">
        <is>
          <t>Да</t>
        </is>
      </c>
      <c r="F690" t="inlineStr"/>
      <c r="G690" t="inlineStr"/>
      <c r="H690" t="inlineStr">
        <is>
          <t>976</t>
        </is>
      </c>
      <c r="I690" t="inlineStr"/>
      <c r="J690" t="inlineStr"/>
      <c r="K690" t="inlineStr">
        <is>
          <t>60 000 000</t>
        </is>
      </c>
      <c r="L690" t="inlineStr"/>
      <c r="M690" t="inlineStr"/>
      <c r="N690" t="inlineStr">
        <is>
          <t>Нет у нас</t>
        </is>
      </c>
      <c r="O690" t="inlineStr"/>
      <c r="P690" t="inlineStr"/>
      <c r="Q690" t="inlineStr"/>
      <c r="R690">
        <f>HYPERLINK("https://nordwestinvest.ru/real-estates/prodaza-sklada-s-zu-2-ga-1","ссылка")</f>
        <v/>
      </c>
      <c r="S690" t="inlineStr"/>
    </row>
    <row r="691">
      <c r="A691" t="inlineStr">
        <is>
          <t>Ленинградская область, Всеволожский район</t>
        </is>
      </c>
      <c r="B691" t="inlineStr">
        <is>
          <t>Ленинградская обл, Всеволожск г, Плоткина ул, 16</t>
        </is>
      </c>
      <c r="C691" t="inlineStr">
        <is>
          <t>sale</t>
        </is>
      </c>
      <c r="D691" t="inlineStr"/>
      <c r="E691" t="inlineStr">
        <is>
          <t>Да</t>
        </is>
      </c>
      <c r="F691" t="inlineStr"/>
      <c r="G691" t="inlineStr"/>
      <c r="H691" t="inlineStr">
        <is>
          <t>31.2</t>
        </is>
      </c>
      <c r="I691" t="inlineStr"/>
      <c r="J691" t="inlineStr"/>
      <c r="K691" t="inlineStr">
        <is>
          <t>6 200 000</t>
        </is>
      </c>
      <c r="L691" t="inlineStr"/>
      <c r="M691" t="inlineStr"/>
      <c r="N691" t="inlineStr">
        <is>
          <t>Нет у нас</t>
        </is>
      </c>
      <c r="O691" t="inlineStr"/>
      <c r="P691" t="inlineStr"/>
      <c r="Q691" t="inlineStr"/>
      <c r="R691">
        <f>HYPERLINK("https://nordwestinvest.ru/real-estates/pomeshhenie-v-osz-gustonaselennom-raione-312-m2","ссылка")</f>
        <v/>
      </c>
      <c r="S691" t="inlineStr"/>
    </row>
    <row r="692">
      <c r="A692" t="inlineStr">
        <is>
          <t>Ленинградская область, Всеволожский район</t>
        </is>
      </c>
      <c r="B692" t="inlineStr">
        <is>
          <t>Ленинградская обл, имени Морозова гп, Рабочего Батальона ул, 16к2</t>
        </is>
      </c>
      <c r="C692" t="inlineStr">
        <is>
          <t>sale</t>
        </is>
      </c>
      <c r="D692" t="inlineStr"/>
      <c r="E692" t="inlineStr">
        <is>
          <t>Да</t>
        </is>
      </c>
      <c r="F692" t="inlineStr"/>
      <c r="G692" t="inlineStr"/>
      <c r="H692" t="inlineStr">
        <is>
          <t>6800</t>
        </is>
      </c>
      <c r="I692" t="inlineStr"/>
      <c r="J692" t="inlineStr"/>
      <c r="K692" t="inlineStr">
        <is>
          <t>150 000 000</t>
        </is>
      </c>
      <c r="L692" t="inlineStr"/>
      <c r="M692" t="inlineStr"/>
      <c r="N692" t="inlineStr">
        <is>
          <t>Нет у нас</t>
        </is>
      </c>
      <c r="O692" t="inlineStr"/>
      <c r="P692" t="inlineStr"/>
      <c r="Q692" t="inlineStr"/>
      <c r="R692">
        <f>HYPERLINK("https://nordwestinvest.ru/real-estates/prodaza-promyslennogo-zdaniia-zu","ссылка")</f>
        <v/>
      </c>
      <c r="S692" t="inlineStr"/>
    </row>
    <row r="693">
      <c r="A693" t="inlineStr">
        <is>
          <t>Ленинградская область, Всеволожский район</t>
        </is>
      </c>
      <c r="B693" t="inlineStr">
        <is>
          <t>Ленинградская обл, Кальтино д, -, 6а</t>
        </is>
      </c>
      <c r="C693" t="inlineStr">
        <is>
          <t>sale</t>
        </is>
      </c>
      <c r="D693" t="inlineStr"/>
      <c r="E693" t="inlineStr">
        <is>
          <t>Да</t>
        </is>
      </c>
      <c r="F693" t="inlineStr"/>
      <c r="G693" t="inlineStr"/>
      <c r="H693" t="inlineStr">
        <is>
          <t>334</t>
        </is>
      </c>
      <c r="I693" t="inlineStr"/>
      <c r="J693" t="inlineStr"/>
      <c r="K693" t="inlineStr">
        <is>
          <t>6 000 000</t>
        </is>
      </c>
      <c r="L693" t="inlineStr"/>
      <c r="M693" t="inlineStr"/>
      <c r="N693" t="inlineStr">
        <is>
          <t>Нет у нас</t>
        </is>
      </c>
      <c r="O693" t="inlineStr"/>
      <c r="P693" t="inlineStr"/>
      <c r="Q693" t="inlineStr"/>
      <c r="R693">
        <f>HYPERLINK("https://nordwestinvest.ru/real-estates/prodaza-zemelnogo-ucastka","ссылка")</f>
        <v/>
      </c>
      <c r="S693" t="inlineStr"/>
    </row>
    <row r="694">
      <c r="A694" t="inlineStr">
        <is>
          <t>Ленинградская область, Всеволожский район</t>
        </is>
      </c>
      <c r="B694" t="inlineStr">
        <is>
          <t>Ленинградская обл, Кальтино д, -, 7</t>
        </is>
      </c>
      <c r="C694" t="inlineStr">
        <is>
          <t>sale</t>
        </is>
      </c>
      <c r="D694" t="inlineStr"/>
      <c r="E694" t="inlineStr">
        <is>
          <t>Да</t>
        </is>
      </c>
      <c r="F694" t="inlineStr"/>
      <c r="G694" t="inlineStr"/>
      <c r="H694" t="inlineStr">
        <is>
          <t>662</t>
        </is>
      </c>
      <c r="I694" t="inlineStr"/>
      <c r="J694" t="inlineStr"/>
      <c r="K694" t="inlineStr">
        <is>
          <t>35 000 000</t>
        </is>
      </c>
      <c r="L694" t="inlineStr"/>
      <c r="M694" t="inlineStr"/>
      <c r="N694" t="inlineStr">
        <is>
          <t>Нет у нас</t>
        </is>
      </c>
      <c r="O694" t="inlineStr"/>
      <c r="P694" t="inlineStr"/>
      <c r="Q694" t="inlineStr"/>
      <c r="R694">
        <f>HYPERLINK("https://nordwestinvest.ru/real-estates/prodaza-osz-s-zemelnym-ucastkom-vo-vsevolozske","ссылка")</f>
        <v/>
      </c>
      <c r="S694" t="inlineStr"/>
    </row>
    <row r="695">
      <c r="A695" t="inlineStr">
        <is>
          <t>Ленинградская область, Всеволожский район</t>
        </is>
      </c>
      <c r="B695" t="inlineStr">
        <is>
          <t>Ленинградская обл, Колтуши г, Шоссейная, -</t>
        </is>
      </c>
      <c r="C695" t="inlineStr">
        <is>
          <t>sale</t>
        </is>
      </c>
      <c r="D695" t="inlineStr"/>
      <c r="E695" t="inlineStr">
        <is>
          <t>Да</t>
        </is>
      </c>
      <c r="F695" t="inlineStr"/>
      <c r="G695" t="inlineStr"/>
      <c r="H695" t="inlineStr">
        <is>
          <t>20000</t>
        </is>
      </c>
      <c r="I695" t="inlineStr"/>
      <c r="J695" t="inlineStr"/>
      <c r="K695" t="inlineStr">
        <is>
          <t>2 500 000 000</t>
        </is>
      </c>
      <c r="L695" t="inlineStr"/>
      <c r="M695" t="inlineStr"/>
      <c r="N695" t="inlineStr">
        <is>
          <t>Нет у нас</t>
        </is>
      </c>
      <c r="O695" t="inlineStr"/>
      <c r="P695" t="inlineStr"/>
      <c r="Q695" t="inlineStr"/>
      <c r="R695">
        <f>HYPERLINK("https://nordwestinvest.ru/real-estates/prodaza-novyx-prom-pomeshheniisklada","ссылка")</f>
        <v/>
      </c>
      <c r="S695" t="inlineStr"/>
    </row>
    <row r="696">
      <c r="A696" t="inlineStr">
        <is>
          <t>Ленинградская область, Всеволожский район</t>
        </is>
      </c>
      <c r="B696" t="inlineStr">
        <is>
          <t>Ленинградская обл, Колтуши д, -, 1</t>
        </is>
      </c>
      <c r="C696" t="inlineStr">
        <is>
          <t>sale</t>
        </is>
      </c>
      <c r="D696" t="inlineStr"/>
      <c r="E696" t="inlineStr">
        <is>
          <t>Да</t>
        </is>
      </c>
      <c r="F696" t="inlineStr"/>
      <c r="G696" t="inlineStr"/>
      <c r="H696" t="inlineStr">
        <is>
          <t>2055</t>
        </is>
      </c>
      <c r="I696" t="inlineStr"/>
      <c r="J696" t="inlineStr"/>
      <c r="K696" t="inlineStr">
        <is>
          <t>15 000 000</t>
        </is>
      </c>
      <c r="L696" t="inlineStr"/>
      <c r="M696" t="inlineStr"/>
      <c r="N696" t="inlineStr">
        <is>
          <t>Нет у нас</t>
        </is>
      </c>
      <c r="O696" t="inlineStr"/>
      <c r="P696" t="inlineStr"/>
      <c r="Q696" t="inlineStr"/>
      <c r="R696">
        <f>HYPERLINK("https://nordwestinvest.ru/real-estates/prodaza-zemelnogo-ucastka-s-domom","ссылка")</f>
        <v/>
      </c>
      <c r="S696" t="inlineStr"/>
    </row>
    <row r="697">
      <c r="A697" t="inlineStr">
        <is>
          <t>Ленинградская область, Всеволожский район</t>
        </is>
      </c>
      <c r="B697" t="inlineStr">
        <is>
          <t>Ленинградская обл, Колтуши д, Иоанна Кронштадтского, 2</t>
        </is>
      </c>
      <c r="C697" t="inlineStr">
        <is>
          <t>sale</t>
        </is>
      </c>
      <c r="D697" t="inlineStr"/>
      <c r="E697" t="inlineStr">
        <is>
          <t>Да</t>
        </is>
      </c>
      <c r="F697" t="inlineStr"/>
      <c r="G697" t="inlineStr"/>
      <c r="H697" t="inlineStr">
        <is>
          <t>566</t>
        </is>
      </c>
      <c r="I697" t="inlineStr"/>
      <c r="J697" t="inlineStr"/>
      <c r="K697" t="inlineStr">
        <is>
          <t>95 000 000</t>
        </is>
      </c>
      <c r="L697" t="inlineStr"/>
      <c r="M697" t="inlineStr"/>
      <c r="N697" t="inlineStr">
        <is>
          <t>По адресу есть, но площадь другая</t>
        </is>
      </c>
      <c r="O697" t="inlineStr"/>
      <c r="P697" t="inlineStr"/>
      <c r="Q697" t="inlineStr"/>
      <c r="R697">
        <f>HYPERLINK("https://nordwestinvest.ru/real-estates/prodaza-s-arendatorom-vernyi","ссылка")</f>
        <v/>
      </c>
      <c r="S697" t="inlineStr"/>
    </row>
    <row r="698">
      <c r="A698" t="inlineStr">
        <is>
          <t>Ленинградская область, Всеволожский район</t>
        </is>
      </c>
      <c r="B698" t="inlineStr">
        <is>
          <t>Ленинградская обл, Кудрово г, Столичная ул, 4к3</t>
        </is>
      </c>
      <c r="C698" t="inlineStr">
        <is>
          <t>sale</t>
        </is>
      </c>
      <c r="D698" t="inlineStr"/>
      <c r="E698" t="inlineStr">
        <is>
          <t>Да</t>
        </is>
      </c>
      <c r="F698" t="inlineStr"/>
      <c r="G698" t="inlineStr"/>
      <c r="H698" t="inlineStr">
        <is>
          <t>134</t>
        </is>
      </c>
      <c r="I698" t="inlineStr"/>
      <c r="J698" t="inlineStr"/>
      <c r="K698" t="inlineStr">
        <is>
          <t>45 000 000</t>
        </is>
      </c>
      <c r="L698" t="inlineStr"/>
      <c r="M698" t="inlineStr"/>
      <c r="N698" t="inlineStr">
        <is>
          <t>По адресу есть, но площадь другая</t>
        </is>
      </c>
      <c r="O698" t="inlineStr"/>
      <c r="P698" t="inlineStr"/>
      <c r="Q698" t="inlineStr"/>
      <c r="R698">
        <f>HYPERLINK("https://nordwestinvest.ru/real-estates/pomeshhenie-s-xeliksom","ссылка")</f>
        <v/>
      </c>
      <c r="S698" t="inlineStr"/>
    </row>
    <row r="699">
      <c r="A699" t="inlineStr">
        <is>
          <t>Ленинградская область, Всеволожский район</t>
        </is>
      </c>
      <c r="B699" t="inlineStr">
        <is>
          <t>Ленинградская обл, Кузьмоловский гп, Заводская ул, 41</t>
        </is>
      </c>
      <c r="C699" t="inlineStr">
        <is>
          <t>sale</t>
        </is>
      </c>
      <c r="D699" t="inlineStr"/>
      <c r="E699" t="inlineStr">
        <is>
          <t>Да</t>
        </is>
      </c>
      <c r="F699" t="inlineStr"/>
      <c r="G699" t="inlineStr"/>
      <c r="H699" t="inlineStr">
        <is>
          <t>1347.6</t>
        </is>
      </c>
      <c r="I699" t="inlineStr"/>
      <c r="J699" t="inlineStr"/>
      <c r="K699" t="inlineStr">
        <is>
          <t>95 000 000</t>
        </is>
      </c>
      <c r="L699" t="inlineStr"/>
      <c r="M699" t="inlineStr"/>
      <c r="N699" t="inlineStr">
        <is>
          <t>Нет у нас</t>
        </is>
      </c>
      <c r="O699" t="inlineStr"/>
      <c r="P699" t="inlineStr"/>
      <c r="Q699" t="inlineStr"/>
      <c r="R699">
        <f>HYPERLINK("https://nordwestinvest.ru/real-estates/prodaza-zdaniia-s-13476-m2","ссылка")</f>
        <v/>
      </c>
      <c r="S699" t="inlineStr"/>
    </row>
    <row r="700">
      <c r="A700" t="inlineStr">
        <is>
          <t>Ленинградская область, Всеволожский район</t>
        </is>
      </c>
      <c r="B700" t="inlineStr">
        <is>
          <t>Ленинградская обл, Куйвози массив, -, -</t>
        </is>
      </c>
      <c r="C700" t="inlineStr">
        <is>
          <t>sale</t>
        </is>
      </c>
      <c r="D700" t="inlineStr"/>
      <c r="E700" t="inlineStr">
        <is>
          <t>Да</t>
        </is>
      </c>
      <c r="F700" t="inlineStr"/>
      <c r="G700" t="inlineStr"/>
      <c r="H700" t="inlineStr">
        <is>
          <t>1008</t>
        </is>
      </c>
      <c r="I700" t="inlineStr"/>
      <c r="J700" t="inlineStr"/>
      <c r="K700" t="inlineStr">
        <is>
          <t>125 000 000</t>
        </is>
      </c>
      <c r="L700" t="inlineStr"/>
      <c r="M700" t="inlineStr"/>
      <c r="N700" t="inlineStr">
        <is>
          <t>Нет у нас</t>
        </is>
      </c>
      <c r="O700" t="inlineStr"/>
      <c r="P700" t="inlineStr"/>
      <c r="Q700" t="inlineStr"/>
      <c r="R700">
        <f>HYPERLINK("https://nordwestinvest.ru/real-estates/prodaza-zdaniia-s-arendatorami-i-zu-40-sotok","ссылка")</f>
        <v/>
      </c>
      <c r="S700" t="inlineStr"/>
    </row>
    <row r="701">
      <c r="A701" t="inlineStr">
        <is>
          <t>Ленинградская область, Всеволожский район</t>
        </is>
      </c>
      <c r="B701" t="inlineStr">
        <is>
          <t>Ленинградская обл, Лупполово д, -, -</t>
        </is>
      </c>
      <c r="C701" t="inlineStr">
        <is>
          <t>sale</t>
        </is>
      </c>
      <c r="D701" t="inlineStr"/>
      <c r="E701" t="inlineStr">
        <is>
          <t>Да</t>
        </is>
      </c>
      <c r="F701" t="inlineStr"/>
      <c r="G701" t="inlineStr"/>
      <c r="H701" t="inlineStr">
        <is>
          <t>1600</t>
        </is>
      </c>
      <c r="I701" t="inlineStr"/>
      <c r="J701" t="inlineStr"/>
      <c r="K701" t="inlineStr">
        <is>
          <t>28 000 000</t>
        </is>
      </c>
      <c r="L701" t="inlineStr"/>
      <c r="M701" t="inlineStr"/>
      <c r="N701" t="inlineStr">
        <is>
          <t>Нет у нас</t>
        </is>
      </c>
      <c r="O701" t="inlineStr"/>
      <c r="P701" t="inlineStr"/>
      <c r="Q701" t="inlineStr"/>
      <c r="R701">
        <f>HYPERLINK("https://nordwestinvest.ru/real-estates/prodaza-proekta-magazina-na-svoem-zu-1","ссылка")</f>
        <v/>
      </c>
      <c r="S701" t="inlineStr"/>
    </row>
    <row r="702">
      <c r="A702" t="inlineStr">
        <is>
          <t>Ленинградская область, Всеволожский район</t>
        </is>
      </c>
      <c r="B702" t="inlineStr">
        <is>
          <t>Ленинградская обл, Массив Скотное тер, -, -</t>
        </is>
      </c>
      <c r="C702" t="inlineStr">
        <is>
          <t>sale</t>
        </is>
      </c>
      <c r="D702" t="inlineStr"/>
      <c r="E702" t="inlineStr">
        <is>
          <t>Да</t>
        </is>
      </c>
      <c r="F702" t="inlineStr"/>
      <c r="G702" t="inlineStr"/>
      <c r="H702" t="inlineStr">
        <is>
          <t>12060</t>
        </is>
      </c>
      <c r="I702" t="inlineStr"/>
      <c r="J702" t="inlineStr"/>
      <c r="K702" t="inlineStr">
        <is>
          <t>90 000 000</t>
        </is>
      </c>
      <c r="L702" t="inlineStr"/>
      <c r="M702" t="inlineStr"/>
      <c r="N702" t="inlineStr">
        <is>
          <t>Нет у нас</t>
        </is>
      </c>
      <c r="O702" t="inlineStr"/>
      <c r="P702" t="inlineStr"/>
      <c r="Q702" t="inlineStr"/>
      <c r="R702">
        <f>HYPERLINK("https://nordwestinvest.ru/real-estates/prodaza-dvux-ucastkov-pod-kommerciiu","ссылка")</f>
        <v/>
      </c>
      <c r="S702" t="inlineStr"/>
    </row>
    <row r="703">
      <c r="A703" t="inlineStr">
        <is>
          <t>Ленинградская область, Всеволожский район</t>
        </is>
      </c>
      <c r="B703" t="inlineStr">
        <is>
          <t>Ленинградская обл, Мистолово д, -, -</t>
        </is>
      </c>
      <c r="C703" t="inlineStr">
        <is>
          <t>sale</t>
        </is>
      </c>
      <c r="D703" t="inlineStr"/>
      <c r="E703" t="inlineStr">
        <is>
          <t>Да</t>
        </is>
      </c>
      <c r="F703" t="inlineStr"/>
      <c r="G703" t="inlineStr"/>
      <c r="H703" t="inlineStr">
        <is>
          <t>12027</t>
        </is>
      </c>
      <c r="I703" t="inlineStr"/>
      <c r="J703" t="inlineStr"/>
      <c r="K703" t="inlineStr">
        <is>
          <t>120 000 000</t>
        </is>
      </c>
      <c r="L703" t="inlineStr"/>
      <c r="M703" t="inlineStr"/>
      <c r="N703" t="inlineStr">
        <is>
          <t>Нет у нас</t>
        </is>
      </c>
      <c r="O703" t="inlineStr"/>
      <c r="P703" t="inlineStr"/>
      <c r="Q703" t="inlineStr"/>
      <c r="R703">
        <f>HYPERLINK("https://nordwestinvest.ru/real-estates/prodaza-ucastka-pod-kommerciiu-12-ga","ссылка")</f>
        <v/>
      </c>
      <c r="S703" t="inlineStr"/>
    </row>
    <row r="704">
      <c r="A704" t="inlineStr">
        <is>
          <t>Ленинградская область, Всеволожский район</t>
        </is>
      </c>
      <c r="B704" t="inlineStr">
        <is>
          <t>Ленинградская обл, Мистолово массив, -, -</t>
        </is>
      </c>
      <c r="C704" t="inlineStr">
        <is>
          <t>sale</t>
        </is>
      </c>
      <c r="D704" t="inlineStr"/>
      <c r="E704" t="inlineStr">
        <is>
          <t>Да</t>
        </is>
      </c>
      <c r="F704" t="inlineStr"/>
      <c r="G704" t="inlineStr"/>
      <c r="H704" t="inlineStr">
        <is>
          <t>13468</t>
        </is>
      </c>
      <c r="I704" t="inlineStr"/>
      <c r="J704" t="inlineStr"/>
      <c r="K704" t="inlineStr">
        <is>
          <t>150 000 000</t>
        </is>
      </c>
      <c r="L704" t="inlineStr"/>
      <c r="M704" t="inlineStr"/>
      <c r="N704" t="inlineStr">
        <is>
          <t>Нет у нас</t>
        </is>
      </c>
      <c r="O704" t="inlineStr"/>
      <c r="P704" t="inlineStr"/>
      <c r="Q704" t="inlineStr"/>
      <c r="R704">
        <f>HYPERLINK("https://nordwestinvest.ru/real-estates/prodaza-zu-pod-trk-novopriozerskoe-s","ссылка")</f>
        <v/>
      </c>
      <c r="S704" t="inlineStr"/>
    </row>
    <row r="705">
      <c r="A705" t="inlineStr">
        <is>
          <t>Ленинградская область, Всеволожский район</t>
        </is>
      </c>
      <c r="B705" t="inlineStr">
        <is>
          <t>Ленинградская обл, Мурино г, 2-я Линия ул, 23</t>
        </is>
      </c>
      <c r="C705" t="inlineStr">
        <is>
          <t>sale</t>
        </is>
      </c>
      <c r="D705" t="inlineStr"/>
      <c r="E705" t="inlineStr">
        <is>
          <t>Да</t>
        </is>
      </c>
      <c r="F705" t="inlineStr"/>
      <c r="G705" t="inlineStr"/>
      <c r="H705" t="inlineStr">
        <is>
          <t>1000</t>
        </is>
      </c>
      <c r="I705" t="inlineStr"/>
      <c r="J705" t="inlineStr"/>
      <c r="K705" t="inlineStr">
        <is>
          <t>80 000 000</t>
        </is>
      </c>
      <c r="L705" t="inlineStr"/>
      <c r="M705" t="inlineStr"/>
      <c r="N705" t="inlineStr">
        <is>
          <t>Нет у нас</t>
        </is>
      </c>
      <c r="O705" t="inlineStr"/>
      <c r="P705" t="inlineStr"/>
      <c r="Q705" t="inlineStr"/>
      <c r="R705">
        <f>HYPERLINK("https://nordwestinvest.ru/real-estates/prodaza-zdanie-s-arendatorami-1000m","ссылка")</f>
        <v/>
      </c>
      <c r="S705" t="inlineStr"/>
    </row>
    <row r="706">
      <c r="A706" t="inlineStr">
        <is>
          <t>Ленинградская область, Всеволожский район</t>
        </is>
      </c>
      <c r="B706" t="inlineStr">
        <is>
          <t>Ленинградская обл, Мурино г, Воронцовский б-р, -</t>
        </is>
      </c>
      <c r="C706" t="inlineStr">
        <is>
          <t>sale</t>
        </is>
      </c>
      <c r="D706" t="inlineStr"/>
      <c r="E706" t="inlineStr">
        <is>
          <t>Да</t>
        </is>
      </c>
      <c r="F706" t="inlineStr"/>
      <c r="G706" t="inlineStr"/>
      <c r="H706" t="inlineStr">
        <is>
          <t>10114</t>
        </is>
      </c>
      <c r="I706" t="inlineStr"/>
      <c r="J706" t="inlineStr"/>
      <c r="K706" t="inlineStr">
        <is>
          <t>210 000 000</t>
        </is>
      </c>
      <c r="L706" t="inlineStr"/>
      <c r="M706" t="inlineStr"/>
      <c r="N706" t="inlineStr">
        <is>
          <t>Нет у нас</t>
        </is>
      </c>
      <c r="O706" t="inlineStr"/>
      <c r="P706" t="inlineStr"/>
      <c r="Q706" t="inlineStr"/>
      <c r="R706">
        <f>HYPERLINK("https://nordwestinvest.ru/real-estates/prodaza-1-ga-zu-pod-zastroiku-tc-magazina","ссылка")</f>
        <v/>
      </c>
      <c r="S706" t="inlineStr"/>
    </row>
    <row r="707">
      <c r="A707" t="inlineStr">
        <is>
          <t>Ленинградская область, Всеволожский район</t>
        </is>
      </c>
      <c r="B707" t="inlineStr">
        <is>
          <t>Ленинградская обл, Мурино г, Новая ул, 8</t>
        </is>
      </c>
      <c r="C707" t="inlineStr">
        <is>
          <t>sale</t>
        </is>
      </c>
      <c r="D707" t="inlineStr"/>
      <c r="E707" t="inlineStr">
        <is>
          <t>Да</t>
        </is>
      </c>
      <c r="F707" t="inlineStr"/>
      <c r="G707" t="inlineStr"/>
      <c r="H707" t="inlineStr">
        <is>
          <t>3376</t>
        </is>
      </c>
      <c r="I707" t="inlineStr"/>
      <c r="J707" t="inlineStr"/>
      <c r="K707" t="inlineStr">
        <is>
          <t>300 000 000</t>
        </is>
      </c>
      <c r="L707" t="inlineStr"/>
      <c r="M707" t="inlineStr"/>
      <c r="N707" t="inlineStr">
        <is>
          <t>Совпало</t>
        </is>
      </c>
      <c r="O707" t="inlineStr"/>
      <c r="P707" t="inlineStr"/>
      <c r="Q707" t="inlineStr"/>
      <c r="R707">
        <f>HYPERLINK("https://nordwestinvest.ru/real-estates/prodaza-doli-tk-murino","ссылка")</f>
        <v/>
      </c>
      <c r="S707" t="inlineStr"/>
    </row>
    <row r="708">
      <c r="A708" t="inlineStr">
        <is>
          <t>Ленинградская область, Всеволожский район</t>
        </is>
      </c>
      <c r="B708" t="inlineStr">
        <is>
          <t>Ленинградская обл, Мурино г, Оборонная ул, 2к3</t>
        </is>
      </c>
      <c r="C708" t="inlineStr">
        <is>
          <t>sale</t>
        </is>
      </c>
      <c r="D708" t="inlineStr"/>
      <c r="E708" t="inlineStr">
        <is>
          <t>Да</t>
        </is>
      </c>
      <c r="F708" t="inlineStr"/>
      <c r="G708" t="inlineStr"/>
      <c r="H708" t="inlineStr">
        <is>
          <t>203.6</t>
        </is>
      </c>
      <c r="I708" t="inlineStr"/>
      <c r="J708" t="inlineStr"/>
      <c r="K708" t="inlineStr">
        <is>
          <t>42 500 000</t>
        </is>
      </c>
      <c r="L708" t="inlineStr"/>
      <c r="M708" t="inlineStr"/>
      <c r="N708" t="inlineStr">
        <is>
          <t>Совпало</t>
        </is>
      </c>
      <c r="O708" t="inlineStr"/>
      <c r="P708" t="inlineStr"/>
      <c r="Q708" t="inlineStr"/>
      <c r="R708">
        <f>HYPERLINK("https://nordwestinvest.ru/real-estates/prodaza-kommerceskogo-pomeshheniia-2036-m2-1","ссылка")</f>
        <v/>
      </c>
      <c r="S708" t="inlineStr"/>
    </row>
    <row r="709">
      <c r="A709" t="inlineStr">
        <is>
          <t>Ленинградская область, Всеволожский район</t>
        </is>
      </c>
      <c r="B709" t="inlineStr">
        <is>
          <t>Ленинградская обл, Мяглово д, -, 2а</t>
        </is>
      </c>
      <c r="C709" t="inlineStr">
        <is>
          <t>sale</t>
        </is>
      </c>
      <c r="D709" t="inlineStr"/>
      <c r="E709" t="inlineStr">
        <is>
          <t>Да</t>
        </is>
      </c>
      <c r="F709" t="inlineStr"/>
      <c r="G709" t="inlineStr"/>
      <c r="H709" t="inlineStr">
        <is>
          <t>700</t>
        </is>
      </c>
      <c r="I709" t="inlineStr"/>
      <c r="J709" t="inlineStr"/>
      <c r="K709" t="inlineStr">
        <is>
          <t>85 000 000</t>
        </is>
      </c>
      <c r="L709" t="inlineStr"/>
      <c r="M709" t="inlineStr"/>
      <c r="N709" t="inlineStr">
        <is>
          <t>Нет у нас</t>
        </is>
      </c>
      <c r="O709" t="inlineStr"/>
      <c r="P709" t="inlineStr"/>
      <c r="Q709" t="inlineStr"/>
      <c r="R709">
        <f>HYPERLINK("https://nordwestinvest.ru/real-estates/prodaza-zdaniia-s-zemelnym-ucastkom-2","ссылка")</f>
        <v/>
      </c>
      <c r="S709" t="inlineStr"/>
    </row>
    <row r="710">
      <c r="A710" t="inlineStr">
        <is>
          <t>Ленинградская область, Всеволожский район</t>
        </is>
      </c>
      <c r="B710" t="inlineStr">
        <is>
          <t>Ленинградская обл, Мяглово д, Кузнечная ул, 15</t>
        </is>
      </c>
      <c r="C710" t="inlineStr">
        <is>
          <t>sale</t>
        </is>
      </c>
      <c r="D710" t="inlineStr"/>
      <c r="E710" t="inlineStr">
        <is>
          <t>Да</t>
        </is>
      </c>
      <c r="F710" t="inlineStr"/>
      <c r="G710" t="inlineStr"/>
      <c r="H710" t="inlineStr">
        <is>
          <t>1000</t>
        </is>
      </c>
      <c r="I710" t="inlineStr"/>
      <c r="J710" t="inlineStr"/>
      <c r="K710" t="inlineStr">
        <is>
          <t>100 000 000</t>
        </is>
      </c>
      <c r="L710" t="inlineStr"/>
      <c r="M710" t="inlineStr"/>
      <c r="N710" t="inlineStr">
        <is>
          <t>Нет у нас</t>
        </is>
      </c>
      <c r="O710" t="inlineStr"/>
      <c r="P710" t="inlineStr"/>
      <c r="Q710" t="inlineStr"/>
      <c r="R710">
        <f>HYPERLINK("https://nordwestinvest.ru/real-estates/prodaza-sklada-1000-m2","ссылка")</f>
        <v/>
      </c>
      <c r="S710" t="inlineStr"/>
    </row>
    <row r="711">
      <c r="A711" t="inlineStr">
        <is>
          <t>Ленинградская область, Всеволожский район</t>
        </is>
      </c>
      <c r="B711" t="inlineStr">
        <is>
          <t>Ленинградская обл, Нижние Осельки д, -, -</t>
        </is>
      </c>
      <c r="C711" t="inlineStr">
        <is>
          <t>sale</t>
        </is>
      </c>
      <c r="D711" t="inlineStr"/>
      <c r="E711" t="inlineStr">
        <is>
          <t>Да</t>
        </is>
      </c>
      <c r="F711" t="inlineStr"/>
      <c r="G711" t="inlineStr"/>
      <c r="H711" t="inlineStr">
        <is>
          <t>176750</t>
        </is>
      </c>
      <c r="I711" t="inlineStr"/>
      <c r="J711" t="inlineStr"/>
      <c r="K711" t="inlineStr">
        <is>
          <t>159 075 000</t>
        </is>
      </c>
      <c r="L711" t="inlineStr"/>
      <c r="M711" t="inlineStr"/>
      <c r="N711" t="inlineStr">
        <is>
          <t>Нет у нас</t>
        </is>
      </c>
      <c r="O711" t="inlineStr"/>
      <c r="P711" t="inlineStr"/>
      <c r="Q711" t="inlineStr"/>
      <c r="R711">
        <f>HYPERLINK("https://nordwestinvest.ru/real-estates/prodaza-zu-pod-ziloi-poselok","ссылка")</f>
        <v/>
      </c>
      <c r="S711" t="inlineStr"/>
    </row>
    <row r="712">
      <c r="A712" t="inlineStr">
        <is>
          <t>Ленинградская область, Всеволожский район</t>
        </is>
      </c>
      <c r="B712" t="inlineStr">
        <is>
          <t>Ленинградская обл, Новое Девяткино д, -, 21Б</t>
        </is>
      </c>
      <c r="C712" t="inlineStr">
        <is>
          <t>sale</t>
        </is>
      </c>
      <c r="D712" t="inlineStr"/>
      <c r="E712" t="inlineStr">
        <is>
          <t>Да</t>
        </is>
      </c>
      <c r="F712" t="inlineStr"/>
      <c r="G712" t="inlineStr"/>
      <c r="H712" t="inlineStr">
        <is>
          <t>593.2</t>
        </is>
      </c>
      <c r="I712" t="inlineStr"/>
      <c r="J712" t="inlineStr"/>
      <c r="K712" t="inlineStr">
        <is>
          <t>75 000 000</t>
        </is>
      </c>
      <c r="L712" t="inlineStr"/>
      <c r="M712" t="inlineStr"/>
      <c r="N712" t="inlineStr">
        <is>
          <t>Нет у нас</t>
        </is>
      </c>
      <c r="O712" t="inlineStr"/>
      <c r="P712" t="inlineStr"/>
      <c r="Q712" t="inlineStr"/>
      <c r="R712">
        <f>HYPERLINK("https://nordwestinvest.ru/real-estates/prodaza-svetofor-kb-s-zemelnym-ucastkom","ссылка")</f>
        <v/>
      </c>
      <c r="S712" t="inlineStr"/>
    </row>
    <row r="713">
      <c r="A713" t="inlineStr">
        <is>
          <t>Ленинградская область, Всеволожский район</t>
        </is>
      </c>
      <c r="B713" t="inlineStr">
        <is>
          <t>Ленинградская обл, Новое Девяткино д, -, 54</t>
        </is>
      </c>
      <c r="C713" t="inlineStr">
        <is>
          <t>sale</t>
        </is>
      </c>
      <c r="D713" t="inlineStr"/>
      <c r="E713" t="inlineStr">
        <is>
          <t>Да</t>
        </is>
      </c>
      <c r="F713" t="inlineStr"/>
      <c r="G713" t="inlineStr"/>
      <c r="H713" t="inlineStr">
        <is>
          <t>866.6</t>
        </is>
      </c>
      <c r="I713" t="inlineStr"/>
      <c r="J713" t="inlineStr"/>
      <c r="K713" t="inlineStr">
        <is>
          <t>125 000 000</t>
        </is>
      </c>
      <c r="L713" t="inlineStr"/>
      <c r="M713" t="inlineStr"/>
      <c r="N713" t="inlineStr">
        <is>
          <t>Нет у нас</t>
        </is>
      </c>
      <c r="O713" t="inlineStr"/>
      <c r="P713" t="inlineStr"/>
      <c r="Q713" t="inlineStr"/>
      <c r="R713">
        <f>HYPERLINK("https://nordwestinvest.ru/real-estates/prodaza-zdaniia","ссылка")</f>
        <v/>
      </c>
      <c r="S713" t="inlineStr"/>
    </row>
    <row r="714">
      <c r="A714" t="inlineStr">
        <is>
          <t>Ленинградская область, Всеволожский район</t>
        </is>
      </c>
      <c r="B714" t="inlineStr">
        <is>
          <t>Ленинградская обл, Новое Девяткино д, Флотская ул, 4</t>
        </is>
      </c>
      <c r="C714" t="inlineStr">
        <is>
          <t>sale</t>
        </is>
      </c>
      <c r="D714" t="inlineStr"/>
      <c r="E714" t="inlineStr">
        <is>
          <t>Да</t>
        </is>
      </c>
      <c r="F714" t="inlineStr"/>
      <c r="G714" t="inlineStr"/>
      <c r="H714" t="inlineStr">
        <is>
          <t>1500</t>
        </is>
      </c>
      <c r="I714" t="inlineStr"/>
      <c r="J714" t="inlineStr"/>
      <c r="K714" t="inlineStr">
        <is>
          <t>16 000 000</t>
        </is>
      </c>
      <c r="L714" t="inlineStr"/>
      <c r="M714" t="inlineStr"/>
      <c r="N714" t="inlineStr">
        <is>
          <t>Нет у нас</t>
        </is>
      </c>
      <c r="O714" t="inlineStr"/>
      <c r="P714" t="inlineStr"/>
      <c r="Q714" t="inlineStr"/>
      <c r="R714">
        <f>HYPERLINK("https://nordwestinvest.ru/real-estates/prodaza-zu-v-d-novoe-deviatkino-15-sotok-1","ссылка")</f>
        <v/>
      </c>
      <c r="S714" t="inlineStr"/>
    </row>
    <row r="715">
      <c r="A715" t="inlineStr">
        <is>
          <t>Ленинградская область, Всеволожский район</t>
        </is>
      </c>
      <c r="B715" t="inlineStr">
        <is>
          <t>Ленинградская обл, Новое Девяткино д, Школьная ул, -</t>
        </is>
      </c>
      <c r="C715" t="inlineStr">
        <is>
          <t>sale</t>
        </is>
      </c>
      <c r="D715" t="inlineStr"/>
      <c r="E715" t="inlineStr">
        <is>
          <t>Да</t>
        </is>
      </c>
      <c r="F715" t="inlineStr"/>
      <c r="G715" t="inlineStr"/>
      <c r="H715" t="inlineStr">
        <is>
          <t>1306</t>
        </is>
      </c>
      <c r="I715" t="inlineStr"/>
      <c r="J715" t="inlineStr"/>
      <c r="K715" t="inlineStr">
        <is>
          <t>21 000 000</t>
        </is>
      </c>
      <c r="L715" t="inlineStr"/>
      <c r="M715" t="inlineStr"/>
      <c r="N715" t="inlineStr">
        <is>
          <t>Нет у нас</t>
        </is>
      </c>
      <c r="O715" t="inlineStr"/>
      <c r="P715" t="inlineStr"/>
      <c r="Q715" t="inlineStr"/>
      <c r="R715">
        <f>HYPERLINK("https://nordwestinvest.ru/real-estates/prodaza-zu-v-novoe-deviatkino-2","ссылка")</f>
        <v/>
      </c>
      <c r="S715" t="inlineStr"/>
    </row>
    <row r="716">
      <c r="A716" t="inlineStr">
        <is>
          <t>Ленинградская область, Всеволожский район</t>
        </is>
      </c>
      <c r="B716" t="inlineStr">
        <is>
          <t>Ленинградская обл, Новосаратовка д, 41К-078, 168/2</t>
        </is>
      </c>
      <c r="C716" t="inlineStr">
        <is>
          <t>sale</t>
        </is>
      </c>
      <c r="D716" t="inlineStr"/>
      <c r="E716" t="inlineStr">
        <is>
          <t>Да</t>
        </is>
      </c>
      <c r="F716" t="inlineStr"/>
      <c r="G716" t="inlineStr"/>
      <c r="H716" t="inlineStr">
        <is>
          <t>163897</t>
        </is>
      </c>
      <c r="I716" t="inlineStr"/>
      <c r="J716" t="inlineStr"/>
      <c r="K716" t="inlineStr">
        <is>
          <t>1 300 000 000</t>
        </is>
      </c>
      <c r="L716" t="inlineStr"/>
      <c r="M716" t="inlineStr"/>
      <c r="N716" t="inlineStr">
        <is>
          <t>Нет у нас</t>
        </is>
      </c>
      <c r="O716" t="inlineStr"/>
      <c r="P716" t="inlineStr"/>
      <c r="Q716" t="inlineStr"/>
      <c r="R716">
        <f>HYPERLINK("https://nordwestinvest.ru/real-estates/prodaza-zemelnogo-ucastka-164-000-kvm","ссылка")</f>
        <v/>
      </c>
      <c r="S716" t="inlineStr"/>
    </row>
    <row r="717">
      <c r="A717" t="inlineStr">
        <is>
          <t>Ленинградская область, Всеволожский район</t>
        </is>
      </c>
      <c r="B717" t="inlineStr">
        <is>
          <t>Ленинградская обл, Порошкино д, 1-й пер, 1</t>
        </is>
      </c>
      <c r="C717" t="inlineStr">
        <is>
          <t>sale</t>
        </is>
      </c>
      <c r="D717" t="inlineStr"/>
      <c r="E717" t="inlineStr">
        <is>
          <t>Да</t>
        </is>
      </c>
      <c r="F717" t="inlineStr"/>
      <c r="G717" t="inlineStr"/>
      <c r="H717" t="inlineStr">
        <is>
          <t>662</t>
        </is>
      </c>
      <c r="I717" t="inlineStr"/>
      <c r="J717" t="inlineStr"/>
      <c r="K717" t="inlineStr">
        <is>
          <t>35 000 000</t>
        </is>
      </c>
      <c r="L717" t="inlineStr"/>
      <c r="M717" t="inlineStr"/>
      <c r="N717" t="inlineStr">
        <is>
          <t>Нет у нас</t>
        </is>
      </c>
      <c r="O717" t="inlineStr"/>
      <c r="P717" t="inlineStr"/>
      <c r="Q717" t="inlineStr"/>
      <c r="R717">
        <f>HYPERLINK("https://nordwestinvest.ru/real-estates/prodaza-svetofor-kb-s-zemelnym-ucastkom-1","ссылка")</f>
        <v/>
      </c>
      <c r="S717" t="inlineStr"/>
    </row>
    <row r="718">
      <c r="A718" t="inlineStr">
        <is>
          <t>Ленинградская область, Всеволожский район</t>
        </is>
      </c>
      <c r="B718" t="inlineStr">
        <is>
          <t>Ленинградская обл, Порошкино д, на Мендсары, 10</t>
        </is>
      </c>
      <c r="C718" t="inlineStr">
        <is>
          <t>sale</t>
        </is>
      </c>
      <c r="D718" t="inlineStr"/>
      <c r="E718" t="inlineStr">
        <is>
          <t>Да</t>
        </is>
      </c>
      <c r="F718" t="inlineStr"/>
      <c r="G718" t="inlineStr"/>
      <c r="H718" t="inlineStr">
        <is>
          <t>8000</t>
        </is>
      </c>
      <c r="I718" t="inlineStr"/>
      <c r="J718" t="inlineStr"/>
      <c r="K718" t="inlineStr">
        <is>
          <t>55 000 000</t>
        </is>
      </c>
      <c r="L718" t="inlineStr"/>
      <c r="M718" t="inlineStr"/>
      <c r="N718" t="inlineStr">
        <is>
          <t>Нет у нас</t>
        </is>
      </c>
      <c r="O718" t="inlineStr"/>
      <c r="P718" t="inlineStr"/>
      <c r="Q718" t="inlineStr"/>
      <c r="R718">
        <f>HYPERLINK("https://nordwestinvest.ru/real-estates/arenda-zemelnogo-ucastka-80-sot-1","ссылка")</f>
        <v/>
      </c>
      <c r="S718" t="inlineStr"/>
    </row>
    <row r="719">
      <c r="A719" t="inlineStr">
        <is>
          <t>Ленинградская область, Всеволожский район</t>
        </is>
      </c>
      <c r="B719" t="inlineStr">
        <is>
          <t>Ленинградская обл, Проба д, Пробинское ш, 28</t>
        </is>
      </c>
      <c r="C719" t="inlineStr">
        <is>
          <t>sale</t>
        </is>
      </c>
      <c r="D719" t="inlineStr"/>
      <c r="E719" t="inlineStr">
        <is>
          <t>Да</t>
        </is>
      </c>
      <c r="F719" t="inlineStr"/>
      <c r="G719" t="inlineStr"/>
      <c r="H719" t="inlineStr">
        <is>
          <t>700</t>
        </is>
      </c>
      <c r="I719" t="inlineStr"/>
      <c r="J719" t="inlineStr"/>
      <c r="K719" t="inlineStr">
        <is>
          <t>20 000 001</t>
        </is>
      </c>
      <c r="L719" t="inlineStr"/>
      <c r="M719" t="inlineStr"/>
      <c r="N719" t="inlineStr">
        <is>
          <t>Нет у нас</t>
        </is>
      </c>
      <c r="O719" t="inlineStr"/>
      <c r="P719" t="inlineStr"/>
      <c r="Q719" t="inlineStr"/>
      <c r="R719">
        <f>HYPERLINK("https://nordwestinvest.ru/real-estates/prodaza-zemelnogo-ucastka-700-s-zdaniem","ссылка")</f>
        <v/>
      </c>
      <c r="S719" t="inlineStr"/>
    </row>
    <row r="720">
      <c r="A720" t="inlineStr">
        <is>
          <t>Ленинградская область, Всеволожский район</t>
        </is>
      </c>
      <c r="B720" t="inlineStr">
        <is>
          <t>Ленинградская обл, Разметелево д, Колтушское шоссе, -</t>
        </is>
      </c>
      <c r="C720" t="inlineStr">
        <is>
          <t>sale</t>
        </is>
      </c>
      <c r="D720" t="inlineStr"/>
      <c r="E720" t="inlineStr">
        <is>
          <t>Да</t>
        </is>
      </c>
      <c r="F720" t="inlineStr"/>
      <c r="G720" t="inlineStr"/>
      <c r="H720" t="inlineStr">
        <is>
          <t>11760</t>
        </is>
      </c>
      <c r="I720" t="inlineStr"/>
      <c r="J720" t="inlineStr"/>
      <c r="K720" t="inlineStr">
        <is>
          <t>30 000 000</t>
        </is>
      </c>
      <c r="L720" t="inlineStr"/>
      <c r="M720" t="inlineStr"/>
      <c r="N720" t="inlineStr">
        <is>
          <t>Нет у нас</t>
        </is>
      </c>
      <c r="O720" t="inlineStr"/>
      <c r="P720" t="inlineStr"/>
      <c r="Q720" t="inlineStr"/>
      <c r="R720">
        <f>HYPERLINK("https://nordwestinvest.ru/real-estates/prodaza-zu-v-razmetelevo-117-ga","ссылка")</f>
        <v/>
      </c>
      <c r="S720" t="inlineStr"/>
    </row>
    <row r="721">
      <c r="A721" t="inlineStr">
        <is>
          <t>Ленинградская область, Всеволожский район</t>
        </is>
      </c>
      <c r="B721" t="inlineStr">
        <is>
          <t>Ленинградская обл, Разметелево д, Колтушское шоссе, -</t>
        </is>
      </c>
      <c r="C721" t="inlineStr">
        <is>
          <t>sale</t>
        </is>
      </c>
      <c r="D721" t="inlineStr"/>
      <c r="E721" t="inlineStr">
        <is>
          <t>Да</t>
        </is>
      </c>
      <c r="F721" t="inlineStr"/>
      <c r="G721" t="inlineStr"/>
      <c r="H721" t="inlineStr">
        <is>
          <t>6714</t>
        </is>
      </c>
      <c r="I721" t="inlineStr"/>
      <c r="J721" t="inlineStr"/>
      <c r="K721" t="inlineStr">
        <is>
          <t>15 000 000</t>
        </is>
      </c>
      <c r="L721" t="inlineStr"/>
      <c r="M721" t="inlineStr"/>
      <c r="N721" t="inlineStr">
        <is>
          <t>Нет у нас</t>
        </is>
      </c>
      <c r="O721" t="inlineStr"/>
      <c r="P721" t="inlineStr"/>
      <c r="Q721" t="inlineStr"/>
      <c r="R721">
        <f>HYPERLINK("https://nordwestinvest.ru/real-estates/prodaza-zu-v-razmetelevo-67-sotok","ссылка")</f>
        <v/>
      </c>
      <c r="S721" t="inlineStr"/>
    </row>
    <row r="722">
      <c r="A722" t="inlineStr">
        <is>
          <t>Ленинградская область, Всеволожский район</t>
        </is>
      </c>
      <c r="B722" t="inlineStr">
        <is>
          <t>Ленинградская обл, Разметелево д, Колтушское шоссе, -</t>
        </is>
      </c>
      <c r="C722" t="inlineStr">
        <is>
          <t>sale</t>
        </is>
      </c>
      <c r="D722" t="inlineStr"/>
      <c r="E722" t="inlineStr">
        <is>
          <t>Да</t>
        </is>
      </c>
      <c r="F722" t="inlineStr"/>
      <c r="G722" t="inlineStr"/>
      <c r="H722" t="inlineStr">
        <is>
          <t>5046</t>
        </is>
      </c>
      <c r="I722" t="inlineStr"/>
      <c r="J722" t="inlineStr"/>
      <c r="K722" t="inlineStr">
        <is>
          <t>15 000 000</t>
        </is>
      </c>
      <c r="L722" t="inlineStr"/>
      <c r="M722" t="inlineStr"/>
      <c r="N722" t="inlineStr">
        <is>
          <t>Нет у нас</t>
        </is>
      </c>
      <c r="O722" t="inlineStr"/>
      <c r="P722" t="inlineStr"/>
      <c r="Q722" t="inlineStr"/>
      <c r="R722">
        <f>HYPERLINK("https://nordwestinvest.ru/real-estates/prodaza-zu-v-razmetelevo-50-sotok","ссылка")</f>
        <v/>
      </c>
      <c r="S722" t="inlineStr"/>
    </row>
    <row r="723">
      <c r="A723" t="inlineStr">
        <is>
          <t>Ленинградская область, Всеволожский район</t>
        </is>
      </c>
      <c r="B723" t="inlineStr">
        <is>
          <t>Ленинградская обл, Сертолово рп, Съезд с пешеходным переходом, 4</t>
        </is>
      </c>
      <c r="C723" t="inlineStr">
        <is>
          <t>sale</t>
        </is>
      </c>
      <c r="D723" t="inlineStr"/>
      <c r="E723" t="inlineStr">
        <is>
          <t>Да</t>
        </is>
      </c>
      <c r="F723" t="inlineStr"/>
      <c r="G723" t="inlineStr"/>
      <c r="H723" t="inlineStr">
        <is>
          <t>706</t>
        </is>
      </c>
      <c r="I723" t="inlineStr"/>
      <c r="J723" t="inlineStr"/>
      <c r="K723" t="inlineStr">
        <is>
          <t>40 000 000</t>
        </is>
      </c>
      <c r="L723" t="inlineStr"/>
      <c r="M723" t="inlineStr"/>
      <c r="N723" t="inlineStr">
        <is>
          <t>Нет у нас</t>
        </is>
      </c>
      <c r="O723" t="inlineStr"/>
      <c r="P723" t="inlineStr"/>
      <c r="Q723" t="inlineStr"/>
      <c r="R723">
        <f>HYPERLINK("https://nordwestinvest.ru/real-estates/prodaza-zdaniia-s-arendatorami-i-zemuc","ссылка")</f>
        <v/>
      </c>
      <c r="S723" t="inlineStr"/>
    </row>
    <row r="724">
      <c r="A724" t="inlineStr">
        <is>
          <t>Ленинградская область, Всеволожский район</t>
        </is>
      </c>
      <c r="B724" t="inlineStr">
        <is>
          <t>Ленинградская обл, Скотное д, -, 1</t>
        </is>
      </c>
      <c r="C724" t="inlineStr">
        <is>
          <t>sale</t>
        </is>
      </c>
      <c r="D724" t="inlineStr"/>
      <c r="E724" t="inlineStr">
        <is>
          <t>Да</t>
        </is>
      </c>
      <c r="F724" t="inlineStr"/>
      <c r="G724" t="inlineStr"/>
      <c r="H724" t="inlineStr">
        <is>
          <t>58615</t>
        </is>
      </c>
      <c r="I724" t="inlineStr"/>
      <c r="J724" t="inlineStr"/>
      <c r="K724" t="inlineStr">
        <is>
          <t>180 000 000</t>
        </is>
      </c>
      <c r="L724" t="inlineStr"/>
      <c r="M724" t="inlineStr"/>
      <c r="N724" t="inlineStr">
        <is>
          <t>Нет у нас</t>
        </is>
      </c>
      <c r="O724" t="inlineStr"/>
      <c r="P724" t="inlineStr"/>
      <c r="Q724" t="inlineStr"/>
      <c r="R724">
        <f>HYPERLINK("https://nordwestinvest.ru/real-estates/prodaza-zu-58615-kvm-2","ссылка")</f>
        <v/>
      </c>
      <c r="S724" t="inlineStr"/>
    </row>
    <row r="725">
      <c r="A725" t="inlineStr">
        <is>
          <t>Ленинградская область, Всеволожский район</t>
        </is>
      </c>
      <c r="B725" t="inlineStr">
        <is>
          <t>Ленинградская обл, Токсово гп, -, -</t>
        </is>
      </c>
      <c r="C725" t="inlineStr">
        <is>
          <t>sale</t>
        </is>
      </c>
      <c r="D725" t="inlineStr"/>
      <c r="E725" t="inlineStr">
        <is>
          <t>Да</t>
        </is>
      </c>
      <c r="F725" t="inlineStr"/>
      <c r="G725" t="inlineStr"/>
      <c r="H725" t="inlineStr">
        <is>
          <t>40000</t>
        </is>
      </c>
      <c r="I725" t="inlineStr"/>
      <c r="J725" t="inlineStr"/>
      <c r="K725" t="inlineStr">
        <is>
          <t>300 000 000</t>
        </is>
      </c>
      <c r="L725" t="inlineStr"/>
      <c r="M725" t="inlineStr"/>
      <c r="N725" t="inlineStr">
        <is>
          <t>Нет у нас</t>
        </is>
      </c>
      <c r="O725" t="inlineStr"/>
      <c r="P725" t="inlineStr"/>
      <c r="Q725" t="inlineStr"/>
      <c r="R725">
        <f>HYPERLINK("https://nordwestinvest.ru/real-estates/prodaza-zemelnogo-ucastka-gptoksovo","ссылка")</f>
        <v/>
      </c>
      <c r="S725" t="inlineStr"/>
    </row>
    <row r="726">
      <c r="A726" t="inlineStr">
        <is>
          <t>Ленинградская область, Всеволожский район</t>
        </is>
      </c>
      <c r="B726" t="inlineStr">
        <is>
          <t>Ленинградская обл, Токсово гп, Ленинградское ш, -</t>
        </is>
      </c>
      <c r="C726" t="inlineStr">
        <is>
          <t>sale</t>
        </is>
      </c>
      <c r="D726" t="inlineStr"/>
      <c r="E726" t="inlineStr">
        <is>
          <t>Да</t>
        </is>
      </c>
      <c r="F726" t="inlineStr"/>
      <c r="G726" t="inlineStr"/>
      <c r="H726" t="inlineStr">
        <is>
          <t>1500</t>
        </is>
      </c>
      <c r="I726" t="inlineStr"/>
      <c r="J726" t="inlineStr"/>
      <c r="K726" t="inlineStr">
        <is>
          <t>150 000 000</t>
        </is>
      </c>
      <c r="L726" t="inlineStr"/>
      <c r="M726" t="inlineStr"/>
      <c r="N726" t="inlineStr">
        <is>
          <t>Нет у нас</t>
        </is>
      </c>
      <c r="O726" t="inlineStr"/>
      <c r="P726" t="inlineStr"/>
      <c r="Q726" t="inlineStr"/>
      <c r="R726">
        <f>HYPERLINK("https://nordwestinvest.ru/real-estates/prodaza-skladskogo-zdaniia-1500-m2-1","ссылка")</f>
        <v/>
      </c>
      <c r="S726" t="inlineStr"/>
    </row>
    <row r="727">
      <c r="A727" t="inlineStr">
        <is>
          <t>Ленинградская область, Всеволожский район</t>
        </is>
      </c>
      <c r="B727" t="inlineStr">
        <is>
          <t>Ленинградская обл, Токсово гп, Ленинградское ш, -</t>
        </is>
      </c>
      <c r="C727" t="inlineStr">
        <is>
          <t>sale</t>
        </is>
      </c>
      <c r="D727" t="inlineStr"/>
      <c r="E727" t="inlineStr">
        <is>
          <t>Да</t>
        </is>
      </c>
      <c r="F727" t="inlineStr"/>
      <c r="G727" t="inlineStr"/>
      <c r="H727" t="inlineStr">
        <is>
          <t>3000</t>
        </is>
      </c>
      <c r="I727" t="inlineStr"/>
      <c r="J727" t="inlineStr"/>
      <c r="K727" t="inlineStr">
        <is>
          <t>300 000 000</t>
        </is>
      </c>
      <c r="L727" t="inlineStr"/>
      <c r="M727" t="inlineStr"/>
      <c r="N727" t="inlineStr">
        <is>
          <t>Нет у нас</t>
        </is>
      </c>
      <c r="O727" t="inlineStr"/>
      <c r="P727" t="inlineStr"/>
      <c r="Q727" t="inlineStr"/>
      <c r="R727">
        <f>HYPERLINK("https://nordwestinvest.ru/real-estates/prodaza-2-x-skladskix-zdanii-1","ссылка")</f>
        <v/>
      </c>
      <c r="S727" t="inlineStr"/>
    </row>
    <row r="728">
      <c r="A728" t="inlineStr">
        <is>
          <t>Ленинградская область, Всеволожский район</t>
        </is>
      </c>
      <c r="B728" t="inlineStr">
        <is>
          <t>Ленинградская обл, Токсово гп, Советов ул, -</t>
        </is>
      </c>
      <c r="C728" t="inlineStr">
        <is>
          <t>sale</t>
        </is>
      </c>
      <c r="D728" t="inlineStr"/>
      <c r="E728" t="inlineStr">
        <is>
          <t>Да</t>
        </is>
      </c>
      <c r="F728" t="inlineStr"/>
      <c r="G728" t="inlineStr"/>
      <c r="H728" t="inlineStr">
        <is>
          <t>605</t>
        </is>
      </c>
      <c r="I728" t="inlineStr"/>
      <c r="J728" t="inlineStr"/>
      <c r="K728" t="inlineStr">
        <is>
          <t>5 900 000</t>
        </is>
      </c>
      <c r="L728" t="inlineStr"/>
      <c r="M728" t="inlineStr"/>
      <c r="N728" t="inlineStr">
        <is>
          <t>Нет у нас</t>
        </is>
      </c>
      <c r="O728" t="inlineStr"/>
      <c r="P728" t="inlineStr"/>
      <c r="Q728" t="inlineStr"/>
      <c r="R728">
        <f>HYPERLINK("https://nordwestinvest.ru/real-estates/prodaza-zu-v-toksovo-dlia-nto","ссылка")</f>
        <v/>
      </c>
      <c r="S728" t="inlineStr"/>
    </row>
    <row r="729">
      <c r="A729" t="inlineStr">
        <is>
          <t>Ленинградская область, Всеволожский район</t>
        </is>
      </c>
      <c r="B729" t="inlineStr">
        <is>
          <t>Ленинградская обл, Хиттолово д, -, -</t>
        </is>
      </c>
      <c r="C729" t="inlineStr">
        <is>
          <t>sale</t>
        </is>
      </c>
      <c r="D729" t="inlineStr"/>
      <c r="E729" t="inlineStr">
        <is>
          <t>Да</t>
        </is>
      </c>
      <c r="F729" t="inlineStr"/>
      <c r="G729" t="inlineStr"/>
      <c r="H729" t="inlineStr">
        <is>
          <t>538.8</t>
        </is>
      </c>
      <c r="I729" t="inlineStr"/>
      <c r="J729" t="inlineStr"/>
      <c r="K729" t="inlineStr">
        <is>
          <t>92 000 000</t>
        </is>
      </c>
      <c r="L729" t="inlineStr"/>
      <c r="M729" t="inlineStr"/>
      <c r="N729" t="inlineStr">
        <is>
          <t>Нет у нас</t>
        </is>
      </c>
      <c r="O729" t="inlineStr"/>
      <c r="P729" t="inlineStr"/>
      <c r="Q729" t="inlineStr"/>
      <c r="R729">
        <f>HYPERLINK("https://nordwestinvest.ru/real-estates/prodaza-zdaniia-zu-s-arendatorom-piaterocka","ссылка")</f>
        <v/>
      </c>
      <c r="S729" t="inlineStr"/>
    </row>
    <row r="730">
      <c r="A730" t="inlineStr">
        <is>
          <t>Ленинградская область, Всеволожский район</t>
        </is>
      </c>
      <c r="B730" t="inlineStr">
        <is>
          <t>Ленинградская обл, Щеглово массив, -, -</t>
        </is>
      </c>
      <c r="C730" t="inlineStr">
        <is>
          <t>sale</t>
        </is>
      </c>
      <c r="D730" t="inlineStr"/>
      <c r="E730" t="inlineStr">
        <is>
          <t>Да</t>
        </is>
      </c>
      <c r="F730" t="inlineStr"/>
      <c r="G730" t="inlineStr"/>
      <c r="H730" t="inlineStr">
        <is>
          <t>353313</t>
        </is>
      </c>
      <c r="I730" t="inlineStr"/>
      <c r="J730" t="inlineStr"/>
      <c r="K730" t="inlineStr">
        <is>
          <t>570 000 000</t>
        </is>
      </c>
      <c r="L730" t="inlineStr"/>
      <c r="M730" t="inlineStr"/>
      <c r="N730" t="inlineStr">
        <is>
          <t>Нет у нас</t>
        </is>
      </c>
      <c r="O730" t="inlineStr"/>
      <c r="P730" t="inlineStr"/>
      <c r="Q730" t="inlineStr"/>
      <c r="R730">
        <f>HYPERLINK("https://nordwestinvest.ru/real-estates/prodaza-zemelnyi-ucastkov-pod-ziluiu-zastroiku","ссылка")</f>
        <v/>
      </c>
      <c r="S730" t="inlineStr"/>
    </row>
    <row r="731">
      <c r="A731" t="inlineStr">
        <is>
          <t>Ленинградская область, Всеволожский район</t>
        </is>
      </c>
      <c r="B731" t="inlineStr">
        <is>
          <t>Ленинградская обл, Янила Кантри (гп Янино-1) мкр, Тюльпанов ул, 2</t>
        </is>
      </c>
      <c r="C731" t="inlineStr">
        <is>
          <t>sale</t>
        </is>
      </c>
      <c r="D731" t="inlineStr"/>
      <c r="E731" t="inlineStr">
        <is>
          <t>Да</t>
        </is>
      </c>
      <c r="F731" t="inlineStr"/>
      <c r="G731" t="inlineStr"/>
      <c r="H731" t="inlineStr">
        <is>
          <t>115.3</t>
        </is>
      </c>
      <c r="I731" t="inlineStr"/>
      <c r="J731" t="inlineStr"/>
      <c r="K731" t="inlineStr">
        <is>
          <t>22 000 000</t>
        </is>
      </c>
      <c r="L731" t="inlineStr"/>
      <c r="M731" t="inlineStr"/>
      <c r="N731" t="inlineStr">
        <is>
          <t>Совпало</t>
        </is>
      </c>
      <c r="O731" t="inlineStr"/>
      <c r="P731" t="inlineStr"/>
      <c r="Q731" t="inlineStr"/>
      <c r="R731">
        <f>HYPERLINK("https://nordwestinvest.ru/real-estates/prodaza-s-arendatorom-krasnoe-i-beloe-1","ссылка")</f>
        <v/>
      </c>
      <c r="S731" t="inlineStr"/>
    </row>
    <row r="732">
      <c r="A732" t="inlineStr">
        <is>
          <t>Ленинградская область, Всеволожский район</t>
        </is>
      </c>
      <c r="B732" t="inlineStr">
        <is>
          <t>Ленинградская обл, Янино-1 гп, Голландская ул, 9</t>
        </is>
      </c>
      <c r="C732" t="inlineStr">
        <is>
          <t>sale</t>
        </is>
      </c>
      <c r="D732" t="inlineStr"/>
      <c r="E732" t="inlineStr">
        <is>
          <t>Да</t>
        </is>
      </c>
      <c r="F732" t="inlineStr"/>
      <c r="G732" t="inlineStr"/>
      <c r="H732" t="inlineStr">
        <is>
          <t>97.9</t>
        </is>
      </c>
      <c r="I732" t="inlineStr"/>
      <c r="J732" t="inlineStr"/>
      <c r="K732" t="inlineStr">
        <is>
          <t>28 000 000</t>
        </is>
      </c>
      <c r="L732" t="inlineStr"/>
      <c r="M732" t="inlineStr"/>
      <c r="N732" t="inlineStr">
        <is>
          <t>Нет у нас</t>
        </is>
      </c>
      <c r="O732" t="inlineStr"/>
      <c r="P732" t="inlineStr"/>
      <c r="Q732" t="inlineStr"/>
      <c r="R732">
        <f>HYPERLINK("https://nordwestinvest.ru/real-estates/prodaza-dver-v-dver-s-piaterockoi-979m2-1","ссылка")</f>
        <v/>
      </c>
      <c r="S732" t="inlineStr"/>
    </row>
    <row r="733">
      <c r="A733" t="inlineStr">
        <is>
          <t>Ленинградская область, Всеволожский район</t>
        </is>
      </c>
      <c r="B733" t="inlineStr">
        <is>
          <t>Ленинградская обл, Янино-1 гп, Колтушское ш, -</t>
        </is>
      </c>
      <c r="C733" t="inlineStr">
        <is>
          <t>sale</t>
        </is>
      </c>
      <c r="D733" t="inlineStr"/>
      <c r="E733" t="inlineStr">
        <is>
          <t>Да</t>
        </is>
      </c>
      <c r="F733" t="inlineStr"/>
      <c r="G733" t="inlineStr"/>
      <c r="H733" t="inlineStr">
        <is>
          <t>30070</t>
        </is>
      </c>
      <c r="I733" t="inlineStr"/>
      <c r="J733" t="inlineStr"/>
      <c r="K733" t="inlineStr">
        <is>
          <t>132 000 000</t>
        </is>
      </c>
      <c r="L733" t="inlineStr"/>
      <c r="M733" t="inlineStr"/>
      <c r="N733" t="inlineStr">
        <is>
          <t>Нет у нас</t>
        </is>
      </c>
      <c r="O733" t="inlineStr"/>
      <c r="P733" t="inlineStr"/>
      <c r="Q733" t="inlineStr"/>
      <c r="R733">
        <f>HYPERLINK("https://nordwestinvest.ru/real-estates/zu-na-pervoi-linii-za-ianino-1","ссылка")</f>
        <v/>
      </c>
      <c r="S733" t="inlineStr"/>
    </row>
    <row r="734">
      <c r="A734" t="inlineStr">
        <is>
          <t>Ленинградская область, Всеволожский район</t>
        </is>
      </c>
      <c r="B734" t="inlineStr">
        <is>
          <t>Ленинградская обл, Янино-1 гп, Шоссейная ул, 10</t>
        </is>
      </c>
      <c r="C734" t="inlineStr">
        <is>
          <t>sale</t>
        </is>
      </c>
      <c r="D734" t="inlineStr"/>
      <c r="E734" t="inlineStr">
        <is>
          <t>Да</t>
        </is>
      </c>
      <c r="F734" t="inlineStr"/>
      <c r="G734" t="inlineStr"/>
      <c r="H734" t="inlineStr">
        <is>
          <t>210</t>
        </is>
      </c>
      <c r="I734" t="inlineStr"/>
      <c r="J734" t="inlineStr"/>
      <c r="K734" t="inlineStr">
        <is>
          <t>35 000 000</t>
        </is>
      </c>
      <c r="L734" t="inlineStr"/>
      <c r="M734" t="inlineStr"/>
      <c r="N734" t="inlineStr">
        <is>
          <t>Нет у нас</t>
        </is>
      </c>
      <c r="O734" t="inlineStr"/>
      <c r="P734" t="inlineStr"/>
      <c r="Q734" t="inlineStr"/>
      <c r="R734">
        <f>HYPERLINK("https://nordwestinvest.ru/real-estates/prodaza-biznesa-mobilnoi-azs-na-sieezde-s-kada","ссылка")</f>
        <v/>
      </c>
      <c r="S734" t="inlineStr"/>
    </row>
    <row r="735">
      <c r="A735" t="inlineStr">
        <is>
          <t>Ленинградская область, Выборгский район</t>
        </is>
      </c>
      <c r="B735" t="inlineStr">
        <is>
          <t>Ленинградская обл, Первомайское п, Загородная ул, -</t>
        </is>
      </c>
      <c r="C735" t="inlineStr">
        <is>
          <t>sale</t>
        </is>
      </c>
      <c r="D735" t="inlineStr"/>
      <c r="E735" t="inlineStr">
        <is>
          <t>Да</t>
        </is>
      </c>
      <c r="F735" t="inlineStr"/>
      <c r="G735" t="inlineStr"/>
      <c r="H735" t="inlineStr">
        <is>
          <t>4865</t>
        </is>
      </c>
      <c r="I735" t="inlineStr"/>
      <c r="J735" t="inlineStr"/>
      <c r="K735" t="inlineStr">
        <is>
          <t>15 000 000</t>
        </is>
      </c>
      <c r="L735" t="inlineStr"/>
      <c r="M735" t="inlineStr"/>
      <c r="N735" t="inlineStr">
        <is>
          <t>Нет у нас</t>
        </is>
      </c>
      <c r="O735" t="inlineStr"/>
      <c r="P735" t="inlineStr"/>
      <c r="Q735" t="inlineStr"/>
      <c r="R735">
        <f>HYPERLINK("https://nordwestinvest.ru/real-estates/prodaza-zemelnogo-ucastka-pod-magazin-1","ссылка")</f>
        <v/>
      </c>
      <c r="S735" t="inlineStr"/>
    </row>
    <row r="736">
      <c r="A736" t="inlineStr">
        <is>
          <t>Ленинградская область, Выборгский район</t>
        </is>
      </c>
      <c r="B736" t="inlineStr">
        <is>
          <t>Ленинградская обл, Первомайское п, Загородная ул, -</t>
        </is>
      </c>
      <c r="C736" t="inlineStr">
        <is>
          <t>sale</t>
        </is>
      </c>
      <c r="D736" t="inlineStr"/>
      <c r="E736" t="inlineStr">
        <is>
          <t>Да</t>
        </is>
      </c>
      <c r="F736" t="inlineStr"/>
      <c r="G736" t="inlineStr"/>
      <c r="H736" t="inlineStr">
        <is>
          <t>10049</t>
        </is>
      </c>
      <c r="I736" t="inlineStr"/>
      <c r="J736" t="inlineStr"/>
      <c r="K736" t="inlineStr">
        <is>
          <t>25 000 000</t>
        </is>
      </c>
      <c r="L736" t="inlineStr"/>
      <c r="M736" t="inlineStr"/>
      <c r="N736" t="inlineStr">
        <is>
          <t>Нет у нас</t>
        </is>
      </c>
      <c r="O736" t="inlineStr"/>
      <c r="P736" t="inlineStr"/>
      <c r="Q736" t="inlineStr"/>
      <c r="R736">
        <f>HYPERLINK("https://nordwestinvest.ru/real-estates/prodaza-zemelnogo-ucastka-pod-magazin","ссылка")</f>
        <v/>
      </c>
      <c r="S736" t="inlineStr"/>
    </row>
    <row r="737">
      <c r="A737" t="inlineStr">
        <is>
          <t>Ленинградская область, Выборгский район</t>
        </is>
      </c>
      <c r="B737" t="inlineStr">
        <is>
          <t>Ленинградская обл, Пески д, -, -</t>
        </is>
      </c>
      <c r="C737" t="inlineStr">
        <is>
          <t>sale</t>
        </is>
      </c>
      <c r="D737" t="inlineStr"/>
      <c r="E737" t="inlineStr">
        <is>
          <t>Да</t>
        </is>
      </c>
      <c r="F737" t="inlineStr"/>
      <c r="G737" t="inlineStr"/>
      <c r="H737" t="inlineStr">
        <is>
          <t>1082</t>
        </is>
      </c>
      <c r="I737" t="inlineStr"/>
      <c r="J737" t="inlineStr"/>
      <c r="K737" t="inlineStr">
        <is>
          <t>75 000 000</t>
        </is>
      </c>
      <c r="L737" t="inlineStr"/>
      <c r="M737" t="inlineStr"/>
      <c r="N737" t="inlineStr">
        <is>
          <t>Нет у нас</t>
        </is>
      </c>
      <c r="O737" t="inlineStr"/>
      <c r="P737" t="inlineStr"/>
      <c r="Q737" t="inlineStr"/>
      <c r="R737">
        <f>HYPERLINK("https://nordwestinvest.ru/real-estates/prodaza-skladskogo-pomeshheniia-promzona-peski","ссылка")</f>
        <v/>
      </c>
      <c r="S737" t="inlineStr"/>
    </row>
    <row r="738">
      <c r="A738" t="inlineStr">
        <is>
          <t>Ленинградская область, Выборгский район</t>
        </is>
      </c>
      <c r="B738" t="inlineStr">
        <is>
          <t>Ленинградская обл, Пески д, Победы ул, 21</t>
        </is>
      </c>
      <c r="C738" t="inlineStr">
        <is>
          <t>sale</t>
        </is>
      </c>
      <c r="D738" t="inlineStr"/>
      <c r="E738" t="inlineStr">
        <is>
          <t>Да</t>
        </is>
      </c>
      <c r="F738" t="inlineStr"/>
      <c r="G738" t="inlineStr"/>
      <c r="H738" t="inlineStr">
        <is>
          <t>1120</t>
        </is>
      </c>
      <c r="I738" t="inlineStr"/>
      <c r="J738" t="inlineStr"/>
      <c r="K738" t="inlineStr">
        <is>
          <t>88 000 000</t>
        </is>
      </c>
      <c r="L738" t="inlineStr"/>
      <c r="M738" t="inlineStr"/>
      <c r="N738" t="inlineStr">
        <is>
          <t>Нет у нас</t>
        </is>
      </c>
      <c r="O738" t="inlineStr"/>
      <c r="P738" t="inlineStr"/>
      <c r="Q738" t="inlineStr"/>
      <c r="R738">
        <f>HYPERLINK("https://nordwestinvest.ru/real-estates/prodaza-gab-proizvodstva-1120-m2","ссылка")</f>
        <v/>
      </c>
      <c r="S738" t="inlineStr"/>
    </row>
    <row r="739">
      <c r="A739" t="inlineStr">
        <is>
          <t>Ленинградская область, Выборгский район</t>
        </is>
      </c>
      <c r="B739" t="inlineStr">
        <is>
          <t>Ленинградская обл, Пески д, Складской пер, 30</t>
        </is>
      </c>
      <c r="C739" t="inlineStr">
        <is>
          <t>sale</t>
        </is>
      </c>
      <c r="D739" t="inlineStr"/>
      <c r="E739" t="inlineStr">
        <is>
          <t>Да</t>
        </is>
      </c>
      <c r="F739" t="inlineStr"/>
      <c r="G739" t="inlineStr"/>
      <c r="H739" t="inlineStr">
        <is>
          <t>2880</t>
        </is>
      </c>
      <c r="I739" t="inlineStr"/>
      <c r="J739" t="inlineStr"/>
      <c r="K739" t="inlineStr">
        <is>
          <t>210 000 000</t>
        </is>
      </c>
      <c r="L739" t="inlineStr"/>
      <c r="M739" t="inlineStr"/>
      <c r="N739" t="inlineStr">
        <is>
          <t>Нет у нас</t>
        </is>
      </c>
      <c r="O739" t="inlineStr"/>
      <c r="P739" t="inlineStr"/>
      <c r="Q739" t="inlineStr"/>
      <c r="R739">
        <f>HYPERLINK("https://nordwestinvest.ru/real-estates/prodaza-proizvodstvenno-skladskogo-kompleksa","ссылка")</f>
        <v/>
      </c>
      <c r="S739" t="inlineStr"/>
    </row>
    <row r="740">
      <c r="A740" t="inlineStr">
        <is>
          <t>Ленинградская область, Выборгский район</t>
        </is>
      </c>
      <c r="B740" t="inlineStr">
        <is>
          <t>Ленинградская обл, посёлок Пески, -, -</t>
        </is>
      </c>
      <c r="C740" t="inlineStr">
        <is>
          <t>sale</t>
        </is>
      </c>
      <c r="D740" t="inlineStr"/>
      <c r="E740" t="inlineStr">
        <is>
          <t>Да</t>
        </is>
      </c>
      <c r="F740" t="inlineStr"/>
      <c r="G740" t="inlineStr"/>
      <c r="H740" t="inlineStr">
        <is>
          <t>10000</t>
        </is>
      </c>
      <c r="I740" t="inlineStr"/>
      <c r="J740" t="inlineStr"/>
      <c r="K740" t="inlineStr">
        <is>
          <t>50 000 000</t>
        </is>
      </c>
      <c r="L740" t="inlineStr"/>
      <c r="M740" t="inlineStr"/>
      <c r="N740" t="inlineStr">
        <is>
          <t>Нет у нас</t>
        </is>
      </c>
      <c r="O740" t="inlineStr"/>
      <c r="P740" t="inlineStr"/>
      <c r="Q740" t="inlineStr"/>
      <c r="R740">
        <f>HYPERLINK("https://nordwestinvest.ru/real-estates/prodaza-zu-1-ga","ссылка")</f>
        <v/>
      </c>
      <c r="S740" t="inlineStr"/>
    </row>
    <row r="741">
      <c r="A741" t="inlineStr">
        <is>
          <t>Ленинградская область, Выборгский район</t>
        </is>
      </c>
      <c r="B741" t="inlineStr">
        <is>
          <t>Ленинградская обл, Промышленная зона Пески тер, Технологическая ул, 8</t>
        </is>
      </c>
      <c r="C741" t="inlineStr">
        <is>
          <t>sale</t>
        </is>
      </c>
      <c r="D741" t="inlineStr"/>
      <c r="E741" t="inlineStr">
        <is>
          <t>Да</t>
        </is>
      </c>
      <c r="F741" t="inlineStr"/>
      <c r="G741" t="inlineStr"/>
      <c r="H741" t="inlineStr">
        <is>
          <t>2193</t>
        </is>
      </c>
      <c r="I741" t="inlineStr"/>
      <c r="J741" t="inlineStr"/>
      <c r="K741" t="inlineStr">
        <is>
          <t>145 000 000</t>
        </is>
      </c>
      <c r="L741" t="inlineStr"/>
      <c r="M741" t="inlineStr"/>
      <c r="N741" t="inlineStr">
        <is>
          <t>Нет у нас</t>
        </is>
      </c>
      <c r="O741" t="inlineStr"/>
      <c r="P741" t="inlineStr"/>
      <c r="Q741" t="inlineStr"/>
      <c r="R741">
        <f>HYPERLINK("https://nordwestinvest.ru/real-estates/prodaza-skladskogo-pomeshheniia-promzona-peski-1","ссылка")</f>
        <v/>
      </c>
      <c r="S741" t="inlineStr"/>
    </row>
    <row r="742">
      <c r="A742" t="inlineStr">
        <is>
          <t>Ленинградская область, Гатчинский район</t>
        </is>
      </c>
      <c r="B742" t="inlineStr">
        <is>
          <t>Ленинградская обл, Войсковицы п, 41А-002, 1</t>
        </is>
      </c>
      <c r="C742" t="inlineStr">
        <is>
          <t>sale</t>
        </is>
      </c>
      <c r="D742" t="inlineStr"/>
      <c r="E742" t="inlineStr">
        <is>
          <t>Да</t>
        </is>
      </c>
      <c r="F742" t="inlineStr"/>
      <c r="G742" t="inlineStr"/>
      <c r="H742" t="inlineStr">
        <is>
          <t>9320</t>
        </is>
      </c>
      <c r="I742" t="inlineStr"/>
      <c r="J742" t="inlineStr"/>
      <c r="K742" t="inlineStr">
        <is>
          <t>410 000 000</t>
        </is>
      </c>
      <c r="L742" t="inlineStr"/>
      <c r="M742" t="inlineStr"/>
      <c r="N742" t="inlineStr">
        <is>
          <t>Нет у нас</t>
        </is>
      </c>
      <c r="O742" t="inlineStr"/>
      <c r="P742" t="inlineStr"/>
      <c r="Q742" t="inlineStr"/>
      <c r="R742">
        <f>HYPERLINK("https://nordwestinvest.ru/real-estates/prodaza-proizvodstvennogo-kompleksa-9320-m2","ссылка")</f>
        <v/>
      </c>
      <c r="S742" t="inlineStr"/>
    </row>
    <row r="743">
      <c r="A743" t="inlineStr">
        <is>
          <t>Ленинградская область, Гатчинский район</t>
        </is>
      </c>
      <c r="B743" t="inlineStr">
        <is>
          <t>Ленинградская обл, Гатчина г, Радищева ул, 22</t>
        </is>
      </c>
      <c r="C743" t="inlineStr">
        <is>
          <t>sale</t>
        </is>
      </c>
      <c r="D743" t="inlineStr"/>
      <c r="E743" t="inlineStr">
        <is>
          <t>Да</t>
        </is>
      </c>
      <c r="F743" t="inlineStr"/>
      <c r="G743" t="inlineStr"/>
      <c r="H743" t="inlineStr">
        <is>
          <t>242</t>
        </is>
      </c>
      <c r="I743" t="inlineStr"/>
      <c r="J743" t="inlineStr"/>
      <c r="K743" t="inlineStr">
        <is>
          <t>45 000 000</t>
        </is>
      </c>
      <c r="L743" t="inlineStr"/>
      <c r="M743" t="inlineStr"/>
      <c r="N743" t="inlineStr">
        <is>
          <t>Нет у нас</t>
        </is>
      </c>
      <c r="O743" t="inlineStr"/>
      <c r="P743" t="inlineStr"/>
      <c r="Q743" t="inlineStr"/>
      <c r="R743">
        <f>HYPERLINK("https://nordwestinvest.ru/real-estates/prodaza-s-nadeznym-arendatorom-apteka","ссылка")</f>
        <v/>
      </c>
      <c r="S743" t="inlineStr"/>
    </row>
    <row r="744">
      <c r="A744" t="inlineStr">
        <is>
          <t>Ленинградская область, Гатчинский район</t>
        </is>
      </c>
      <c r="B744" t="inlineStr">
        <is>
          <t>Ленинградская обл, Елизаветино п, Гатчинское ш, 15</t>
        </is>
      </c>
      <c r="C744" t="inlineStr">
        <is>
          <t>sale</t>
        </is>
      </c>
      <c r="D744" t="inlineStr"/>
      <c r="E744" t="inlineStr">
        <is>
          <t>Да</t>
        </is>
      </c>
      <c r="F744" t="inlineStr"/>
      <c r="G744" t="inlineStr"/>
      <c r="H744" t="inlineStr">
        <is>
          <t>2000</t>
        </is>
      </c>
      <c r="I744" t="inlineStr"/>
      <c r="J744" t="inlineStr"/>
      <c r="K744" t="inlineStr">
        <is>
          <t>17 000 000</t>
        </is>
      </c>
      <c r="L744" t="inlineStr"/>
      <c r="M744" t="inlineStr"/>
      <c r="N744" t="inlineStr">
        <is>
          <t>Нет у нас</t>
        </is>
      </c>
      <c r="O744" t="inlineStr"/>
      <c r="P744" t="inlineStr"/>
      <c r="Q744" t="inlineStr"/>
      <c r="R744">
        <f>HYPERLINK("https://nordwestinvest.ru/real-estates/prodaza-zu-pod-stroitelstvo-magazina-vernyi-1","ссылка")</f>
        <v/>
      </c>
      <c r="S744" t="inlineStr"/>
    </row>
    <row r="745">
      <c r="A745" t="inlineStr">
        <is>
          <t>Ленинградская область, Гатчинский район</t>
        </is>
      </c>
      <c r="B745" t="inlineStr">
        <is>
          <t>Ленинградская обл, Куровицы д, Вырицкий пр-кт, 165</t>
        </is>
      </c>
      <c r="C745" t="inlineStr">
        <is>
          <t>sale</t>
        </is>
      </c>
      <c r="D745" t="inlineStr"/>
      <c r="E745" t="inlineStr">
        <is>
          <t>Да</t>
        </is>
      </c>
      <c r="F745" t="inlineStr"/>
      <c r="G745" t="inlineStr"/>
      <c r="H745" t="inlineStr">
        <is>
          <t>818.7</t>
        </is>
      </c>
      <c r="I745" t="inlineStr"/>
      <c r="J745" t="inlineStr"/>
      <c r="K745" t="inlineStr">
        <is>
          <t>100 000 000</t>
        </is>
      </c>
      <c r="L745" t="inlineStr"/>
      <c r="M745" t="inlineStr"/>
      <c r="N745" t="inlineStr">
        <is>
          <t>Нет у нас</t>
        </is>
      </c>
      <c r="O745" t="inlineStr"/>
      <c r="P745" t="inlineStr"/>
      <c r="Q745" t="inlineStr"/>
      <c r="R745">
        <f>HYPERLINK("https://nordwestinvest.ru/real-estates/prodaza-sklada-s-zu-d-kurovicy","ссылка")</f>
        <v/>
      </c>
      <c r="S745" t="inlineStr"/>
    </row>
    <row r="746">
      <c r="A746" t="inlineStr">
        <is>
          <t>Ленинградская область, Гатчинский район</t>
        </is>
      </c>
      <c r="B746" t="inlineStr">
        <is>
          <t>Ленинградская обл, Малое Верево д, Р-23, 18Б</t>
        </is>
      </c>
      <c r="C746" t="inlineStr">
        <is>
          <t>sale</t>
        </is>
      </c>
      <c r="D746" t="inlineStr"/>
      <c r="E746" t="inlineStr">
        <is>
          <t>Да</t>
        </is>
      </c>
      <c r="F746" t="inlineStr"/>
      <c r="G746" t="inlineStr"/>
      <c r="H746" t="inlineStr">
        <is>
          <t>1183</t>
        </is>
      </c>
      <c r="I746" t="inlineStr"/>
      <c r="J746" t="inlineStr"/>
      <c r="K746" t="inlineStr">
        <is>
          <t>9 499 998</t>
        </is>
      </c>
      <c r="L746" t="inlineStr"/>
      <c r="M746" t="inlineStr"/>
      <c r="N746" t="inlineStr">
        <is>
          <t>Нет у нас</t>
        </is>
      </c>
      <c r="O746" t="inlineStr"/>
      <c r="P746" t="inlineStr"/>
      <c r="Q746" t="inlineStr"/>
      <c r="R746">
        <f>HYPERLINK("https://nordwestinvest.ru/real-estates/prodaza-zemelnogo-ucastka-1-183-s-domom","ссылка")</f>
        <v/>
      </c>
      <c r="S746" t="inlineStr"/>
    </row>
    <row r="747">
      <c r="A747" t="inlineStr">
        <is>
          <t>Ленинградская область, Гатчинский район</t>
        </is>
      </c>
      <c r="B747" t="inlineStr">
        <is>
          <t>Ленинградская обл, Мины д, Краснофлотская ул, 38</t>
        </is>
      </c>
      <c r="C747" t="inlineStr">
        <is>
          <t>sale</t>
        </is>
      </c>
      <c r="D747" t="inlineStr"/>
      <c r="E747" t="inlineStr">
        <is>
          <t>Да</t>
        </is>
      </c>
      <c r="F747" t="inlineStr"/>
      <c r="G747" t="inlineStr"/>
      <c r="H747" t="inlineStr">
        <is>
          <t>2209</t>
        </is>
      </c>
      <c r="I747" t="inlineStr"/>
      <c r="J747" t="inlineStr"/>
      <c r="K747" t="inlineStr">
        <is>
          <t>27 000 000</t>
        </is>
      </c>
      <c r="L747" t="inlineStr"/>
      <c r="M747" t="inlineStr"/>
      <c r="N747" t="inlineStr">
        <is>
          <t>Нет у нас</t>
        </is>
      </c>
      <c r="O747" t="inlineStr"/>
      <c r="P747" t="inlineStr"/>
      <c r="Q747" t="inlineStr"/>
      <c r="R747">
        <f>HYPERLINK("https://nordwestinvest.ru/real-estates/prodaza-zemelnogo-ucastka-pod-tk","ссылка")</f>
        <v/>
      </c>
      <c r="S747" t="inlineStr"/>
    </row>
    <row r="748">
      <c r="A748" t="inlineStr">
        <is>
          <t>Ленинградская область, Гатчинский район</t>
        </is>
      </c>
      <c r="B748" t="inlineStr">
        <is>
          <t>Ленинградская обл, Рождествено с, Большой пр-кт, 106Б</t>
        </is>
      </c>
      <c r="C748" t="inlineStr">
        <is>
          <t>sale</t>
        </is>
      </c>
      <c r="D748" t="inlineStr"/>
      <c r="E748" t="inlineStr">
        <is>
          <t>Да</t>
        </is>
      </c>
      <c r="F748" t="inlineStr"/>
      <c r="G748" t="inlineStr"/>
      <c r="H748" t="inlineStr">
        <is>
          <t>600</t>
        </is>
      </c>
      <c r="I748" t="inlineStr"/>
      <c r="J748" t="inlineStr"/>
      <c r="K748" t="inlineStr">
        <is>
          <t>120 000 000</t>
        </is>
      </c>
      <c r="L748" t="inlineStr"/>
      <c r="M748" t="inlineStr"/>
      <c r="N748" t="inlineStr">
        <is>
          <t>Нет у нас</t>
        </is>
      </c>
      <c r="O748" t="inlineStr"/>
      <c r="P748" t="inlineStr"/>
      <c r="Q748" t="inlineStr"/>
      <c r="R748">
        <f>HYPERLINK("https://nordwestinvest.ru/real-estates/prodaza-osz-s-arendatorom","ссылка")</f>
        <v/>
      </c>
      <c r="S748" t="inlineStr"/>
    </row>
    <row r="749">
      <c r="A749" t="inlineStr">
        <is>
          <t>Ленинградская область, Гатчинский район</t>
        </is>
      </c>
      <c r="B749" t="inlineStr">
        <is>
          <t>Ленинградская обл, Шпаньково д, Коммунальная ул, 3а</t>
        </is>
      </c>
      <c r="C749" t="inlineStr">
        <is>
          <t>sale</t>
        </is>
      </c>
      <c r="D749" t="inlineStr"/>
      <c r="E749" t="inlineStr">
        <is>
          <t>Да</t>
        </is>
      </c>
      <c r="F749" t="inlineStr"/>
      <c r="G749" t="inlineStr"/>
      <c r="H749" t="inlineStr">
        <is>
          <t>2000</t>
        </is>
      </c>
      <c r="I749" t="inlineStr"/>
      <c r="J749" t="inlineStr"/>
      <c r="K749" t="inlineStr">
        <is>
          <t>17 000 000</t>
        </is>
      </c>
      <c r="L749" t="inlineStr"/>
      <c r="M749" t="inlineStr"/>
      <c r="N749" t="inlineStr">
        <is>
          <t>Нет у нас</t>
        </is>
      </c>
      <c r="O749" t="inlineStr"/>
      <c r="P749" t="inlineStr"/>
      <c r="Q749" t="inlineStr"/>
      <c r="R749">
        <f>HYPERLINK("https://nordwestinvest.ru/real-estates/prodaza-zu-pod-stroitelstvo-magazina-vernyi","ссылка")</f>
        <v/>
      </c>
      <c r="S749" t="inlineStr"/>
    </row>
    <row r="750">
      <c r="A750" t="inlineStr">
        <is>
          <t>Ленинградская область, Кировский район</t>
        </is>
      </c>
      <c r="B750" t="inlineStr">
        <is>
          <t>Ленинградская обл, Мга гп, Железнодорожная ул, -</t>
        </is>
      </c>
      <c r="C750" t="inlineStr">
        <is>
          <t>sale</t>
        </is>
      </c>
      <c r="D750" t="inlineStr"/>
      <c r="E750" t="inlineStr">
        <is>
          <t>Да</t>
        </is>
      </c>
      <c r="F750" t="inlineStr"/>
      <c r="G750" t="inlineStr"/>
      <c r="H750" t="inlineStr">
        <is>
          <t>6000</t>
        </is>
      </c>
      <c r="I750" t="inlineStr"/>
      <c r="J750" t="inlineStr"/>
      <c r="K750" t="inlineStr">
        <is>
          <t>15 000 000</t>
        </is>
      </c>
      <c r="L750" t="inlineStr"/>
      <c r="M750" t="inlineStr"/>
      <c r="N750" t="inlineStr">
        <is>
          <t>Нет у нас</t>
        </is>
      </c>
      <c r="O750" t="inlineStr"/>
      <c r="P750" t="inlineStr"/>
      <c r="Q750" t="inlineStr"/>
      <c r="R750">
        <f>HYPERLINK("https://nordwestinvest.ru/real-estates/prodaza-zu-s-torgovym-centrom-p-mga-kirovskii-r-n","ссылка")</f>
        <v/>
      </c>
      <c r="S750" t="inlineStr"/>
    </row>
    <row r="751">
      <c r="A751" t="inlineStr">
        <is>
          <t>Ленинградская область, Кировский район</t>
        </is>
      </c>
      <c r="B751" t="inlineStr">
        <is>
          <t>Ленинградская обл, Шлиссельбург, Комсомольская улица, 16</t>
        </is>
      </c>
      <c r="C751" t="inlineStr">
        <is>
          <t>sale</t>
        </is>
      </c>
      <c r="D751" t="inlineStr"/>
      <c r="E751" t="inlineStr">
        <is>
          <t>Да</t>
        </is>
      </c>
      <c r="F751" t="inlineStr"/>
      <c r="G751" t="inlineStr"/>
      <c r="H751" t="inlineStr">
        <is>
          <t>1600</t>
        </is>
      </c>
      <c r="I751" t="inlineStr"/>
      <c r="J751" t="inlineStr"/>
      <c r="K751" t="inlineStr">
        <is>
          <t>50 000 000</t>
        </is>
      </c>
      <c r="L751" t="inlineStr"/>
      <c r="M751" t="inlineStr"/>
      <c r="N751" t="inlineStr">
        <is>
          <t>Нет у нас</t>
        </is>
      </c>
      <c r="O751" t="inlineStr"/>
      <c r="P751" t="inlineStr"/>
      <c r="Q751" t="inlineStr"/>
      <c r="R751">
        <f>HYPERLINK("https://nordwestinvest.ru/real-estates/prodaza-gostinicy-s-zemelnym-ucastkom","ссылка")</f>
        <v/>
      </c>
      <c r="S751" t="inlineStr"/>
    </row>
    <row r="752">
      <c r="A752" t="inlineStr">
        <is>
          <t>Ленинградская область, Ломоносовский район</t>
        </is>
      </c>
      <c r="B752" t="inlineStr">
        <is>
          <t>41К-078</t>
        </is>
      </c>
      <c r="C752" t="inlineStr">
        <is>
          <t>sale</t>
        </is>
      </c>
      <c r="D752" t="inlineStr">
        <is>
          <t>Да</t>
        </is>
      </c>
      <c r="E752" t="inlineStr"/>
      <c r="F752" t="inlineStr"/>
      <c r="G752" t="inlineStr">
        <is>
          <t>11686</t>
        </is>
      </c>
      <c r="H752" t="inlineStr"/>
      <c r="I752" t="inlineStr"/>
      <c r="J752" t="inlineStr">
        <is>
          <t>52 587 000</t>
        </is>
      </c>
      <c r="K752" t="inlineStr"/>
      <c r="L752" t="inlineStr"/>
      <c r="M752" t="inlineStr">
        <is>
          <t>Нет у нас</t>
        </is>
      </c>
      <c r="N752" t="inlineStr"/>
      <c r="O752" t="inlineStr"/>
      <c r="P752" t="inlineStr"/>
      <c r="Q752">
        <f>HYPERLINK("https://knru.ru/catalog/41k-078/","ссылка")</f>
        <v/>
      </c>
      <c r="R752" t="inlineStr"/>
      <c r="S752" t="inlineStr"/>
    </row>
    <row r="753">
      <c r="A753" t="inlineStr">
        <is>
          <t>Ленинградская область, Ломоносовский район</t>
        </is>
      </c>
      <c r="B753" t="inlineStr">
        <is>
          <t>41К-170</t>
        </is>
      </c>
      <c r="C753" t="inlineStr">
        <is>
          <t>sale</t>
        </is>
      </c>
      <c r="D753" t="inlineStr">
        <is>
          <t>Да</t>
        </is>
      </c>
      <c r="E753" t="inlineStr"/>
      <c r="F753" t="inlineStr"/>
      <c r="G753" t="inlineStr">
        <is>
          <t>227852</t>
        </is>
      </c>
      <c r="H753" t="inlineStr"/>
      <c r="I753" t="inlineStr"/>
      <c r="J753" t="inlineStr">
        <is>
          <t>34 000 000</t>
        </is>
      </c>
      <c r="K753" t="inlineStr"/>
      <c r="L753" t="inlineStr"/>
      <c r="M753" t="inlineStr">
        <is>
          <t>Нет у нас</t>
        </is>
      </c>
      <c r="N753" t="inlineStr"/>
      <c r="O753" t="inlineStr"/>
      <c r="P753" t="inlineStr"/>
      <c r="Q753">
        <f>HYPERLINK("https://knru.ru/catalog/41k-170/","ссылка")</f>
        <v/>
      </c>
      <c r="R753" t="inlineStr"/>
      <c r="S753" t="inlineStr"/>
    </row>
    <row r="754">
      <c r="A754" t="inlineStr">
        <is>
          <t>Ленинградская область, Ломоносовский район</t>
        </is>
      </c>
      <c r="B754" t="inlineStr">
        <is>
          <t>Ленинградская обл, Аннино п, 10-й Пятилетки ул, 2А</t>
        </is>
      </c>
      <c r="C754" t="inlineStr">
        <is>
          <t>sale</t>
        </is>
      </c>
      <c r="D754" t="inlineStr"/>
      <c r="E754" t="inlineStr">
        <is>
          <t>Да</t>
        </is>
      </c>
      <c r="F754" t="inlineStr"/>
      <c r="G754" t="inlineStr"/>
      <c r="H754" t="inlineStr">
        <is>
          <t>83.3</t>
        </is>
      </c>
      <c r="I754" t="inlineStr"/>
      <c r="J754" t="inlineStr"/>
      <c r="K754" t="inlineStr">
        <is>
          <t>11 000 000</t>
        </is>
      </c>
      <c r="L754" t="inlineStr"/>
      <c r="M754" t="inlineStr"/>
      <c r="N754" t="inlineStr">
        <is>
          <t>Нет у нас</t>
        </is>
      </c>
      <c r="O754" t="inlineStr"/>
      <c r="P754" t="inlineStr"/>
      <c r="Q754" t="inlineStr"/>
      <c r="R754">
        <f>HYPERLINK("https://nordwestinvest.ru/real-estates/prodaza-osz-s-arendatorom-okupaemost-99-let","ссылка")</f>
        <v/>
      </c>
      <c r="S754" t="inlineStr"/>
    </row>
    <row r="755">
      <c r="A755" t="inlineStr">
        <is>
          <t>Ленинградская область, Ломоносовский район</t>
        </is>
      </c>
      <c r="B755" t="inlineStr">
        <is>
          <t>Ленинградская обл, Аннино п, Садовая ул, -</t>
        </is>
      </c>
      <c r="C755" t="inlineStr">
        <is>
          <t>sale</t>
        </is>
      </c>
      <c r="D755" t="inlineStr"/>
      <c r="E755" t="inlineStr">
        <is>
          <t>Да</t>
        </is>
      </c>
      <c r="F755" t="inlineStr"/>
      <c r="G755" t="inlineStr"/>
      <c r="H755" t="inlineStr">
        <is>
          <t>2160</t>
        </is>
      </c>
      <c r="I755" t="inlineStr"/>
      <c r="J755" t="inlineStr"/>
      <c r="K755" t="inlineStr">
        <is>
          <t>150 000 000</t>
        </is>
      </c>
      <c r="L755" t="inlineStr"/>
      <c r="M755" t="inlineStr"/>
      <c r="N755" t="inlineStr">
        <is>
          <t>Нет у нас</t>
        </is>
      </c>
      <c r="O755" t="inlineStr"/>
      <c r="P755" t="inlineStr"/>
      <c r="Q755" t="inlineStr"/>
      <c r="R755">
        <f>HYPERLINK("https://nordwestinvest.ru/real-estates/prodaza-dvux-skladov-s-zu-05-ga-v-anino-1","ссылка")</f>
        <v/>
      </c>
      <c r="S755" t="inlineStr"/>
    </row>
    <row r="756">
      <c r="A756" t="inlineStr">
        <is>
          <t>Ленинградская область, Ломоносовский район</t>
        </is>
      </c>
      <c r="B756" t="inlineStr">
        <is>
          <t>Ленинградская обл, Аннино п, Садовая ул, -</t>
        </is>
      </c>
      <c r="C756" t="inlineStr">
        <is>
          <t>sale</t>
        </is>
      </c>
      <c r="D756" t="inlineStr"/>
      <c r="E756" t="inlineStr">
        <is>
          <t>Да</t>
        </is>
      </c>
      <c r="F756" t="inlineStr"/>
      <c r="G756" t="inlineStr"/>
      <c r="H756" t="inlineStr">
        <is>
          <t>1080</t>
        </is>
      </c>
      <c r="I756" t="inlineStr"/>
      <c r="J756" t="inlineStr"/>
      <c r="K756" t="inlineStr">
        <is>
          <t>80 000 000</t>
        </is>
      </c>
      <c r="L756" t="inlineStr"/>
      <c r="M756" t="inlineStr"/>
      <c r="N756" t="inlineStr">
        <is>
          <t>Нет у нас</t>
        </is>
      </c>
      <c r="O756" t="inlineStr"/>
      <c r="P756" t="inlineStr"/>
      <c r="Q756" t="inlineStr"/>
      <c r="R756">
        <f>HYPERLINK("https://nordwestinvest.ru/real-estates/prodaza-sklada-s-zu-025-ga-v-anino-1","ссылка")</f>
        <v/>
      </c>
      <c r="S756" t="inlineStr"/>
    </row>
    <row r="757">
      <c r="A757" t="inlineStr">
        <is>
          <t>Ленинградская область, Ломоносовский район</t>
        </is>
      </c>
      <c r="B757" t="inlineStr">
        <is>
          <t>Ленинградская обл, Аннино п, территория Промышленной зоны Пигелево, 9</t>
        </is>
      </c>
      <c r="C757" t="inlineStr">
        <is>
          <t>sale</t>
        </is>
      </c>
      <c r="D757" t="inlineStr"/>
      <c r="E757" t="inlineStr">
        <is>
          <t>Да</t>
        </is>
      </c>
      <c r="F757" t="inlineStr"/>
      <c r="G757" t="inlineStr"/>
      <c r="H757" t="inlineStr">
        <is>
          <t>583.4</t>
        </is>
      </c>
      <c r="I757" t="inlineStr"/>
      <c r="J757" t="inlineStr"/>
      <c r="K757" t="inlineStr">
        <is>
          <t>32 000 000</t>
        </is>
      </c>
      <c r="L757" t="inlineStr"/>
      <c r="M757" t="inlineStr"/>
      <c r="N757" t="inlineStr">
        <is>
          <t>Нет у нас</t>
        </is>
      </c>
      <c r="O757" t="inlineStr"/>
      <c r="P757" t="inlineStr"/>
      <c r="Q757" t="inlineStr"/>
      <c r="R757">
        <f>HYPERLINK("https://nordwestinvest.ru/real-estates/sklad-5834-m2-s-kommunikaciiami-8m-150-kvt-zu","ссылка")</f>
        <v/>
      </c>
      <c r="S757" t="inlineStr"/>
    </row>
    <row r="758">
      <c r="A758" t="inlineStr">
        <is>
          <t>Ленинградская область, Ломоносовский район</t>
        </is>
      </c>
      <c r="B758" t="inlineStr">
        <is>
          <t>Ленинградская обл, Виллози гп, -, -</t>
        </is>
      </c>
      <c r="C758" t="inlineStr">
        <is>
          <t>sale</t>
        </is>
      </c>
      <c r="D758" t="inlineStr"/>
      <c r="E758" t="inlineStr">
        <is>
          <t>Да</t>
        </is>
      </c>
      <c r="F758" t="inlineStr"/>
      <c r="G758" t="inlineStr"/>
      <c r="H758" t="inlineStr">
        <is>
          <t>1500</t>
        </is>
      </c>
      <c r="I758" t="inlineStr"/>
      <c r="J758" t="inlineStr"/>
      <c r="K758" t="inlineStr">
        <is>
          <t>127 500 000</t>
        </is>
      </c>
      <c r="L758" t="inlineStr"/>
      <c r="M758" t="inlineStr"/>
      <c r="N758" t="inlineStr">
        <is>
          <t>Нет у нас</t>
        </is>
      </c>
      <c r="O758" t="inlineStr"/>
      <c r="P758" t="inlineStr"/>
      <c r="Q758" t="inlineStr"/>
      <c r="R758">
        <f>HYPERLINK("https://nordwestinvest.ru/real-estates/prodaza-sklada-riadom-s-aeroportom-1500m2","ссылка")</f>
        <v/>
      </c>
      <c r="S758" t="inlineStr"/>
    </row>
    <row r="759">
      <c r="A759" t="inlineStr">
        <is>
          <t>Ленинградская область, Ломоносовский район</t>
        </is>
      </c>
      <c r="B759" t="inlineStr">
        <is>
          <t>Ленинградская обл, Горбунки д, -, 50</t>
        </is>
      </c>
      <c r="C759" t="inlineStr">
        <is>
          <t>sale</t>
        </is>
      </c>
      <c r="D759" t="inlineStr"/>
      <c r="E759" t="inlineStr">
        <is>
          <t>Да</t>
        </is>
      </c>
      <c r="F759" t="inlineStr"/>
      <c r="G759" t="inlineStr"/>
      <c r="H759" t="inlineStr">
        <is>
          <t>292</t>
        </is>
      </c>
      <c r="I759" t="inlineStr"/>
      <c r="J759" t="inlineStr"/>
      <c r="K759" t="inlineStr">
        <is>
          <t>40 000 000</t>
        </is>
      </c>
      <c r="L759" t="inlineStr"/>
      <c r="M759" t="inlineStr"/>
      <c r="N759" t="inlineStr">
        <is>
          <t>Нет у нас</t>
        </is>
      </c>
      <c r="O759" t="inlineStr"/>
      <c r="P759" t="inlineStr"/>
      <c r="Q759" t="inlineStr"/>
      <c r="R759">
        <f>HYPERLINK("https://nordwestinvest.ru/real-estates/prodaza-zemelnogo-ucastka-1-118-s-zdaniem","ссылка")</f>
        <v/>
      </c>
      <c r="S759" t="inlineStr"/>
    </row>
    <row r="760">
      <c r="A760" t="inlineStr">
        <is>
          <t>Ленинградская область, Ломоносовский район</t>
        </is>
      </c>
      <c r="B760" t="inlineStr">
        <is>
          <t>Ленинградская обл, Коваши д, -, -</t>
        </is>
      </c>
      <c r="C760" t="inlineStr">
        <is>
          <t>sale</t>
        </is>
      </c>
      <c r="D760" t="inlineStr"/>
      <c r="E760" t="inlineStr">
        <is>
          <t>Да</t>
        </is>
      </c>
      <c r="F760" t="inlineStr"/>
      <c r="G760" t="inlineStr"/>
      <c r="H760" t="inlineStr">
        <is>
          <t>69000</t>
        </is>
      </c>
      <c r="I760" t="inlineStr"/>
      <c r="J760" t="inlineStr"/>
      <c r="K760" t="inlineStr">
        <is>
          <t>250 000 000</t>
        </is>
      </c>
      <c r="L760" t="inlineStr"/>
      <c r="M760" t="inlineStr"/>
      <c r="N760" t="inlineStr">
        <is>
          <t>Нет у нас</t>
        </is>
      </c>
      <c r="O760" t="inlineStr"/>
      <c r="P760" t="inlineStr"/>
      <c r="Q760" t="inlineStr"/>
      <c r="R760">
        <f>HYPERLINK("https://nordwestinvest.ru/real-estates/prodaza-zu-pod-zastroiku-taunxausov","ссылка")</f>
        <v/>
      </c>
      <c r="S760" t="inlineStr"/>
    </row>
    <row r="761">
      <c r="A761" t="inlineStr">
        <is>
          <t>Ленинградская область, Ломоносовский район</t>
        </is>
      </c>
      <c r="B761" t="inlineStr">
        <is>
          <t>Ленинградская обл, Новогорелово п, Коммунаров ул, 191</t>
        </is>
      </c>
      <c r="C761" t="inlineStr">
        <is>
          <t>sale</t>
        </is>
      </c>
      <c r="D761" t="inlineStr"/>
      <c r="E761" t="inlineStr">
        <is>
          <t>Да</t>
        </is>
      </c>
      <c r="F761" t="inlineStr"/>
      <c r="G761" t="inlineStr"/>
      <c r="H761" t="inlineStr">
        <is>
          <t>1052</t>
        </is>
      </c>
      <c r="I761" t="inlineStr"/>
      <c r="J761" t="inlineStr"/>
      <c r="K761" t="inlineStr">
        <is>
          <t>157 795 500</t>
        </is>
      </c>
      <c r="L761" t="inlineStr"/>
      <c r="M761" t="inlineStr"/>
      <c r="N761" t="inlineStr">
        <is>
          <t>Нет у нас</t>
        </is>
      </c>
      <c r="O761" t="inlineStr"/>
      <c r="P761" t="inlineStr"/>
      <c r="Q761" t="inlineStr"/>
      <c r="R761">
        <f>HYPERLINK("https://nordwestinvest.ru/real-estates/prodaza-parkinga-3","ссылка")</f>
        <v/>
      </c>
      <c r="S761" t="inlineStr"/>
    </row>
    <row r="762">
      <c r="A762" t="inlineStr">
        <is>
          <t>Ленинградская область, Ломоносовский район</t>
        </is>
      </c>
      <c r="B762" t="inlineStr">
        <is>
          <t>Ленинградская обл, Новоселье гп, Красносельское тер. ТСН, 18</t>
        </is>
      </c>
      <c r="C762" t="inlineStr">
        <is>
          <t>sale</t>
        </is>
      </c>
      <c r="D762" t="inlineStr"/>
      <c r="E762" t="inlineStr">
        <is>
          <t>Да</t>
        </is>
      </c>
      <c r="F762" t="inlineStr"/>
      <c r="G762" t="inlineStr"/>
      <c r="H762" t="inlineStr">
        <is>
          <t>6977.1</t>
        </is>
      </c>
      <c r="I762" t="inlineStr"/>
      <c r="J762" t="inlineStr"/>
      <c r="K762" t="inlineStr">
        <is>
          <t>250 000 000</t>
        </is>
      </c>
      <c r="L762" t="inlineStr"/>
      <c r="M762" t="inlineStr"/>
      <c r="N762" t="inlineStr">
        <is>
          <t>Нет у нас</t>
        </is>
      </c>
      <c r="O762" t="inlineStr"/>
      <c r="P762" t="inlineStr"/>
      <c r="Q762" t="inlineStr"/>
      <c r="R762">
        <f>HYPERLINK("https://nordwestinvest.ru/real-estates/prodaza-avtostoianki-s-arendatorom-perekrestok-2","ссылка")</f>
        <v/>
      </c>
      <c r="S762" t="inlineStr"/>
    </row>
    <row r="763">
      <c r="A763" t="inlineStr">
        <is>
          <t>Ленинградская область, Ломоносовский район</t>
        </is>
      </c>
      <c r="B763" t="inlineStr">
        <is>
          <t>Ленинградская обл, Новоселье гп, Красносельское тер. ТСН, 18</t>
        </is>
      </c>
      <c r="C763" t="inlineStr">
        <is>
          <t>sale</t>
        </is>
      </c>
      <c r="D763" t="inlineStr"/>
      <c r="E763" t="inlineStr">
        <is>
          <t>Да</t>
        </is>
      </c>
      <c r="F763" t="inlineStr"/>
      <c r="G763" t="inlineStr"/>
      <c r="H763" t="inlineStr">
        <is>
          <t>1456.3</t>
        </is>
      </c>
      <c r="I763" t="inlineStr"/>
      <c r="J763" t="inlineStr"/>
      <c r="K763" t="inlineStr">
        <is>
          <t>180 000 000</t>
        </is>
      </c>
      <c r="L763" t="inlineStr"/>
      <c r="M763" t="inlineStr"/>
      <c r="N763" t="inlineStr">
        <is>
          <t>Нет у нас</t>
        </is>
      </c>
      <c r="O763" t="inlineStr"/>
      <c r="P763" t="inlineStr"/>
      <c r="Q763" t="inlineStr"/>
      <c r="R763">
        <f>HYPERLINK("https://nordwestinvest.ru/real-estates/prodaza-pomeshheniia-s-arendatorom-perekrestok-1456-m-2","ссылка")</f>
        <v/>
      </c>
      <c r="S763" t="inlineStr"/>
    </row>
    <row r="764">
      <c r="A764" t="inlineStr">
        <is>
          <t>Ленинградская область, Ломоносовский район</t>
        </is>
      </c>
      <c r="B764" t="inlineStr">
        <is>
          <t>Ленинградская обл, Порзолово тер, раздольная, 1</t>
        </is>
      </c>
      <c r="C764" t="inlineStr">
        <is>
          <t>sale</t>
        </is>
      </c>
      <c r="D764" t="inlineStr"/>
      <c r="E764" t="inlineStr">
        <is>
          <t>Да</t>
        </is>
      </c>
      <c r="F764" t="inlineStr"/>
      <c r="G764" t="inlineStr"/>
      <c r="H764" t="inlineStr">
        <is>
          <t>570</t>
        </is>
      </c>
      <c r="I764" t="inlineStr"/>
      <c r="J764" t="inlineStr"/>
      <c r="K764" t="inlineStr">
        <is>
          <t>61 500 000</t>
        </is>
      </c>
      <c r="L764" t="inlineStr"/>
      <c r="M764" t="inlineStr"/>
      <c r="N764" t="inlineStr">
        <is>
          <t>Нет у нас</t>
        </is>
      </c>
      <c r="O764" t="inlineStr"/>
      <c r="P764" t="inlineStr"/>
      <c r="Q764" t="inlineStr"/>
      <c r="R764">
        <f>HYPERLINK("https://nordwestinvest.ru/real-estates/proizvodstvenno-skladskoe-pomeshhenie-570-m2-na-1ga","ссылка")</f>
        <v/>
      </c>
      <c r="S764" t="inlineStr"/>
    </row>
    <row r="765">
      <c r="A765" t="inlineStr">
        <is>
          <t>Ленинградская область, Ломоносовский район</t>
        </is>
      </c>
      <c r="B765" t="inlineStr">
        <is>
          <t>Ленинградская обл, Производственно-административная зона Порзолово тер, -, -</t>
        </is>
      </c>
      <c r="C765" t="inlineStr">
        <is>
          <t>sale</t>
        </is>
      </c>
      <c r="D765" t="inlineStr"/>
      <c r="E765" t="inlineStr">
        <is>
          <t>Да</t>
        </is>
      </c>
      <c r="F765" t="inlineStr"/>
      <c r="G765" t="inlineStr"/>
      <c r="H765" t="inlineStr">
        <is>
          <t>6230</t>
        </is>
      </c>
      <c r="I765" t="inlineStr"/>
      <c r="J765" t="inlineStr"/>
      <c r="K765" t="inlineStr">
        <is>
          <t>15 575 000</t>
        </is>
      </c>
      <c r="L765" t="inlineStr"/>
      <c r="M765" t="inlineStr"/>
      <c r="N765" t="inlineStr">
        <is>
          <t>Нет у нас</t>
        </is>
      </c>
      <c r="O765" t="inlineStr"/>
      <c r="P765" t="inlineStr"/>
      <c r="Q765" t="inlineStr"/>
      <c r="R765">
        <f>HYPERLINK("https://nordwestinvest.ru/real-estates/prodaza-ucastka-prom-naznaceniia-porzolovo-1","ссылка")</f>
        <v/>
      </c>
      <c r="S765" t="inlineStr"/>
    </row>
    <row r="766">
      <c r="A766" t="inlineStr">
        <is>
          <t>Ленинградская область, Ломоносовский район</t>
        </is>
      </c>
      <c r="B766" t="inlineStr">
        <is>
          <t>Ленинградская обл, Производственно-административная зона Порзолово тер, -, -</t>
        </is>
      </c>
      <c r="C766" t="inlineStr">
        <is>
          <t>sale</t>
        </is>
      </c>
      <c r="D766" t="inlineStr"/>
      <c r="E766" t="inlineStr">
        <is>
          <t>Да</t>
        </is>
      </c>
      <c r="F766" t="inlineStr"/>
      <c r="G766" t="inlineStr"/>
      <c r="H766" t="inlineStr">
        <is>
          <t>6000</t>
        </is>
      </c>
      <c r="I766" t="inlineStr"/>
      <c r="J766" t="inlineStr"/>
      <c r="K766" t="inlineStr">
        <is>
          <t>24 000 000</t>
        </is>
      </c>
      <c r="L766" t="inlineStr"/>
      <c r="M766" t="inlineStr"/>
      <c r="N766" t="inlineStr">
        <is>
          <t>Нет у нас</t>
        </is>
      </c>
      <c r="O766" t="inlineStr"/>
      <c r="P766" t="inlineStr"/>
      <c r="Q766" t="inlineStr"/>
      <c r="R766">
        <f>HYPERLINK("https://nordwestinvest.ru/real-estates/prodaza-ucastka-prom-naznaceniia-porzolovo-60-sot-1","ссылка")</f>
        <v/>
      </c>
      <c r="S766" t="inlineStr"/>
    </row>
    <row r="767">
      <c r="A767" t="inlineStr">
        <is>
          <t>Ленинградская область, Ломоносовский район</t>
        </is>
      </c>
      <c r="B767" t="inlineStr">
        <is>
          <t>Ленинградская обл, Производственно-административная зона Порзолово тер, -, -</t>
        </is>
      </c>
      <c r="C767" t="inlineStr">
        <is>
          <t>sale</t>
        </is>
      </c>
      <c r="D767" t="inlineStr"/>
      <c r="E767" t="inlineStr">
        <is>
          <t>Да</t>
        </is>
      </c>
      <c r="F767" t="inlineStr"/>
      <c r="G767" t="inlineStr"/>
      <c r="H767" t="inlineStr">
        <is>
          <t>8967</t>
        </is>
      </c>
      <c r="I767" t="inlineStr"/>
      <c r="J767" t="inlineStr"/>
      <c r="K767" t="inlineStr">
        <is>
          <t>31 384 500</t>
        </is>
      </c>
      <c r="L767" t="inlineStr"/>
      <c r="M767" t="inlineStr"/>
      <c r="N767" t="inlineStr">
        <is>
          <t>Нет у нас</t>
        </is>
      </c>
      <c r="O767" t="inlineStr"/>
      <c r="P767" t="inlineStr"/>
      <c r="Q767" t="inlineStr"/>
      <c r="R767">
        <f>HYPERLINK("https://nordwestinvest.ru/real-estates/prodaza-ucastka-prom-naznaceniia-porzolovo-89-sotok","ссылка")</f>
        <v/>
      </c>
      <c r="S767" t="inlineStr"/>
    </row>
    <row r="768">
      <c r="A768" t="inlineStr">
        <is>
          <t>Ленинградская область, Ломоносовский район</t>
        </is>
      </c>
      <c r="B768" t="inlineStr">
        <is>
          <t>Ленинградская обл, Производственно-административная зона Порзолово тер, -, -</t>
        </is>
      </c>
      <c r="C768" t="inlineStr">
        <is>
          <t>sale</t>
        </is>
      </c>
      <c r="D768" t="inlineStr"/>
      <c r="E768" t="inlineStr">
        <is>
          <t>Да</t>
        </is>
      </c>
      <c r="F768" t="inlineStr"/>
      <c r="G768" t="inlineStr"/>
      <c r="H768" t="inlineStr">
        <is>
          <t>6641</t>
        </is>
      </c>
      <c r="I768" t="inlineStr"/>
      <c r="J768" t="inlineStr"/>
      <c r="K768" t="inlineStr">
        <is>
          <t>26 564 000</t>
        </is>
      </c>
      <c r="L768" t="inlineStr"/>
      <c r="M768" t="inlineStr"/>
      <c r="N768" t="inlineStr">
        <is>
          <t>Нет у нас</t>
        </is>
      </c>
      <c r="O768" t="inlineStr"/>
      <c r="P768" t="inlineStr"/>
      <c r="Q768" t="inlineStr"/>
      <c r="R768">
        <f>HYPERLINK("https://nordwestinvest.ru/real-estates/prodaza-ucastka-prom-naznaceniia-porzolovo-66-sot","ссылка")</f>
        <v/>
      </c>
      <c r="S768" t="inlineStr"/>
    </row>
    <row r="769">
      <c r="A769" t="inlineStr">
        <is>
          <t>Ленинградская область, Ломоносовский район</t>
        </is>
      </c>
      <c r="B769" t="inlineStr">
        <is>
          <t>Ленинградская обл, Производственно-административная зона Порзолово тер, -, -</t>
        </is>
      </c>
      <c r="C769" t="inlineStr">
        <is>
          <t>sale</t>
        </is>
      </c>
      <c r="D769" t="inlineStr"/>
      <c r="E769" t="inlineStr">
        <is>
          <t>Да</t>
        </is>
      </c>
      <c r="F769" t="inlineStr"/>
      <c r="G769" t="inlineStr"/>
      <c r="H769" t="inlineStr">
        <is>
          <t>12641</t>
        </is>
      </c>
      <c r="I769" t="inlineStr"/>
      <c r="J769" t="inlineStr"/>
      <c r="K769" t="inlineStr">
        <is>
          <t>50 000 000</t>
        </is>
      </c>
      <c r="L769" t="inlineStr"/>
      <c r="M769" t="inlineStr"/>
      <c r="N769" t="inlineStr">
        <is>
          <t>Нет у нас</t>
        </is>
      </c>
      <c r="O769" t="inlineStr"/>
      <c r="P769" t="inlineStr"/>
      <c r="Q769" t="inlineStr"/>
      <c r="R769">
        <f>HYPERLINK("https://nordwestinvest.ru/real-estates/prodaza-ucastka-prom-naznaceniia-porzolovo","ссылка")</f>
        <v/>
      </c>
      <c r="S769" t="inlineStr"/>
    </row>
    <row r="770">
      <c r="A770" t="inlineStr">
        <is>
          <t>Ленинградская область, Ломоносовский район</t>
        </is>
      </c>
      <c r="B770" t="inlineStr">
        <is>
          <t>Ленинградская обл, Санино д, -, 42</t>
        </is>
      </c>
      <c r="C770" t="inlineStr">
        <is>
          <t>sale</t>
        </is>
      </c>
      <c r="D770" t="inlineStr"/>
      <c r="E770" t="inlineStr">
        <is>
          <t>Да</t>
        </is>
      </c>
      <c r="F770" t="inlineStr"/>
      <c r="G770" t="inlineStr"/>
      <c r="H770" t="inlineStr">
        <is>
          <t>4600</t>
        </is>
      </c>
      <c r="I770" t="inlineStr"/>
      <c r="J770" t="inlineStr"/>
      <c r="K770" t="inlineStr">
        <is>
          <t>250 000 000</t>
        </is>
      </c>
      <c r="L770" t="inlineStr"/>
      <c r="M770" t="inlineStr"/>
      <c r="N770" t="inlineStr">
        <is>
          <t>Нет у нас</t>
        </is>
      </c>
      <c r="O770" t="inlineStr"/>
      <c r="P770" t="inlineStr"/>
      <c r="Q770" t="inlineStr"/>
      <c r="R770">
        <f>HYPERLINK("https://nordwestinvest.ru/real-estates/prodaza-pishhevogo-proizvodstva-4600-m2-i-4-ga-zemli","ссылка")</f>
        <v/>
      </c>
      <c r="S770" t="inlineStr"/>
    </row>
    <row r="771">
      <c r="A771" t="inlineStr">
        <is>
          <t>Ленинградская область, Ломоносовский район</t>
        </is>
      </c>
      <c r="B771" t="inlineStr">
        <is>
          <t>Ленинградская обл, Узигонты д, -, -</t>
        </is>
      </c>
      <c r="C771" t="inlineStr">
        <is>
          <t>sale</t>
        </is>
      </c>
      <c r="D771" t="inlineStr"/>
      <c r="E771" t="inlineStr">
        <is>
          <t>Да</t>
        </is>
      </c>
      <c r="F771" t="inlineStr"/>
      <c r="G771" t="inlineStr"/>
      <c r="H771" t="inlineStr">
        <is>
          <t>47000</t>
        </is>
      </c>
      <c r="I771" t="inlineStr"/>
      <c r="J771" t="inlineStr"/>
      <c r="K771" t="inlineStr">
        <is>
          <t>120 000 000</t>
        </is>
      </c>
      <c r="L771" t="inlineStr"/>
      <c r="M771" t="inlineStr"/>
      <c r="N771" t="inlineStr">
        <is>
          <t>Нет у нас</t>
        </is>
      </c>
      <c r="O771" t="inlineStr"/>
      <c r="P771" t="inlineStr"/>
      <c r="Q771" t="inlineStr"/>
      <c r="R771">
        <f>HYPERLINK("https://nordwestinvest.ru/real-estates/prodaza-zemelnogo-ucastka-v-d-uzigonty","ссылка")</f>
        <v/>
      </c>
      <c r="S771" t="inlineStr"/>
    </row>
    <row r="772">
      <c r="A772" t="inlineStr">
        <is>
          <t>Ленинградская область, Ломоносовский район</t>
        </is>
      </c>
      <c r="B772" t="inlineStr">
        <is>
          <t>Ленинградская обл, Яльгелево д, Южная ул, 1</t>
        </is>
      </c>
      <c r="C772" t="inlineStr">
        <is>
          <t>sale</t>
        </is>
      </c>
      <c r="D772" t="inlineStr"/>
      <c r="E772" t="inlineStr">
        <is>
          <t>Да</t>
        </is>
      </c>
      <c r="F772" t="inlineStr"/>
      <c r="G772" t="inlineStr"/>
      <c r="H772" t="inlineStr">
        <is>
          <t>1335</t>
        </is>
      </c>
      <c r="I772" t="inlineStr"/>
      <c r="J772" t="inlineStr"/>
      <c r="K772" t="inlineStr">
        <is>
          <t>110 000 000</t>
        </is>
      </c>
      <c r="L772" t="inlineStr"/>
      <c r="M772" t="inlineStr"/>
      <c r="N772" t="inlineStr">
        <is>
          <t>Нет у нас</t>
        </is>
      </c>
      <c r="O772" t="inlineStr"/>
      <c r="P772" t="inlineStr"/>
      <c r="Q772" t="inlineStr"/>
      <c r="R772">
        <f>HYPERLINK("https://nordwestinvest.ru/real-estates/prodaza-torgovyx-ploshhadei-s-zemelnym-ucastkom","ссылка")</f>
        <v/>
      </c>
      <c r="S772" t="inlineStr"/>
    </row>
    <row r="773">
      <c r="A773" t="inlineStr">
        <is>
          <t>Ленинградская область, Лужский район</t>
        </is>
      </c>
      <c r="B773" t="inlineStr">
        <is>
          <t>Ленинградская обл, Луга г, Свободы ул, 14</t>
        </is>
      </c>
      <c r="C773" t="inlineStr">
        <is>
          <t>sale</t>
        </is>
      </c>
      <c r="D773" t="inlineStr"/>
      <c r="E773" t="inlineStr">
        <is>
          <t>Да</t>
        </is>
      </c>
      <c r="F773" t="inlineStr"/>
      <c r="G773" t="inlineStr"/>
      <c r="H773" t="inlineStr">
        <is>
          <t>412</t>
        </is>
      </c>
      <c r="I773" t="inlineStr"/>
      <c r="J773" t="inlineStr"/>
      <c r="K773" t="inlineStr">
        <is>
          <t>36 000 000</t>
        </is>
      </c>
      <c r="L773" t="inlineStr"/>
      <c r="M773" t="inlineStr"/>
      <c r="N773" t="inlineStr">
        <is>
          <t>Нет у нас</t>
        </is>
      </c>
      <c r="O773" t="inlineStr"/>
      <c r="P773" t="inlineStr"/>
      <c r="Q773" t="inlineStr"/>
      <c r="R773">
        <f>HYPERLINK("https://nordwestinvest.ru/real-estates/investicionnyi-proekt-monetkazu-412-kvm-1","ссылка")</f>
        <v/>
      </c>
      <c r="S773" t="inlineStr"/>
    </row>
    <row r="774">
      <c r="A774" t="inlineStr">
        <is>
          <t>Ленинградская область, Приозерский район</t>
        </is>
      </c>
      <c r="B774" t="inlineStr">
        <is>
          <t>Ленинградская обл, Раздолье д, -, -</t>
        </is>
      </c>
      <c r="C774" t="inlineStr">
        <is>
          <t>sale</t>
        </is>
      </c>
      <c r="D774" t="inlineStr"/>
      <c r="E774" t="inlineStr">
        <is>
          <t>Да</t>
        </is>
      </c>
      <c r="F774" t="inlineStr"/>
      <c r="G774" t="inlineStr"/>
      <c r="H774" t="inlineStr">
        <is>
          <t>63580</t>
        </is>
      </c>
      <c r="I774" t="inlineStr"/>
      <c r="J774" t="inlineStr"/>
      <c r="K774" t="inlineStr">
        <is>
          <t>25 000 000</t>
        </is>
      </c>
      <c r="L774" t="inlineStr"/>
      <c r="M774" t="inlineStr"/>
      <c r="N774" t="inlineStr">
        <is>
          <t>Нет у нас</t>
        </is>
      </c>
      <c r="O774" t="inlineStr"/>
      <c r="P774" t="inlineStr"/>
      <c r="Q774" t="inlineStr"/>
      <c r="R774">
        <f>HYPERLINK("https://nordwestinvest.ru/real-estates/prodaza-zu-pod-snt","ссылка")</f>
        <v/>
      </c>
      <c r="S774" t="inlineStr"/>
    </row>
    <row r="775">
      <c r="A775" t="inlineStr">
        <is>
          <t>Ленинградская область, Сланцевский район</t>
        </is>
      </c>
      <c r="B775" t="inlineStr">
        <is>
          <t>Ленинградская обл, Сланцы г, Свердлова ул, 1/8</t>
        </is>
      </c>
      <c r="C775" t="inlineStr">
        <is>
          <t>sale</t>
        </is>
      </c>
      <c r="D775" t="inlineStr"/>
      <c r="E775" t="inlineStr">
        <is>
          <t>Да</t>
        </is>
      </c>
      <c r="F775" t="inlineStr"/>
      <c r="G775" t="inlineStr"/>
      <c r="H775" t="inlineStr">
        <is>
          <t>586</t>
        </is>
      </c>
      <c r="I775" t="inlineStr"/>
      <c r="J775" t="inlineStr"/>
      <c r="K775" t="inlineStr">
        <is>
          <t>20 000 000</t>
        </is>
      </c>
      <c r="L775" t="inlineStr"/>
      <c r="M775" t="inlineStr"/>
      <c r="N775" t="inlineStr">
        <is>
          <t>Нет у нас</t>
        </is>
      </c>
      <c r="O775" t="inlineStr"/>
      <c r="P775" t="inlineStr"/>
      <c r="Q775" t="inlineStr"/>
      <c r="R775">
        <f>HYPERLINK("https://nordwestinvest.ru/real-estates/prodaza-pomeshheniia-ves-etaz-v-slancax-2","ссылка")</f>
        <v/>
      </c>
      <c r="S775" t="inlineStr"/>
    </row>
    <row r="776">
      <c r="A776" t="inlineStr">
        <is>
          <t>Ленинградская область, Тосненский район</t>
        </is>
      </c>
      <c r="B776" t="inlineStr">
        <is>
          <t>Ленинградская обл, Любань п, Мельникова пр-кт, 14</t>
        </is>
      </c>
      <c r="C776" t="inlineStr">
        <is>
          <t>sale</t>
        </is>
      </c>
      <c r="D776" t="inlineStr"/>
      <c r="E776" t="inlineStr">
        <is>
          <t>Да</t>
        </is>
      </c>
      <c r="F776" t="inlineStr"/>
      <c r="G776" t="inlineStr"/>
      <c r="H776" t="inlineStr">
        <is>
          <t>804.6</t>
        </is>
      </c>
      <c r="I776" t="inlineStr"/>
      <c r="J776" t="inlineStr"/>
      <c r="K776" t="inlineStr">
        <is>
          <t>65 000 000</t>
        </is>
      </c>
      <c r="L776" t="inlineStr"/>
      <c r="M776" t="inlineStr"/>
      <c r="N776" t="inlineStr">
        <is>
          <t>Нет у нас</t>
        </is>
      </c>
      <c r="O776" t="inlineStr"/>
      <c r="P776" t="inlineStr"/>
      <c r="Q776" t="inlineStr"/>
      <c r="R776">
        <f>HYPERLINK("https://nordwestinvest.ru/real-estates/prodaza-zdaniia-zu-liuban","ссылка")</f>
        <v/>
      </c>
      <c r="S776" t="inlineStr"/>
    </row>
    <row r="777">
      <c r="A777" t="inlineStr">
        <is>
          <t>Ленинградская область, Тосненский район</t>
        </is>
      </c>
      <c r="B777" t="inlineStr">
        <is>
          <t>Ленинградская обл, Нурма д, -, 12</t>
        </is>
      </c>
      <c r="C777" t="inlineStr">
        <is>
          <t>sale</t>
        </is>
      </c>
      <c r="D777" t="inlineStr"/>
      <c r="E777" t="inlineStr">
        <is>
          <t>Да</t>
        </is>
      </c>
      <c r="F777" t="inlineStr"/>
      <c r="G777" t="inlineStr"/>
      <c r="H777" t="inlineStr">
        <is>
          <t>3593</t>
        </is>
      </c>
      <c r="I777" t="inlineStr"/>
      <c r="J777" t="inlineStr"/>
      <c r="K777" t="inlineStr">
        <is>
          <t>269 000 000</t>
        </is>
      </c>
      <c r="L777" t="inlineStr"/>
      <c r="M777" t="inlineStr"/>
      <c r="N777" t="inlineStr">
        <is>
          <t>Нет у нас</t>
        </is>
      </c>
      <c r="O777" t="inlineStr"/>
      <c r="P777" t="inlineStr"/>
      <c r="Q777" t="inlineStr"/>
      <c r="R777">
        <f>HYPERLINK("https://nordwestinvest.ru/real-estates/prodaza-gab-iakornye-arendatory-vernyi-i-piaterocka","ссылка")</f>
        <v/>
      </c>
      <c r="S777" t="inlineStr"/>
    </row>
    <row r="778">
      <c r="A778" t="inlineStr">
        <is>
          <t>Ленинградская область, Тосненский район</t>
        </is>
      </c>
      <c r="B778" t="inlineStr">
        <is>
          <t>Ленинградская обл, Рябово п, Центральное ш, 17</t>
        </is>
      </c>
      <c r="C778" t="inlineStr">
        <is>
          <t>sale</t>
        </is>
      </c>
      <c r="D778" t="inlineStr"/>
      <c r="E778" t="inlineStr">
        <is>
          <t>Да</t>
        </is>
      </c>
      <c r="F778" t="inlineStr"/>
      <c r="G778" t="inlineStr"/>
      <c r="H778" t="inlineStr">
        <is>
          <t>486</t>
        </is>
      </c>
      <c r="I778" t="inlineStr"/>
      <c r="J778" t="inlineStr"/>
      <c r="K778" t="inlineStr">
        <is>
          <t>60 000 000</t>
        </is>
      </c>
      <c r="L778" t="inlineStr"/>
      <c r="M778" t="inlineStr"/>
      <c r="N778" t="inlineStr">
        <is>
          <t>Нет у нас</t>
        </is>
      </c>
      <c r="O778" t="inlineStr"/>
      <c r="P778" t="inlineStr"/>
      <c r="Q778" t="inlineStr"/>
      <c r="R778">
        <f>HYPERLINK("https://nordwestinvest.ru/real-estates/prodaza-zdaniia-s-magnitom-p-riabovo","ссылка")</f>
        <v/>
      </c>
      <c r="S778" t="inlineStr"/>
    </row>
    <row r="779">
      <c r="A779" t="inlineStr">
        <is>
          <t>Ленинградская область, Тосненский район</t>
        </is>
      </c>
      <c r="B779" t="inlineStr">
        <is>
          <t>Ленинградская обл, Тосно г, Серова ул, 31</t>
        </is>
      </c>
      <c r="C779" t="inlineStr">
        <is>
          <t>sale</t>
        </is>
      </c>
      <c r="D779" t="inlineStr"/>
      <c r="E779" t="inlineStr">
        <is>
          <t>Да</t>
        </is>
      </c>
      <c r="F779" t="inlineStr"/>
      <c r="G779" t="inlineStr"/>
      <c r="H779" t="inlineStr">
        <is>
          <t>564</t>
        </is>
      </c>
      <c r="I779" t="inlineStr"/>
      <c r="J779" t="inlineStr"/>
      <c r="K779" t="inlineStr">
        <is>
          <t>53 000 000</t>
        </is>
      </c>
      <c r="L779" t="inlineStr"/>
      <c r="M779" t="inlineStr"/>
      <c r="N779" t="inlineStr">
        <is>
          <t>Нет у нас</t>
        </is>
      </c>
      <c r="O779" t="inlineStr"/>
      <c r="P779" t="inlineStr"/>
      <c r="Q779" t="inlineStr"/>
      <c r="R779">
        <f>HYPERLINK("https://nordwestinvest.ru/real-estates/prodaza-osz-s-arendatorom-magnit","ссылка")</f>
        <v/>
      </c>
      <c r="S779" t="inlineStr"/>
    </row>
    <row r="780">
      <c r="A780" t="inlineStr">
        <is>
          <t>Ленинградская область, Тосненский район</t>
        </is>
      </c>
      <c r="B780" t="inlineStr">
        <is>
          <t>Ленинградская обл, Фёдоровское гп, -, -</t>
        </is>
      </c>
      <c r="C780" t="inlineStr">
        <is>
          <t>sale</t>
        </is>
      </c>
      <c r="D780" t="inlineStr"/>
      <c r="E780" t="inlineStr">
        <is>
          <t>Да</t>
        </is>
      </c>
      <c r="F780" t="inlineStr"/>
      <c r="G780" t="inlineStr"/>
      <c r="H780" t="inlineStr">
        <is>
          <t>166853</t>
        </is>
      </c>
      <c r="I780" t="inlineStr"/>
      <c r="J780" t="inlineStr"/>
      <c r="K780" t="inlineStr">
        <is>
          <t>250 000 000</t>
        </is>
      </c>
      <c r="L780" t="inlineStr"/>
      <c r="M780" t="inlineStr"/>
      <c r="N780" t="inlineStr">
        <is>
          <t>Нет у нас</t>
        </is>
      </c>
      <c r="O780" t="inlineStr"/>
      <c r="P780" t="inlineStr"/>
      <c r="Q780" t="inlineStr"/>
      <c r="R780">
        <f>HYPERLINK("https://nordwestinvest.ru/real-estates/prodaza-zemelnogo-ucastka-pod-ziluiu-zastroiku","ссылка")</f>
        <v/>
      </c>
      <c r="S780" t="inlineStr"/>
    </row>
    <row r="781">
      <c r="A781" t="inlineStr">
        <is>
          <t>Ленинградская область, Тосненский район</t>
        </is>
      </c>
      <c r="B781" t="inlineStr">
        <is>
          <t>Ленинградская обл, Фёдоровское гп, -, -</t>
        </is>
      </c>
      <c r="C781" t="inlineStr">
        <is>
          <t>sale</t>
        </is>
      </c>
      <c r="D781" t="inlineStr"/>
      <c r="E781" t="inlineStr">
        <is>
          <t>Да</t>
        </is>
      </c>
      <c r="F781" t="inlineStr"/>
      <c r="G781" t="inlineStr"/>
      <c r="H781" t="inlineStr">
        <is>
          <t>10000</t>
        </is>
      </c>
      <c r="I781" t="inlineStr"/>
      <c r="J781" t="inlineStr"/>
      <c r="K781" t="inlineStr">
        <is>
          <t>29 000 000</t>
        </is>
      </c>
      <c r="L781" t="inlineStr"/>
      <c r="M781" t="inlineStr"/>
      <c r="N781" t="inlineStr">
        <is>
          <t>Нет у нас</t>
        </is>
      </c>
      <c r="O781" t="inlineStr"/>
      <c r="P781" t="inlineStr"/>
      <c r="Q781" t="inlineStr"/>
      <c r="R781">
        <f>HYPERLINK("https://nordwestinvest.ru/real-estates/prodaza-dvux-zemelnyx-ucastkov-po-05-ga","ссылка")</f>
        <v/>
      </c>
      <c r="S781" t="inlineStr"/>
    </row>
    <row r="782">
      <c r="A782" t="inlineStr">
        <is>
          <t>Ленинградская область, Тосненский район</t>
        </is>
      </c>
      <c r="B782" t="inlineStr">
        <is>
          <t>Ленинградская обл, Фёдоровское гп, 2-й Архитектурный проезд, уч 10</t>
        </is>
      </c>
      <c r="C782" t="inlineStr">
        <is>
          <t>sale</t>
        </is>
      </c>
      <c r="D782" t="inlineStr"/>
      <c r="E782" t="inlineStr">
        <is>
          <t>Да</t>
        </is>
      </c>
      <c r="F782" t="inlineStr"/>
      <c r="G782" t="inlineStr"/>
      <c r="H782" t="inlineStr">
        <is>
          <t>780</t>
        </is>
      </c>
      <c r="I782" t="inlineStr"/>
      <c r="J782" t="inlineStr"/>
      <c r="K782" t="inlineStr">
        <is>
          <t>48 000 000</t>
        </is>
      </c>
      <c r="L782" t="inlineStr"/>
      <c r="M782" t="inlineStr"/>
      <c r="N782" t="inlineStr">
        <is>
          <t>Нет у нас</t>
        </is>
      </c>
      <c r="O782" t="inlineStr"/>
      <c r="P782" t="inlineStr"/>
      <c r="Q782" t="inlineStr"/>
      <c r="R782">
        <f>HYPERLINK("https://nordwestinvest.ru/real-estates/prodaza-skladskogo-zdaniia-pgt-fedorovskoe-2","ссылка")</f>
        <v/>
      </c>
      <c r="S782" t="inlineStr"/>
    </row>
    <row r="783">
      <c r="A783" t="inlineStr">
        <is>
          <t>Ленинградская область, Тосненский район</t>
        </is>
      </c>
      <c r="B783" t="inlineStr">
        <is>
          <t>Ленинградская обл, Фёдоровское гп, Инженерная ул, 2</t>
        </is>
      </c>
      <c r="C783" t="inlineStr">
        <is>
          <t>sale</t>
        </is>
      </c>
      <c r="D783" t="inlineStr"/>
      <c r="E783" t="inlineStr">
        <is>
          <t>Да</t>
        </is>
      </c>
      <c r="F783" t="inlineStr"/>
      <c r="G783" t="inlineStr"/>
      <c r="H783" t="inlineStr">
        <is>
          <t>740</t>
        </is>
      </c>
      <c r="I783" t="inlineStr"/>
      <c r="J783" t="inlineStr"/>
      <c r="K783" t="inlineStr">
        <is>
          <t>36 500 000</t>
        </is>
      </c>
      <c r="L783" t="inlineStr"/>
      <c r="M783" t="inlineStr"/>
      <c r="N783" t="inlineStr">
        <is>
          <t>Нет у нас</t>
        </is>
      </c>
      <c r="O783" t="inlineStr"/>
      <c r="P783" t="inlineStr"/>
      <c r="Q783" t="inlineStr"/>
      <c r="R783">
        <f>HYPERLINK("https://nordwestinvest.ru/real-estates/prodaza-sklad-740-m2-zu-22-sotki-s-arendatorom","ссылка")</f>
        <v/>
      </c>
      <c r="S783" t="inlineStr"/>
    </row>
    <row r="784">
      <c r="A784" t="inlineStr">
        <is>
          <t>Ленинградская область, Тосненский район</t>
        </is>
      </c>
      <c r="B784" t="inlineStr">
        <is>
          <t>Ленинградская обл, Фёдоровское гп, Промышленная ул, 10к1</t>
        </is>
      </c>
      <c r="C784" t="inlineStr">
        <is>
          <t>sale</t>
        </is>
      </c>
      <c r="D784" t="inlineStr"/>
      <c r="E784" t="inlineStr">
        <is>
          <t>Да</t>
        </is>
      </c>
      <c r="F784" t="inlineStr"/>
      <c r="G784" t="inlineStr"/>
      <c r="H784" t="inlineStr">
        <is>
          <t>1000</t>
        </is>
      </c>
      <c r="I784" t="inlineStr"/>
      <c r="J784" t="inlineStr"/>
      <c r="K784" t="inlineStr">
        <is>
          <t>49 000 000</t>
        </is>
      </c>
      <c r="L784" t="inlineStr"/>
      <c r="M784" t="inlineStr"/>
      <c r="N784" t="inlineStr">
        <is>
          <t>Нет у нас</t>
        </is>
      </c>
      <c r="O784" t="inlineStr"/>
      <c r="P784" t="inlineStr"/>
      <c r="Q784" t="inlineStr"/>
      <c r="R784">
        <f>HYPERLINK("https://nordwestinvest.ru/real-estates/prodaza-sklada-1000-m2-s-arendatorom","ссылка")</f>
        <v/>
      </c>
      <c r="S784" t="inlineStr"/>
    </row>
    <row r="785">
      <c r="A785" t="inlineStr">
        <is>
          <t>Ленинградская область, Тосненский район</t>
        </is>
      </c>
      <c r="B785" t="inlineStr">
        <is>
          <t>Ленинградская обл, Фёдоровское гп, Фабричный пр-д, 5</t>
        </is>
      </c>
      <c r="C785" t="inlineStr">
        <is>
          <t>sale</t>
        </is>
      </c>
      <c r="D785" t="inlineStr"/>
      <c r="E785" t="inlineStr">
        <is>
          <t>Да</t>
        </is>
      </c>
      <c r="F785" t="inlineStr"/>
      <c r="G785" t="inlineStr"/>
      <c r="H785" t="inlineStr">
        <is>
          <t>1440</t>
        </is>
      </c>
      <c r="I785" t="inlineStr"/>
      <c r="J785" t="inlineStr"/>
      <c r="K785" t="inlineStr">
        <is>
          <t>65 000 000</t>
        </is>
      </c>
      <c r="L785" t="inlineStr"/>
      <c r="M785" t="inlineStr"/>
      <c r="N785" t="inlineStr">
        <is>
          <t>Нет у нас</t>
        </is>
      </c>
      <c r="O785" t="inlineStr"/>
      <c r="P785" t="inlineStr"/>
      <c r="Q785" t="inlineStr"/>
      <c r="R785">
        <f>HYPERLINK("https://nordwestinvest.ru/real-estates/prodaza-teplogo-skladskogo-pomeshheniia-1440-m2","ссылка")</f>
        <v/>
      </c>
      <c r="S785" t="inlineStr"/>
    </row>
    <row r="786">
      <c r="A786" t="inlineStr">
        <is>
          <t>Ленинградская область, Тосненский район</t>
        </is>
      </c>
      <c r="B786" t="inlineStr">
        <is>
          <t>Ленинградская обл, Федоровское зона, почтовая , 38к1</t>
        </is>
      </c>
      <c r="C786" t="inlineStr">
        <is>
          <t>sale</t>
        </is>
      </c>
      <c r="D786" t="inlineStr"/>
      <c r="E786" t="inlineStr">
        <is>
          <t>Да</t>
        </is>
      </c>
      <c r="F786" t="inlineStr"/>
      <c r="G786" t="inlineStr"/>
      <c r="H786" t="inlineStr">
        <is>
          <t>1500</t>
        </is>
      </c>
      <c r="I786" t="inlineStr"/>
      <c r="J786" t="inlineStr"/>
      <c r="K786" t="inlineStr">
        <is>
          <t>64 990 000</t>
        </is>
      </c>
      <c r="L786" t="inlineStr"/>
      <c r="M786" t="inlineStr"/>
      <c r="N786" t="inlineStr">
        <is>
          <t>Нет у нас</t>
        </is>
      </c>
      <c r="O786" t="inlineStr"/>
      <c r="P786" t="inlineStr"/>
      <c r="Q786" t="inlineStr"/>
      <c r="R786">
        <f>HYPERLINK("https://nordwestinvest.ru/real-estates/prodaza-sklada-1500-m2","ссылка")</f>
        <v/>
      </c>
      <c r="S786" t="inlineStr"/>
    </row>
    <row r="787">
      <c r="A787" t="inlineStr">
        <is>
          <t>Ленинградская область, Тосненский район</t>
        </is>
      </c>
      <c r="B787" t="inlineStr">
        <is>
          <t>Ленинградская обл, Федоровское зона, Почтовая , 38к1</t>
        </is>
      </c>
      <c r="C787" t="inlineStr">
        <is>
          <t>sale</t>
        </is>
      </c>
      <c r="D787" t="inlineStr"/>
      <c r="E787" t="inlineStr">
        <is>
          <t>Да</t>
        </is>
      </c>
      <c r="F787" t="inlineStr"/>
      <c r="G787" t="inlineStr"/>
      <c r="H787" t="inlineStr">
        <is>
          <t>1437</t>
        </is>
      </c>
      <c r="I787" t="inlineStr"/>
      <c r="J787" t="inlineStr"/>
      <c r="K787" t="inlineStr">
        <is>
          <t>69 900 000</t>
        </is>
      </c>
      <c r="L787" t="inlineStr"/>
      <c r="M787" t="inlineStr"/>
      <c r="N787" t="inlineStr">
        <is>
          <t>Нет у нас</t>
        </is>
      </c>
      <c r="O787" t="inlineStr"/>
      <c r="P787" t="inlineStr"/>
      <c r="Q787" t="inlineStr"/>
      <c r="R787">
        <f>HYPERLINK("https://nordwestinvest.ru/real-estates/prodaza-novogo-sklada-1437-m2","ссылка")</f>
        <v/>
      </c>
      <c r="S787" t="inlineStr"/>
    </row>
    <row r="788">
      <c r="A788" t="inlineStr">
        <is>
          <t>Ленинградская область, Тосненский район</t>
        </is>
      </c>
      <c r="B788" t="inlineStr">
        <is>
          <t>Ленинградская обл, Федоровское зона, Складской, 8</t>
        </is>
      </c>
      <c r="C788" t="inlineStr">
        <is>
          <t>sale</t>
        </is>
      </c>
      <c r="D788" t="inlineStr"/>
      <c r="E788" t="inlineStr">
        <is>
          <t>Да</t>
        </is>
      </c>
      <c r="F788" t="inlineStr"/>
      <c r="G788" t="inlineStr"/>
      <c r="H788" t="inlineStr">
        <is>
          <t>650</t>
        </is>
      </c>
      <c r="I788" t="inlineStr"/>
      <c r="J788" t="inlineStr"/>
      <c r="K788" t="inlineStr">
        <is>
          <t>28 500 000</t>
        </is>
      </c>
      <c r="L788" t="inlineStr"/>
      <c r="M788" t="inlineStr"/>
      <c r="N788" t="inlineStr">
        <is>
          <t>Нет у нас</t>
        </is>
      </c>
      <c r="O788" t="inlineStr"/>
      <c r="P788" t="inlineStr"/>
      <c r="Q788" t="inlineStr"/>
      <c r="R788">
        <f>HYPERLINK("https://nordwestinvest.ru/real-estates/prodaza-650-m2-s-arendatorom","ссылка")</f>
        <v/>
      </c>
      <c r="S788" t="inlineStr"/>
    </row>
    <row r="789">
      <c r="A789" t="inlineStr">
        <is>
          <t>Лигово</t>
        </is>
      </c>
      <c r="B789" t="inlineStr">
        <is>
          <t>Партизана Германа ул, 47</t>
        </is>
      </c>
      <c r="C789" t="inlineStr">
        <is>
          <t>sale</t>
        </is>
      </c>
      <c r="D789" t="inlineStr"/>
      <c r="E789" t="inlineStr">
        <is>
          <t>Да</t>
        </is>
      </c>
      <c r="F789" t="inlineStr"/>
      <c r="G789" t="inlineStr"/>
      <c r="H789" t="inlineStr">
        <is>
          <t>364</t>
        </is>
      </c>
      <c r="I789" t="inlineStr"/>
      <c r="J789" t="inlineStr"/>
      <c r="K789" t="inlineStr">
        <is>
          <t>69 160 000</t>
        </is>
      </c>
      <c r="L789" t="inlineStr"/>
      <c r="M789" t="inlineStr"/>
      <c r="N789" t="inlineStr">
        <is>
          <t>Нет у нас</t>
        </is>
      </c>
      <c r="O789" t="inlineStr"/>
      <c r="P789" t="inlineStr"/>
      <c r="Q789" t="inlineStr"/>
      <c r="R789">
        <f>HYPERLINK("https://nordwestinvest.ru/real-estates/zakrytaia-prodaza-v-tc-s-arendatorom-burger-king","ссылка")</f>
        <v/>
      </c>
      <c r="S789" t="inlineStr"/>
    </row>
    <row r="790">
      <c r="A790" t="inlineStr">
        <is>
          <t>Литейный округ</t>
        </is>
      </c>
      <c r="B790" t="inlineStr">
        <is>
          <t>Фурштатская ул, 10</t>
        </is>
      </c>
      <c r="C790" t="inlineStr">
        <is>
          <t>sale</t>
        </is>
      </c>
      <c r="D790" t="inlineStr"/>
      <c r="E790" t="inlineStr">
        <is>
          <t>Да</t>
        </is>
      </c>
      <c r="F790" t="inlineStr"/>
      <c r="G790" t="inlineStr"/>
      <c r="H790" t="inlineStr">
        <is>
          <t>300</t>
        </is>
      </c>
      <c r="I790" t="inlineStr"/>
      <c r="J790" t="inlineStr"/>
      <c r="K790" t="inlineStr">
        <is>
          <t>100 000 000</t>
        </is>
      </c>
      <c r="L790" t="inlineStr"/>
      <c r="M790" t="inlineStr"/>
      <c r="N790" t="inlineStr">
        <is>
          <t>По адресу есть, но площадь другая</t>
        </is>
      </c>
      <c r="O790" t="inlineStr"/>
      <c r="P790" t="inlineStr"/>
      <c r="Q790" t="inlineStr"/>
      <c r="R790">
        <f>HYPERLINK("https://nordwestinvest.ru/real-estates/prodaza-premialnogo-ofisa-v-centre-goroda-300m2","ссылка")</f>
        <v/>
      </c>
      <c r="S790" t="inlineStr"/>
    </row>
    <row r="791">
      <c r="A791" t="inlineStr">
        <is>
          <t>Литейный округ</t>
        </is>
      </c>
      <c r="B791" t="inlineStr">
        <is>
          <t>Чехова ул., д. 39</t>
        </is>
      </c>
      <c r="C791" t="inlineStr">
        <is>
          <t>sale</t>
        </is>
      </c>
      <c r="D791" t="inlineStr">
        <is>
          <t>Да</t>
        </is>
      </c>
      <c r="E791" t="inlineStr"/>
      <c r="F791" t="inlineStr"/>
      <c r="G791" t="inlineStr">
        <is>
          <t>71.6</t>
        </is>
      </c>
      <c r="H791" t="inlineStr"/>
      <c r="I791" t="inlineStr"/>
      <c r="J791" t="inlineStr">
        <is>
          <t>14 434 560</t>
        </is>
      </c>
      <c r="K791" t="inlineStr"/>
      <c r="L791" t="inlineStr"/>
      <c r="M791" t="inlineStr">
        <is>
          <t>Нет у нас</t>
        </is>
      </c>
      <c r="N791" t="inlineStr"/>
      <c r="O791" t="inlineStr"/>
      <c r="P791" t="inlineStr"/>
      <c r="Q791">
        <f>HYPERLINK("https://knru.ru/catalog/chekhova-ul-d-39/","ссылка")</f>
        <v/>
      </c>
      <c r="R791" t="inlineStr"/>
      <c r="S791" t="inlineStr"/>
    </row>
    <row r="792">
      <c r="A792" t="inlineStr">
        <is>
          <t>Ломоносовский</t>
        </is>
      </c>
      <c r="B792" t="inlineStr">
        <is>
          <t>Адмиралтейская ул, 11</t>
        </is>
      </c>
      <c r="C792" t="inlineStr">
        <is>
          <t>sale</t>
        </is>
      </c>
      <c r="D792" t="inlineStr">
        <is>
          <t>Да</t>
        </is>
      </c>
      <c r="E792" t="inlineStr"/>
      <c r="F792" t="inlineStr"/>
      <c r="G792" t="inlineStr">
        <is>
          <t>88.8</t>
        </is>
      </c>
      <c r="H792" t="inlineStr"/>
      <c r="I792" t="inlineStr"/>
      <c r="J792" t="inlineStr">
        <is>
          <t>16 872 000</t>
        </is>
      </c>
      <c r="K792" t="inlineStr"/>
      <c r="L792" t="inlineStr"/>
      <c r="M792" t="inlineStr">
        <is>
          <t>Нет у нас</t>
        </is>
      </c>
      <c r="N792" t="inlineStr"/>
      <c r="O792" t="inlineStr"/>
      <c r="P792" t="inlineStr"/>
      <c r="Q792">
        <f>HYPERLINK("https://knru.ru/catalog/novosele-piterskij-pr-556875/","ссылка")</f>
        <v/>
      </c>
      <c r="R792" t="inlineStr"/>
      <c r="S792" t="inlineStr"/>
    </row>
    <row r="793">
      <c r="A793" t="inlineStr">
        <is>
          <t>Луизино</t>
        </is>
      </c>
      <c r="B793" t="inlineStr">
        <is>
          <t>Ольгинское ш, 69</t>
        </is>
      </c>
      <c r="C793" t="inlineStr">
        <is>
          <t>sale</t>
        </is>
      </c>
      <c r="D793" t="inlineStr">
        <is>
          <t>Да</t>
        </is>
      </c>
      <c r="E793" t="inlineStr"/>
      <c r="F793" t="inlineStr"/>
      <c r="G793" t="inlineStr">
        <is>
          <t>46500</t>
        </is>
      </c>
      <c r="H793" t="inlineStr"/>
      <c r="I793" t="inlineStr"/>
      <c r="J793" t="inlineStr">
        <is>
          <t>155 000 000</t>
        </is>
      </c>
      <c r="K793" t="inlineStr"/>
      <c r="L793" t="inlineStr"/>
      <c r="M793" t="inlineStr">
        <is>
          <t>Нет у нас</t>
        </is>
      </c>
      <c r="N793" t="inlineStr"/>
      <c r="O793" t="inlineStr"/>
      <c r="P793" t="inlineStr"/>
      <c r="Q793">
        <f>HYPERLINK("https://knru.ru/catalog/olginskoe-sh-69/","ссылка")</f>
        <v/>
      </c>
      <c r="R793" t="inlineStr"/>
      <c r="S793" t="inlineStr"/>
    </row>
    <row r="794">
      <c r="A794" t="inlineStr">
        <is>
          <t>Мартышкино</t>
        </is>
      </c>
      <c r="B794" t="inlineStr">
        <is>
          <t>Луговой пер, 3</t>
        </is>
      </c>
      <c r="C794" t="inlineStr">
        <is>
          <t>sale</t>
        </is>
      </c>
      <c r="D794" t="inlineStr">
        <is>
          <t>Да</t>
        </is>
      </c>
      <c r="E794" t="inlineStr"/>
      <c r="F794" t="inlineStr"/>
      <c r="G794" t="inlineStr">
        <is>
          <t>900</t>
        </is>
      </c>
      <c r="H794" t="inlineStr"/>
      <c r="I794" t="inlineStr"/>
      <c r="J794" t="inlineStr">
        <is>
          <t>85 000 000</t>
        </is>
      </c>
      <c r="K794" t="inlineStr"/>
      <c r="L794" t="inlineStr"/>
      <c r="M794" t="inlineStr">
        <is>
          <t>Нет у нас</t>
        </is>
      </c>
      <c r="N794" t="inlineStr"/>
      <c r="O794" t="inlineStr"/>
      <c r="P794" t="inlineStr"/>
      <c r="Q794">
        <f>HYPERLINK("https://knru.ru/catalog/lugovoj-per-3-558221/","ссылка")</f>
        <v/>
      </c>
      <c r="R794" t="inlineStr"/>
      <c r="S794" t="inlineStr"/>
    </row>
    <row r="795">
      <c r="A795" t="inlineStr">
        <is>
          <t>Мартышкино</t>
        </is>
      </c>
      <c r="B795" t="inlineStr">
        <is>
          <t>Луговой пер, 3</t>
        </is>
      </c>
      <c r="C795" t="inlineStr">
        <is>
          <t>sale</t>
        </is>
      </c>
      <c r="D795" t="inlineStr">
        <is>
          <t>Да</t>
        </is>
      </c>
      <c r="E795" t="inlineStr"/>
      <c r="F795" t="inlineStr"/>
      <c r="G795" t="inlineStr">
        <is>
          <t>1797</t>
        </is>
      </c>
      <c r="H795" t="inlineStr"/>
      <c r="I795" t="inlineStr"/>
      <c r="J795" t="inlineStr">
        <is>
          <t>115 000 000</t>
        </is>
      </c>
      <c r="K795" t="inlineStr"/>
      <c r="L795" t="inlineStr"/>
      <c r="M795" t="inlineStr">
        <is>
          <t>Нет у нас</t>
        </is>
      </c>
      <c r="N795" t="inlineStr"/>
      <c r="O795" t="inlineStr"/>
      <c r="P795" t="inlineStr"/>
      <c r="Q795">
        <f>HYPERLINK("https://knru.ru/catalog/lugovoj-per-3/","ссылка")</f>
        <v/>
      </c>
      <c r="R795" t="inlineStr"/>
      <c r="S795" t="inlineStr"/>
    </row>
    <row r="796">
      <c r="A796" t="inlineStr">
        <is>
          <t>Мартышкино</t>
        </is>
      </c>
      <c r="B796" t="inlineStr">
        <is>
          <t>Луговой пер, 3</t>
        </is>
      </c>
      <c r="C796" t="inlineStr">
        <is>
          <t>sale</t>
        </is>
      </c>
      <c r="D796" t="inlineStr">
        <is>
          <t>Да</t>
        </is>
      </c>
      <c r="E796" t="inlineStr"/>
      <c r="F796" t="inlineStr"/>
      <c r="G796" t="inlineStr">
        <is>
          <t>756</t>
        </is>
      </c>
      <c r="H796" t="inlineStr"/>
      <c r="I796" t="inlineStr"/>
      <c r="J796" t="inlineStr">
        <is>
          <t>71 350 000</t>
        </is>
      </c>
      <c r="K796" t="inlineStr"/>
      <c r="L796" t="inlineStr"/>
      <c r="M796" t="inlineStr">
        <is>
          <t>Нет у нас</t>
        </is>
      </c>
      <c r="N796" t="inlineStr"/>
      <c r="O796" t="inlineStr"/>
      <c r="P796" t="inlineStr"/>
      <c r="Q796">
        <f>HYPERLINK("https://knru.ru/catalog/lugovoj-per-3-557634/","ссылка")</f>
        <v/>
      </c>
      <c r="R796" t="inlineStr"/>
      <c r="S796" t="inlineStr"/>
    </row>
    <row r="797">
      <c r="A797" t="inlineStr">
        <is>
          <t>Марьино</t>
        </is>
      </c>
      <c r="B797" t="inlineStr">
        <is>
          <t>Ясная ул, 9к2</t>
        </is>
      </c>
      <c r="C797" t="inlineStr">
        <is>
          <t>sale</t>
        </is>
      </c>
      <c r="D797" t="inlineStr">
        <is>
          <t>Да</t>
        </is>
      </c>
      <c r="E797" t="inlineStr"/>
      <c r="F797" t="inlineStr"/>
      <c r="G797" t="inlineStr">
        <is>
          <t>131.3</t>
        </is>
      </c>
      <c r="H797" t="inlineStr"/>
      <c r="I797" t="inlineStr"/>
      <c r="J797" t="inlineStr">
        <is>
          <t>20 750 000</t>
        </is>
      </c>
      <c r="K797" t="inlineStr"/>
      <c r="L797" t="inlineStr"/>
      <c r="M797" t="inlineStr">
        <is>
          <t>Нет у нас</t>
        </is>
      </c>
      <c r="N797" t="inlineStr"/>
      <c r="O797" t="inlineStr"/>
      <c r="P797" t="inlineStr"/>
      <c r="Q797">
        <f>HYPERLINK("https://knru.ru/catalog/tsvetnoy-bulvar-d-9-k-1-1358210894/","ссылка")</f>
        <v/>
      </c>
      <c r="R797" t="inlineStr"/>
      <c r="S797" t="inlineStr"/>
    </row>
    <row r="798">
      <c r="A798" t="inlineStr">
        <is>
          <t>Марьино</t>
        </is>
      </c>
      <c r="B798" t="inlineStr">
        <is>
          <t>Ясная ул, 9к2</t>
        </is>
      </c>
      <c r="C798" t="inlineStr">
        <is>
          <t>sale</t>
        </is>
      </c>
      <c r="D798" t="inlineStr">
        <is>
          <t>Да</t>
        </is>
      </c>
      <c r="E798" t="inlineStr"/>
      <c r="F798" t="inlineStr"/>
      <c r="G798" t="inlineStr">
        <is>
          <t>172</t>
        </is>
      </c>
      <c r="H798" t="inlineStr"/>
      <c r="I798" t="inlineStr"/>
      <c r="J798" t="inlineStr">
        <is>
          <t>27 150 000</t>
        </is>
      </c>
      <c r="K798" t="inlineStr"/>
      <c r="L798" t="inlineStr"/>
      <c r="M798" t="inlineStr">
        <is>
          <t>Нет у нас</t>
        </is>
      </c>
      <c r="N798" t="inlineStr"/>
      <c r="O798" t="inlineStr"/>
      <c r="P798" t="inlineStr"/>
      <c r="Q798">
        <f>HYPERLINK("https://knru.ru/catalog/tsvetnoy-bulvar-d-9-k-1-1255335473/","ссылка")</f>
        <v/>
      </c>
      <c r="R798" t="inlineStr"/>
      <c r="S798" t="inlineStr"/>
    </row>
    <row r="799">
      <c r="A799" t="inlineStr">
        <is>
          <t>мкр Волховский</t>
        </is>
      </c>
      <c r="B799" t="inlineStr">
        <is>
          <t>Волховский мкр, 53</t>
        </is>
      </c>
      <c r="C799" t="inlineStr">
        <is>
          <t>sale</t>
        </is>
      </c>
      <c r="D799" t="inlineStr">
        <is>
          <t>Да</t>
        </is>
      </c>
      <c r="E799" t="inlineStr"/>
      <c r="F799" t="inlineStr"/>
      <c r="G799" t="inlineStr">
        <is>
          <t>4000</t>
        </is>
      </c>
      <c r="H799" t="inlineStr"/>
      <c r="I799" t="inlineStr"/>
      <c r="J799" t="inlineStr">
        <is>
          <t>440 000 000</t>
        </is>
      </c>
      <c r="K799" t="inlineStr"/>
      <c r="L799" t="inlineStr"/>
      <c r="M799" t="inlineStr">
        <is>
          <t>Нет у нас</t>
        </is>
      </c>
      <c r="N799" t="inlineStr"/>
      <c r="O799" t="inlineStr"/>
      <c r="P799" t="inlineStr"/>
      <c r="Q799">
        <f>HYPERLINK("https://knru.ru/catalog/leningradskaya-oblast-g-volxov-volxovskij-pr-d-53/","ссылка")</f>
        <v/>
      </c>
      <c r="R799" t="inlineStr"/>
      <c r="S799" t="inlineStr"/>
    </row>
    <row r="800">
      <c r="A800" t="inlineStr">
        <is>
          <t>Московский</t>
        </is>
      </c>
      <c r="B800" t="inlineStr">
        <is>
          <t>1-й Предпортовый проезд, 15стр1</t>
        </is>
      </c>
      <c r="C800" t="inlineStr">
        <is>
          <t>sale</t>
        </is>
      </c>
      <c r="D800" t="inlineStr"/>
      <c r="E800" t="inlineStr">
        <is>
          <t>Да</t>
        </is>
      </c>
      <c r="F800" t="inlineStr"/>
      <c r="G800" t="inlineStr"/>
      <c r="H800" t="inlineStr">
        <is>
          <t>149</t>
        </is>
      </c>
      <c r="I800" t="inlineStr"/>
      <c r="J800" t="inlineStr"/>
      <c r="K800" t="inlineStr">
        <is>
          <t>43 200 000</t>
        </is>
      </c>
      <c r="L800" t="inlineStr"/>
      <c r="M800" t="inlineStr"/>
      <c r="N800" t="inlineStr">
        <is>
          <t>Нет у нас</t>
        </is>
      </c>
      <c r="O800" t="inlineStr"/>
      <c r="P800" t="inlineStr"/>
      <c r="Q800" t="inlineStr"/>
      <c r="R800">
        <f>HYPERLINK("https://nordwestinvest.ru/real-estates/prodaza-psn-14967m2-1","ссылка")</f>
        <v/>
      </c>
      <c r="S800" t="inlineStr"/>
    </row>
    <row r="801">
      <c r="A801" t="inlineStr">
        <is>
          <t>Московский</t>
        </is>
      </c>
      <c r="B801" t="inlineStr">
        <is>
          <t>4-й Предпортовый проезд</t>
        </is>
      </c>
      <c r="C801" t="inlineStr">
        <is>
          <t>sale</t>
        </is>
      </c>
      <c r="D801" t="inlineStr">
        <is>
          <t>Да</t>
        </is>
      </c>
      <c r="E801" t="inlineStr"/>
      <c r="F801" t="inlineStr"/>
      <c r="G801" t="inlineStr">
        <is>
          <t>49000</t>
        </is>
      </c>
      <c r="H801" t="inlineStr"/>
      <c r="I801" t="inlineStr"/>
      <c r="J801" t="inlineStr">
        <is>
          <t>700 000 000</t>
        </is>
      </c>
      <c r="K801" t="inlineStr"/>
      <c r="L801" t="inlineStr"/>
      <c r="M801" t="inlineStr">
        <is>
          <t>Нет у нас</t>
        </is>
      </c>
      <c r="N801" t="inlineStr"/>
      <c r="O801" t="inlineStr"/>
      <c r="P801" t="inlineStr"/>
      <c r="Q801">
        <f>HYPERLINK("https://knru.ru/catalog/4-j-predportovyj-proezd/","ссылка")</f>
        <v/>
      </c>
      <c r="R801" t="inlineStr"/>
      <c r="S801" t="inlineStr"/>
    </row>
    <row r="802">
      <c r="A802" t="inlineStr">
        <is>
          <t>Московский</t>
        </is>
      </c>
      <c r="B802" t="inlineStr">
        <is>
          <t>Благодатная ул, 35</t>
        </is>
      </c>
      <c r="C802" t="inlineStr">
        <is>
          <t>sale</t>
        </is>
      </c>
      <c r="D802" t="inlineStr">
        <is>
          <t>Да</t>
        </is>
      </c>
      <c r="E802" t="inlineStr"/>
      <c r="F802" t="inlineStr"/>
      <c r="G802" t="inlineStr">
        <is>
          <t>91</t>
        </is>
      </c>
      <c r="H802" t="inlineStr"/>
      <c r="I802" t="inlineStr"/>
      <c r="J802" t="inlineStr">
        <is>
          <t>32 000 000</t>
        </is>
      </c>
      <c r="K802" t="inlineStr"/>
      <c r="L802" t="inlineStr"/>
      <c r="M802" t="inlineStr">
        <is>
          <t>Совпало</t>
        </is>
      </c>
      <c r="N802" t="inlineStr"/>
      <c r="O802" t="inlineStr"/>
      <c r="P802" t="inlineStr"/>
      <c r="Q802">
        <f>HYPERLINK("https://knru.ru/catalog/ul-blagodatnaya-d-35/","ссылка")</f>
        <v/>
      </c>
      <c r="R802" t="inlineStr"/>
      <c r="S802" t="inlineStr"/>
    </row>
    <row r="803">
      <c r="A803" t="inlineStr">
        <is>
          <t>Московский</t>
        </is>
      </c>
      <c r="B803" t="inlineStr">
        <is>
          <t>Благодатная ул, 50</t>
        </is>
      </c>
      <c r="C803" t="inlineStr">
        <is>
          <t>sale</t>
        </is>
      </c>
      <c r="D803" t="inlineStr">
        <is>
          <t>Да</t>
        </is>
      </c>
      <c r="E803" t="inlineStr"/>
      <c r="F803" t="inlineStr"/>
      <c r="G803" t="inlineStr">
        <is>
          <t>68.8</t>
        </is>
      </c>
      <c r="H803" t="inlineStr"/>
      <c r="I803" t="inlineStr"/>
      <c r="J803" t="inlineStr">
        <is>
          <t>34 400 000</t>
        </is>
      </c>
      <c r="K803" t="inlineStr"/>
      <c r="L803" t="inlineStr"/>
      <c r="M803" t="inlineStr">
        <is>
          <t>Нет у нас</t>
        </is>
      </c>
      <c r="N803" t="inlineStr"/>
      <c r="O803" t="inlineStr"/>
      <c r="P803" t="inlineStr"/>
      <c r="Q803">
        <f>HYPERLINK("https://knru.ru/catalog/ul-blagodatnaya-d-50-1991999534/","ссылка")</f>
        <v/>
      </c>
      <c r="R803" t="inlineStr"/>
      <c r="S803" t="inlineStr"/>
    </row>
    <row r="804">
      <c r="A804" t="inlineStr">
        <is>
          <t>Московский</t>
        </is>
      </c>
      <c r="B804" t="inlineStr">
        <is>
          <t>Благодатная ул, 50</t>
        </is>
      </c>
      <c r="C804" t="inlineStr">
        <is>
          <t>sale</t>
        </is>
      </c>
      <c r="D804" t="inlineStr">
        <is>
          <t>Да</t>
        </is>
      </c>
      <c r="E804" t="inlineStr"/>
      <c r="F804" t="inlineStr"/>
      <c r="G804" t="inlineStr">
        <is>
          <t>208.9</t>
        </is>
      </c>
      <c r="H804" t="inlineStr"/>
      <c r="I804" t="inlineStr"/>
      <c r="J804" t="inlineStr">
        <is>
          <t>91 180 485</t>
        </is>
      </c>
      <c r="K804" t="inlineStr"/>
      <c r="L804" t="inlineStr"/>
      <c r="M804" t="inlineStr">
        <is>
          <t>Нет у нас</t>
        </is>
      </c>
      <c r="N804" t="inlineStr"/>
      <c r="O804" t="inlineStr"/>
      <c r="P804" t="inlineStr"/>
      <c r="Q804">
        <f>HYPERLINK("https://knru.ru/catalog/ul-blagodatnaya-d-50-556621/","ссылка")</f>
        <v/>
      </c>
      <c r="R804" t="inlineStr"/>
      <c r="S804" t="inlineStr"/>
    </row>
    <row r="805">
      <c r="A805" t="inlineStr">
        <is>
          <t>Московский</t>
        </is>
      </c>
      <c r="B805" t="inlineStr">
        <is>
          <t>Благодатная ул, 50</t>
        </is>
      </c>
      <c r="C805" t="inlineStr">
        <is>
          <t>sale</t>
        </is>
      </c>
      <c r="D805" t="inlineStr">
        <is>
          <t>Да</t>
        </is>
      </c>
      <c r="E805" t="inlineStr"/>
      <c r="F805" t="inlineStr"/>
      <c r="G805" t="inlineStr">
        <is>
          <t>180</t>
        </is>
      </c>
      <c r="H805" t="inlineStr"/>
      <c r="I805" t="inlineStr"/>
      <c r="J805" t="inlineStr">
        <is>
          <t>76 300 554</t>
        </is>
      </c>
      <c r="K805" t="inlineStr"/>
      <c r="L805" t="inlineStr"/>
      <c r="M805" t="inlineStr">
        <is>
          <t>Нет у нас</t>
        </is>
      </c>
      <c r="N805" t="inlineStr"/>
      <c r="O805" t="inlineStr"/>
      <c r="P805" t="inlineStr"/>
      <c r="Q805">
        <f>HYPERLINK("https://knru.ru/catalog/ul-blagodatnaya-d-50-556620/","ссылка")</f>
        <v/>
      </c>
      <c r="R805" t="inlineStr"/>
      <c r="S805" t="inlineStr"/>
    </row>
    <row r="806">
      <c r="A806" t="inlineStr">
        <is>
          <t>Московский</t>
        </is>
      </c>
      <c r="B806" t="inlineStr">
        <is>
          <t>Благодатная ул, 50</t>
        </is>
      </c>
      <c r="C806" t="inlineStr">
        <is>
          <t>sale</t>
        </is>
      </c>
      <c r="D806" t="inlineStr">
        <is>
          <t>Да</t>
        </is>
      </c>
      <c r="E806" t="inlineStr"/>
      <c r="F806" t="inlineStr"/>
      <c r="G806" t="inlineStr">
        <is>
          <t>103.4</t>
        </is>
      </c>
      <c r="H806" t="inlineStr"/>
      <c r="I806" t="inlineStr"/>
      <c r="J806" t="inlineStr">
        <is>
          <t>46 530 000</t>
        </is>
      </c>
      <c r="K806" t="inlineStr"/>
      <c r="L806" t="inlineStr"/>
      <c r="M806" t="inlineStr">
        <is>
          <t>Нет у нас</t>
        </is>
      </c>
      <c r="N806" t="inlineStr"/>
      <c r="O806" t="inlineStr"/>
      <c r="P806" t="inlineStr"/>
      <c r="Q806">
        <f>HYPERLINK("https://knru.ru/catalog/ul-blagodatnaya-d-50-556618/","ссылка")</f>
        <v/>
      </c>
      <c r="R806" t="inlineStr"/>
      <c r="S806" t="inlineStr"/>
    </row>
    <row r="807">
      <c r="A807" t="inlineStr">
        <is>
          <t>Московский</t>
        </is>
      </c>
      <c r="B807" t="inlineStr">
        <is>
          <t>Благодатная ул, 50</t>
        </is>
      </c>
      <c r="C807" t="inlineStr">
        <is>
          <t>sale</t>
        </is>
      </c>
      <c r="D807" t="inlineStr">
        <is>
          <t>Да</t>
        </is>
      </c>
      <c r="E807" t="inlineStr"/>
      <c r="F807" t="inlineStr"/>
      <c r="G807" t="inlineStr">
        <is>
          <t>99.8</t>
        </is>
      </c>
      <c r="H807" t="inlineStr"/>
      <c r="I807" t="inlineStr"/>
      <c r="J807" t="inlineStr">
        <is>
          <t>44 120 000</t>
        </is>
      </c>
      <c r="K807" t="inlineStr"/>
      <c r="L807" t="inlineStr"/>
      <c r="M807" t="inlineStr">
        <is>
          <t>Нет у нас</t>
        </is>
      </c>
      <c r="N807" t="inlineStr"/>
      <c r="O807" t="inlineStr"/>
      <c r="P807" t="inlineStr"/>
      <c r="Q807">
        <f>HYPERLINK("https://knru.ru/catalog/ul-blagodatnaya-d-50-556617/","ссылка")</f>
        <v/>
      </c>
      <c r="R807" t="inlineStr"/>
      <c r="S807" t="inlineStr"/>
    </row>
    <row r="808">
      <c r="A808" t="inlineStr">
        <is>
          <t>Московский</t>
        </is>
      </c>
      <c r="B808" t="inlineStr">
        <is>
          <t>Благодатная ул, 50</t>
        </is>
      </c>
      <c r="C808" t="inlineStr">
        <is>
          <t>sale</t>
        </is>
      </c>
      <c r="D808" t="inlineStr">
        <is>
          <t>Да</t>
        </is>
      </c>
      <c r="E808" t="inlineStr"/>
      <c r="F808" t="inlineStr"/>
      <c r="G808" t="inlineStr">
        <is>
          <t>92.1</t>
        </is>
      </c>
      <c r="H808" t="inlineStr"/>
      <c r="I808" t="inlineStr"/>
      <c r="J808" t="inlineStr">
        <is>
          <t>36 840 000</t>
        </is>
      </c>
      <c r="K808" t="inlineStr"/>
      <c r="L808" t="inlineStr"/>
      <c r="M808" t="inlineStr">
        <is>
          <t>Нет у нас</t>
        </is>
      </c>
      <c r="N808" t="inlineStr"/>
      <c r="O808" t="inlineStr"/>
      <c r="P808" t="inlineStr"/>
      <c r="Q808">
        <f>HYPERLINK("https://knru.ru/catalog/ul-blagodatnaya-d-50-556616/","ссылка")</f>
        <v/>
      </c>
      <c r="R808" t="inlineStr"/>
      <c r="S808" t="inlineStr"/>
    </row>
    <row r="809">
      <c r="A809" t="inlineStr">
        <is>
          <t>Московский</t>
        </is>
      </c>
      <c r="B809" t="inlineStr">
        <is>
          <t>Благодатная ул, 50</t>
        </is>
      </c>
      <c r="C809" t="inlineStr">
        <is>
          <t>sale</t>
        </is>
      </c>
      <c r="D809" t="inlineStr">
        <is>
          <t>Да</t>
        </is>
      </c>
      <c r="E809" t="inlineStr"/>
      <c r="F809" t="inlineStr"/>
      <c r="G809" t="inlineStr">
        <is>
          <t>84.6</t>
        </is>
      </c>
      <c r="H809" t="inlineStr"/>
      <c r="I809" t="inlineStr"/>
      <c r="J809" t="inlineStr">
        <is>
          <t>29 024 660</t>
        </is>
      </c>
      <c r="K809" t="inlineStr"/>
      <c r="L809" t="inlineStr"/>
      <c r="M809" t="inlineStr">
        <is>
          <t>Нет у нас</t>
        </is>
      </c>
      <c r="N809" t="inlineStr"/>
      <c r="O809" t="inlineStr"/>
      <c r="P809" t="inlineStr"/>
      <c r="Q809">
        <f>HYPERLINK("https://knru.ru/catalog/ul-blagodatnaya-d-50-556614/","ссылка")</f>
        <v/>
      </c>
      <c r="R809" t="inlineStr"/>
      <c r="S809" t="inlineStr"/>
    </row>
    <row r="810">
      <c r="A810" t="inlineStr">
        <is>
          <t>Московский</t>
        </is>
      </c>
      <c r="B810" t="inlineStr">
        <is>
          <t>Благодатная ул, 50</t>
        </is>
      </c>
      <c r="C810" t="inlineStr">
        <is>
          <t>sale</t>
        </is>
      </c>
      <c r="D810" t="inlineStr">
        <is>
          <t>Да</t>
        </is>
      </c>
      <c r="E810" t="inlineStr"/>
      <c r="F810" t="inlineStr"/>
      <c r="G810" t="inlineStr">
        <is>
          <t>75.4</t>
        </is>
      </c>
      <c r="H810" t="inlineStr"/>
      <c r="I810" t="inlineStr"/>
      <c r="J810" t="inlineStr">
        <is>
          <t>33 930 000</t>
        </is>
      </c>
      <c r="K810" t="inlineStr"/>
      <c r="L810" t="inlineStr"/>
      <c r="M810" t="inlineStr">
        <is>
          <t>Нет у нас</t>
        </is>
      </c>
      <c r="N810" t="inlineStr"/>
      <c r="O810" t="inlineStr"/>
      <c r="P810" t="inlineStr"/>
      <c r="Q810">
        <f>HYPERLINK("https://knru.ru/catalog/ul-blagodatnaya-d-50-556613/","ссылка")</f>
        <v/>
      </c>
      <c r="R810" t="inlineStr"/>
      <c r="S810" t="inlineStr"/>
    </row>
    <row r="811">
      <c r="A811" t="inlineStr">
        <is>
          <t>Московский</t>
        </is>
      </c>
      <c r="B811" t="inlineStr">
        <is>
          <t>Благодатная ул, 50</t>
        </is>
      </c>
      <c r="C811" t="inlineStr">
        <is>
          <t>sale</t>
        </is>
      </c>
      <c r="D811" t="inlineStr">
        <is>
          <t>Да</t>
        </is>
      </c>
      <c r="E811" t="inlineStr"/>
      <c r="F811" t="inlineStr"/>
      <c r="G811" t="inlineStr">
        <is>
          <t>57.6</t>
        </is>
      </c>
      <c r="H811" t="inlineStr"/>
      <c r="I811" t="inlineStr"/>
      <c r="J811" t="inlineStr">
        <is>
          <t>20 160 000</t>
        </is>
      </c>
      <c r="K811" t="inlineStr"/>
      <c r="L811" t="inlineStr"/>
      <c r="M811" t="inlineStr">
        <is>
          <t>Нет у нас</t>
        </is>
      </c>
      <c r="N811" t="inlineStr"/>
      <c r="O811" t="inlineStr"/>
      <c r="P811" t="inlineStr"/>
      <c r="Q811">
        <f>HYPERLINK("https://knru.ru/catalog/ul-blagodatnaya-d-50-556612/","ссылка")</f>
        <v/>
      </c>
      <c r="R811" t="inlineStr"/>
      <c r="S811" t="inlineStr"/>
    </row>
    <row r="812">
      <c r="A812" t="inlineStr">
        <is>
          <t>Московский</t>
        </is>
      </c>
      <c r="B812" t="inlineStr">
        <is>
          <t>Благодатная ул, 50</t>
        </is>
      </c>
      <c r="C812" t="inlineStr">
        <is>
          <t>sale</t>
        </is>
      </c>
      <c r="D812" t="inlineStr">
        <is>
          <t>Да</t>
        </is>
      </c>
      <c r="E812" t="inlineStr"/>
      <c r="F812" t="inlineStr"/>
      <c r="G812" t="inlineStr">
        <is>
          <t>51.3</t>
        </is>
      </c>
      <c r="H812" t="inlineStr"/>
      <c r="I812" t="inlineStr"/>
      <c r="J812" t="inlineStr">
        <is>
          <t>20 520 000</t>
        </is>
      </c>
      <c r="K812" t="inlineStr"/>
      <c r="L812" t="inlineStr"/>
      <c r="M812" t="inlineStr">
        <is>
          <t>Нет у нас</t>
        </is>
      </c>
      <c r="N812" t="inlineStr"/>
      <c r="O812" t="inlineStr"/>
      <c r="P812" t="inlineStr"/>
      <c r="Q812">
        <f>HYPERLINK("https://knru.ru/catalog/ul-blagodatnaya-d-50-556610/","ссылка")</f>
        <v/>
      </c>
      <c r="R812" t="inlineStr"/>
      <c r="S812" t="inlineStr"/>
    </row>
    <row r="813">
      <c r="A813" t="inlineStr">
        <is>
          <t>Московский</t>
        </is>
      </c>
      <c r="B813" t="inlineStr">
        <is>
          <t>Благодатная ул, 50</t>
        </is>
      </c>
      <c r="C813" t="inlineStr">
        <is>
          <t>sale</t>
        </is>
      </c>
      <c r="D813" t="inlineStr">
        <is>
          <t>Да</t>
        </is>
      </c>
      <c r="E813" t="inlineStr"/>
      <c r="F813" t="inlineStr"/>
      <c r="G813" t="inlineStr">
        <is>
          <t>35.5</t>
        </is>
      </c>
      <c r="H813" t="inlineStr"/>
      <c r="I813" t="inlineStr"/>
      <c r="J813" t="inlineStr">
        <is>
          <t>17 750 000</t>
        </is>
      </c>
      <c r="K813" t="inlineStr"/>
      <c r="L813" t="inlineStr"/>
      <c r="M813" t="inlineStr">
        <is>
          <t>Нет у нас</t>
        </is>
      </c>
      <c r="N813" t="inlineStr"/>
      <c r="O813" t="inlineStr"/>
      <c r="P813" t="inlineStr"/>
      <c r="Q813">
        <f>HYPERLINK("https://knru.ru/catalog/ul-blagodatnaya-d-50/","ссылка")</f>
        <v/>
      </c>
      <c r="R813" t="inlineStr"/>
      <c r="S813" t="inlineStr"/>
    </row>
    <row r="814">
      <c r="A814" t="inlineStr">
        <is>
          <t>Московский</t>
        </is>
      </c>
      <c r="B814" t="inlineStr">
        <is>
          <t>Варшавская ул, 51к1</t>
        </is>
      </c>
      <c r="C814" t="inlineStr">
        <is>
          <t>sale</t>
        </is>
      </c>
      <c r="D814" t="inlineStr"/>
      <c r="E814" t="inlineStr">
        <is>
          <t>Да</t>
        </is>
      </c>
      <c r="F814" t="inlineStr"/>
      <c r="G814" t="inlineStr"/>
      <c r="H814" t="inlineStr">
        <is>
          <t>513.1</t>
        </is>
      </c>
      <c r="I814" t="inlineStr"/>
      <c r="J814" t="inlineStr"/>
      <c r="K814" t="inlineStr">
        <is>
          <t>96 000 000</t>
        </is>
      </c>
      <c r="L814" t="inlineStr"/>
      <c r="M814" t="inlineStr"/>
      <c r="N814" t="inlineStr">
        <is>
          <t>По адресу есть, но площадь другая</t>
        </is>
      </c>
      <c r="O814" t="inlineStr"/>
      <c r="P814" t="inlineStr"/>
      <c r="Q814" t="inlineStr"/>
      <c r="R814">
        <f>HYPERLINK("https://nordwestinvest.ru/real-estates/prodaza-pomeshheniia-5131-m2","ссылка")</f>
        <v/>
      </c>
      <c r="S814" t="inlineStr"/>
    </row>
    <row r="815">
      <c r="A815" t="inlineStr">
        <is>
          <t>Московский</t>
        </is>
      </c>
      <c r="B815" t="inlineStr">
        <is>
          <t>Варшавская ул, 51к1</t>
        </is>
      </c>
      <c r="C815" t="inlineStr">
        <is>
          <t>sale</t>
        </is>
      </c>
      <c r="D815" t="inlineStr"/>
      <c r="E815" t="inlineStr">
        <is>
          <t>Да</t>
        </is>
      </c>
      <c r="F815" t="inlineStr"/>
      <c r="G815" t="inlineStr"/>
      <c r="H815" t="inlineStr">
        <is>
          <t>98.4</t>
        </is>
      </c>
      <c r="I815" t="inlineStr"/>
      <c r="J815" t="inlineStr"/>
      <c r="K815" t="inlineStr">
        <is>
          <t>10 000 000</t>
        </is>
      </c>
      <c r="L815" t="inlineStr"/>
      <c r="M815" t="inlineStr"/>
      <c r="N815" t="inlineStr">
        <is>
          <t>По адресу есть, но площадь другая</t>
        </is>
      </c>
      <c r="O815" t="inlineStr"/>
      <c r="P815" t="inlineStr"/>
      <c r="Q815" t="inlineStr"/>
      <c r="R815">
        <f>HYPERLINK("https://nordwestinvest.ru/real-estates/prodaza-pomeshheniia-196-m2","ссылка")</f>
        <v/>
      </c>
      <c r="S815" t="inlineStr"/>
    </row>
    <row r="816">
      <c r="A816" t="inlineStr">
        <is>
          <t>Московский</t>
        </is>
      </c>
      <c r="B816" t="inlineStr">
        <is>
          <t>Варшавская ул, 61</t>
        </is>
      </c>
      <c r="C816" t="inlineStr">
        <is>
          <t>sale</t>
        </is>
      </c>
      <c r="D816" t="inlineStr">
        <is>
          <t>Да</t>
        </is>
      </c>
      <c r="E816" t="inlineStr"/>
      <c r="F816" t="inlineStr"/>
      <c r="G816" t="inlineStr">
        <is>
          <t>186</t>
        </is>
      </c>
      <c r="H816" t="inlineStr"/>
      <c r="I816" t="inlineStr"/>
      <c r="J816" t="inlineStr">
        <is>
          <t>76 000 000</t>
        </is>
      </c>
      <c r="K816" t="inlineStr"/>
      <c r="L816" t="inlineStr"/>
      <c r="M816" t="inlineStr">
        <is>
          <t>Нет у нас</t>
        </is>
      </c>
      <c r="N816" t="inlineStr"/>
      <c r="O816" t="inlineStr"/>
      <c r="P816" t="inlineStr"/>
      <c r="Q816">
        <f>HYPERLINK("https://knru.ru/catalog/varshavskaya-ul-d-61/","ссылка")</f>
        <v/>
      </c>
      <c r="R816" t="inlineStr"/>
      <c r="S816" t="inlineStr"/>
    </row>
    <row r="817">
      <c r="A817" t="inlineStr">
        <is>
          <t>Московский</t>
        </is>
      </c>
      <c r="B817" t="inlineStr">
        <is>
          <t>Варшавская ул, 6к1</t>
        </is>
      </c>
      <c r="C817" t="inlineStr">
        <is>
          <t>sale</t>
        </is>
      </c>
      <c r="D817" t="inlineStr"/>
      <c r="E817" t="inlineStr">
        <is>
          <t>Да</t>
        </is>
      </c>
      <c r="F817" t="inlineStr"/>
      <c r="G817" t="inlineStr"/>
      <c r="H817" t="inlineStr">
        <is>
          <t>572.9</t>
        </is>
      </c>
      <c r="I817" t="inlineStr"/>
      <c r="J817" t="inlineStr"/>
      <c r="K817" t="inlineStr">
        <is>
          <t>196 000 000</t>
        </is>
      </c>
      <c r="L817" t="inlineStr"/>
      <c r="M817" t="inlineStr"/>
      <c r="N817" t="inlineStr">
        <is>
          <t>По адресу есть, но площадь другая</t>
        </is>
      </c>
      <c r="O817" t="inlineStr"/>
      <c r="P817" t="inlineStr"/>
      <c r="Q817" t="inlineStr"/>
      <c r="R817">
        <f>HYPERLINK("https://nordwestinvest.ru/real-estates/prodaza-uglovogo-pomeshheniia-s-piaterockoi","ссылка")</f>
        <v/>
      </c>
      <c r="S817" t="inlineStr"/>
    </row>
    <row r="818">
      <c r="A818" t="inlineStr">
        <is>
          <t>Московский</t>
        </is>
      </c>
      <c r="B818" t="inlineStr">
        <is>
          <t>Витебский пр-кт, 99к1стр1</t>
        </is>
      </c>
      <c r="C818" t="inlineStr">
        <is>
          <t>sale</t>
        </is>
      </c>
      <c r="D818" t="inlineStr">
        <is>
          <t>Да</t>
        </is>
      </c>
      <c r="E818" t="inlineStr"/>
      <c r="F818" t="inlineStr"/>
      <c r="G818" t="inlineStr">
        <is>
          <t>712</t>
        </is>
      </c>
      <c r="H818" t="inlineStr"/>
      <c r="I818" t="inlineStr"/>
      <c r="J818" t="inlineStr">
        <is>
          <t>142 420 000</t>
        </is>
      </c>
      <c r="K818" t="inlineStr"/>
      <c r="L818" t="inlineStr"/>
      <c r="M818" t="inlineStr">
        <is>
          <t>Нет у нас</t>
        </is>
      </c>
      <c r="N818" t="inlineStr"/>
      <c r="O818" t="inlineStr"/>
      <c r="P818" t="inlineStr"/>
      <c r="Q818">
        <f>HYPERLINK("https://knru.ru/catalog/vitebskiy-pr-kt-d-99-k-1/","ссылка")</f>
        <v/>
      </c>
      <c r="R818" t="inlineStr"/>
      <c r="S818" t="inlineStr"/>
    </row>
    <row r="819">
      <c r="A819" t="inlineStr">
        <is>
          <t>Московский</t>
        </is>
      </c>
      <c r="B819" t="inlineStr">
        <is>
          <t>Витебский пр-кт, 99к1стр1</t>
        </is>
      </c>
      <c r="C819" t="inlineStr">
        <is>
          <t>sale</t>
        </is>
      </c>
      <c r="D819" t="inlineStr">
        <is>
          <t>Да</t>
        </is>
      </c>
      <c r="E819" t="inlineStr"/>
      <c r="F819" t="inlineStr"/>
      <c r="G819" t="inlineStr">
        <is>
          <t>214</t>
        </is>
      </c>
      <c r="H819" t="inlineStr"/>
      <c r="I819" t="inlineStr"/>
      <c r="J819" t="inlineStr">
        <is>
          <t>64 200 000</t>
        </is>
      </c>
      <c r="K819" t="inlineStr"/>
      <c r="L819" t="inlineStr"/>
      <c r="M819" t="inlineStr">
        <is>
          <t>Нет у нас</t>
        </is>
      </c>
      <c r="N819" t="inlineStr"/>
      <c r="O819" t="inlineStr"/>
      <c r="P819" t="inlineStr"/>
      <c r="Q819">
        <f>HYPERLINK("https://knru.ru/catalog/vitebskij-pr-kt-d-99-k-1/","ссылка")</f>
        <v/>
      </c>
      <c r="R819" t="inlineStr"/>
      <c r="S819" t="inlineStr"/>
    </row>
    <row r="820">
      <c r="A820" t="inlineStr">
        <is>
          <t>Московский</t>
        </is>
      </c>
      <c r="B820" t="inlineStr">
        <is>
          <t>Дизельный проезд, 4</t>
        </is>
      </c>
      <c r="C820" t="inlineStr">
        <is>
          <t>sale</t>
        </is>
      </c>
      <c r="D820" t="inlineStr">
        <is>
          <t>Да</t>
        </is>
      </c>
      <c r="E820" t="inlineStr"/>
      <c r="F820" t="inlineStr"/>
      <c r="G820" t="inlineStr">
        <is>
          <t>1470</t>
        </is>
      </c>
      <c r="H820" t="inlineStr"/>
      <c r="I820" t="inlineStr"/>
      <c r="J820" t="inlineStr">
        <is>
          <t>150 000 000</t>
        </is>
      </c>
      <c r="K820" t="inlineStr"/>
      <c r="L820" t="inlineStr"/>
      <c r="M820" t="inlineStr">
        <is>
          <t>Нет у нас</t>
        </is>
      </c>
      <c r="N820" t="inlineStr"/>
      <c r="O820" t="inlineStr"/>
      <c r="P820" t="inlineStr"/>
      <c r="Q820">
        <f>HYPERLINK("https://knru.ru/catalog/dizelnyj-proezd-4/","ссылка")</f>
        <v/>
      </c>
      <c r="R820" t="inlineStr"/>
      <c r="S820" t="inlineStr"/>
    </row>
    <row r="821">
      <c r="A821" t="inlineStr">
        <is>
          <t>Московский</t>
        </is>
      </c>
      <c r="B821" t="inlineStr">
        <is>
          <t>Заставская ул, 33стр3</t>
        </is>
      </c>
      <c r="C821" t="inlineStr">
        <is>
          <t>sale</t>
        </is>
      </c>
      <c r="D821" t="inlineStr">
        <is>
          <t>Да</t>
        </is>
      </c>
      <c r="E821" t="inlineStr"/>
      <c r="F821" t="inlineStr"/>
      <c r="G821" t="inlineStr">
        <is>
          <t>12.1</t>
        </is>
      </c>
      <c r="H821" t="inlineStr"/>
      <c r="I821" t="inlineStr"/>
      <c r="J821" t="inlineStr">
        <is>
          <t>4 537 500</t>
        </is>
      </c>
      <c r="K821" t="inlineStr"/>
      <c r="L821" t="inlineStr"/>
      <c r="M821" t="inlineStr">
        <is>
          <t>Нет у нас</t>
        </is>
      </c>
      <c r="N821" t="inlineStr"/>
      <c r="O821" t="inlineStr"/>
      <c r="P821" t="inlineStr"/>
      <c r="Q821">
        <f>HYPERLINK("https://knru.ru/catalog/ul-zastavskaya-33-str-3-1108803886/","ссылка")</f>
        <v/>
      </c>
      <c r="R821" t="inlineStr"/>
      <c r="S821" t="inlineStr"/>
    </row>
    <row r="822">
      <c r="A822" t="inlineStr">
        <is>
          <t>Московский</t>
        </is>
      </c>
      <c r="B822" t="inlineStr">
        <is>
          <t>Заставская ул, 33стр3</t>
        </is>
      </c>
      <c r="C822" t="inlineStr">
        <is>
          <t>sale</t>
        </is>
      </c>
      <c r="D822" t="inlineStr">
        <is>
          <t>Да</t>
        </is>
      </c>
      <c r="E822" t="inlineStr"/>
      <c r="F822" t="inlineStr"/>
      <c r="G822" t="inlineStr">
        <is>
          <t>800</t>
        </is>
      </c>
      <c r="H822" t="inlineStr"/>
      <c r="I822" t="inlineStr"/>
      <c r="J822" t="inlineStr">
        <is>
          <t>144 000 000</t>
        </is>
      </c>
      <c r="K822" t="inlineStr"/>
      <c r="L822" t="inlineStr"/>
      <c r="M822" t="inlineStr">
        <is>
          <t>Нет у нас</t>
        </is>
      </c>
      <c r="N822" t="inlineStr"/>
      <c r="O822" t="inlineStr"/>
      <c r="P822" t="inlineStr"/>
      <c r="Q822">
        <f>HYPERLINK("https://knru.ru/catalog/ul-zastavskaya-33-str-3-1243903161/","ссылка")</f>
        <v/>
      </c>
      <c r="R822" t="inlineStr"/>
      <c r="S822" t="inlineStr"/>
    </row>
    <row r="823">
      <c r="A823" t="inlineStr">
        <is>
          <t>Московский</t>
        </is>
      </c>
      <c r="B823" t="inlineStr">
        <is>
          <t>Заставская ул, 33стр3</t>
        </is>
      </c>
      <c r="C823" t="inlineStr">
        <is>
          <t>sale</t>
        </is>
      </c>
      <c r="D823" t="inlineStr">
        <is>
          <t>Да</t>
        </is>
      </c>
      <c r="E823" t="inlineStr"/>
      <c r="F823" t="inlineStr"/>
      <c r="G823" t="inlineStr">
        <is>
          <t>500</t>
        </is>
      </c>
      <c r="H823" t="inlineStr"/>
      <c r="I823" t="inlineStr"/>
      <c r="J823" t="inlineStr">
        <is>
          <t>95 000 000</t>
        </is>
      </c>
      <c r="K823" t="inlineStr"/>
      <c r="L823" t="inlineStr"/>
      <c r="M823" t="inlineStr">
        <is>
          <t>Нет у нас</t>
        </is>
      </c>
      <c r="N823" t="inlineStr"/>
      <c r="O823" t="inlineStr"/>
      <c r="P823" t="inlineStr"/>
      <c r="Q823">
        <f>HYPERLINK("https://knru.ru/catalog/ul-zastavskaya-33-str-3-1377312701/","ссылка")</f>
        <v/>
      </c>
      <c r="R823" t="inlineStr"/>
      <c r="S823" t="inlineStr"/>
    </row>
    <row r="824">
      <c r="A824" t="inlineStr">
        <is>
          <t>Московский</t>
        </is>
      </c>
      <c r="B824" t="inlineStr">
        <is>
          <t>Заставская ул, 33стр3</t>
        </is>
      </c>
      <c r="C824" t="inlineStr">
        <is>
          <t>sale</t>
        </is>
      </c>
      <c r="D824" t="inlineStr">
        <is>
          <t>Да</t>
        </is>
      </c>
      <c r="E824" t="inlineStr"/>
      <c r="F824" t="inlineStr"/>
      <c r="G824" t="inlineStr">
        <is>
          <t>380</t>
        </is>
      </c>
      <c r="H824" t="inlineStr"/>
      <c r="I824" t="inlineStr"/>
      <c r="J824" t="inlineStr">
        <is>
          <t>76 000 000</t>
        </is>
      </c>
      <c r="K824" t="inlineStr"/>
      <c r="L824" t="inlineStr"/>
      <c r="M824" t="inlineStr">
        <is>
          <t>Нет у нас</t>
        </is>
      </c>
      <c r="N824" t="inlineStr"/>
      <c r="O824" t="inlineStr"/>
      <c r="P824" t="inlineStr"/>
      <c r="Q824">
        <f>HYPERLINK("https://knru.ru/catalog/ul-zastavskaya-33-str-3-742310099/","ссылка")</f>
        <v/>
      </c>
      <c r="R824" t="inlineStr"/>
      <c r="S824" t="inlineStr"/>
    </row>
    <row r="825">
      <c r="A825" t="inlineStr">
        <is>
          <t>Московский</t>
        </is>
      </c>
      <c r="B825" t="inlineStr">
        <is>
          <t>Заставская ул, 33стр3</t>
        </is>
      </c>
      <c r="C825" t="inlineStr">
        <is>
          <t>sale</t>
        </is>
      </c>
      <c r="D825" t="inlineStr">
        <is>
          <t>Да</t>
        </is>
      </c>
      <c r="E825" t="inlineStr"/>
      <c r="F825" t="inlineStr"/>
      <c r="G825" t="inlineStr">
        <is>
          <t>288.3</t>
        </is>
      </c>
      <c r="H825" t="inlineStr"/>
      <c r="I825" t="inlineStr"/>
      <c r="J825" t="inlineStr">
        <is>
          <t>115 320 000</t>
        </is>
      </c>
      <c r="K825" t="inlineStr"/>
      <c r="L825" t="inlineStr"/>
      <c r="M825" t="inlineStr">
        <is>
          <t>Нет у нас</t>
        </is>
      </c>
      <c r="N825" t="inlineStr"/>
      <c r="O825" t="inlineStr"/>
      <c r="P825" t="inlineStr"/>
      <c r="Q825">
        <f>HYPERLINK("https://knru.ru/catalog/ul-zastavskaya-33-str-3-651504092/","ссылка")</f>
        <v/>
      </c>
      <c r="R825" t="inlineStr"/>
      <c r="S825" t="inlineStr"/>
    </row>
    <row r="826">
      <c r="A826" t="inlineStr">
        <is>
          <t>Московский</t>
        </is>
      </c>
      <c r="B826" t="inlineStr">
        <is>
          <t>Заставская ул, 33стр3</t>
        </is>
      </c>
      <c r="C826" t="inlineStr">
        <is>
          <t>sale</t>
        </is>
      </c>
      <c r="D826" t="inlineStr">
        <is>
          <t>Да</t>
        </is>
      </c>
      <c r="E826" t="inlineStr"/>
      <c r="F826" t="inlineStr"/>
      <c r="G826" t="inlineStr">
        <is>
          <t>158.6</t>
        </is>
      </c>
      <c r="H826" t="inlineStr"/>
      <c r="I826" t="inlineStr"/>
      <c r="J826" t="inlineStr">
        <is>
          <t>63 440 000</t>
        </is>
      </c>
      <c r="K826" t="inlineStr"/>
      <c r="L826" t="inlineStr"/>
      <c r="M826" t="inlineStr">
        <is>
          <t>Нет у нас</t>
        </is>
      </c>
      <c r="N826" t="inlineStr"/>
      <c r="O826" t="inlineStr"/>
      <c r="P826" t="inlineStr"/>
      <c r="Q826">
        <f>HYPERLINK("https://knru.ru/catalog/ul-zastavskaya-33-str-3-686289131/","ссылка")</f>
        <v/>
      </c>
      <c r="R826" t="inlineStr"/>
      <c r="S826" t="inlineStr"/>
    </row>
    <row r="827">
      <c r="A827" t="inlineStr">
        <is>
          <t>Московский</t>
        </is>
      </c>
      <c r="B827" t="inlineStr">
        <is>
          <t>Заставская ул, 33стр3</t>
        </is>
      </c>
      <c r="C827" t="inlineStr">
        <is>
          <t>sale</t>
        </is>
      </c>
      <c r="D827" t="inlineStr">
        <is>
          <t>Да</t>
        </is>
      </c>
      <c r="E827" t="inlineStr"/>
      <c r="F827" t="inlineStr"/>
      <c r="G827" t="inlineStr">
        <is>
          <t>129.7</t>
        </is>
      </c>
      <c r="H827" t="inlineStr"/>
      <c r="I827" t="inlineStr"/>
      <c r="J827" t="inlineStr">
        <is>
          <t>51 880 000</t>
        </is>
      </c>
      <c r="K827" t="inlineStr"/>
      <c r="L827" t="inlineStr"/>
      <c r="M827" t="inlineStr">
        <is>
          <t>Нет у нас</t>
        </is>
      </c>
      <c r="N827" t="inlineStr"/>
      <c r="O827" t="inlineStr"/>
      <c r="P827" t="inlineStr"/>
      <c r="Q827">
        <f>HYPERLINK("https://knru.ru/catalog/ul-zastavskaya-33-str-3-1873017594/","ссылка")</f>
        <v/>
      </c>
      <c r="R827" t="inlineStr"/>
      <c r="S827" t="inlineStr"/>
    </row>
    <row r="828">
      <c r="A828" t="inlineStr">
        <is>
          <t>Московский</t>
        </is>
      </c>
      <c r="B828" t="inlineStr">
        <is>
          <t>Заставская ул, 33стр3</t>
        </is>
      </c>
      <c r="C828" t="inlineStr">
        <is>
          <t>sale</t>
        </is>
      </c>
      <c r="D828" t="inlineStr">
        <is>
          <t>Да</t>
        </is>
      </c>
      <c r="E828" t="inlineStr"/>
      <c r="F828" t="inlineStr"/>
      <c r="G828" t="inlineStr">
        <is>
          <t>94.4</t>
        </is>
      </c>
      <c r="H828" t="inlineStr"/>
      <c r="I828" t="inlineStr"/>
      <c r="J828" t="inlineStr">
        <is>
          <t>35 400 000</t>
        </is>
      </c>
      <c r="K828" t="inlineStr"/>
      <c r="L828" t="inlineStr"/>
      <c r="M828" t="inlineStr">
        <is>
          <t>Нет у нас</t>
        </is>
      </c>
      <c r="N828" t="inlineStr"/>
      <c r="O828" t="inlineStr"/>
      <c r="P828" t="inlineStr"/>
      <c r="Q828">
        <f>HYPERLINK("https://knru.ru/catalog/ul-zastavskaya-33-str-3/","ссылка")</f>
        <v/>
      </c>
      <c r="R828" t="inlineStr"/>
      <c r="S828" t="inlineStr"/>
    </row>
    <row r="829">
      <c r="A829" t="inlineStr">
        <is>
          <t>Московский</t>
        </is>
      </c>
      <c r="B829" t="inlineStr">
        <is>
          <t>Заставская ул, 46к2стр1</t>
        </is>
      </c>
      <c r="C829" t="inlineStr">
        <is>
          <t>sale</t>
        </is>
      </c>
      <c r="D829" t="inlineStr">
        <is>
          <t>Да</t>
        </is>
      </c>
      <c r="E829" t="inlineStr"/>
      <c r="F829" t="inlineStr"/>
      <c r="G829" t="inlineStr">
        <is>
          <t>93.2</t>
        </is>
      </c>
      <c r="H829" t="inlineStr"/>
      <c r="I829" t="inlineStr"/>
      <c r="J829" t="inlineStr">
        <is>
          <t>25 000 000</t>
        </is>
      </c>
      <c r="K829" t="inlineStr"/>
      <c r="L829" t="inlineStr"/>
      <c r="M829" t="inlineStr">
        <is>
          <t>Нет у нас</t>
        </is>
      </c>
      <c r="N829" t="inlineStr"/>
      <c r="O829" t="inlineStr"/>
      <c r="P829" t="inlineStr"/>
      <c r="Q829">
        <f>HYPERLINK("https://knru.ru/catalog/zastavskaya-ul-d-46-k-2/","ссылка")</f>
        <v/>
      </c>
      <c r="R829" t="inlineStr"/>
      <c r="S829" t="inlineStr"/>
    </row>
    <row r="830">
      <c r="A830" t="inlineStr">
        <is>
          <t>Московский</t>
        </is>
      </c>
      <c r="B830" t="inlineStr">
        <is>
          <t>Киевская ул, 5к11 В</t>
        </is>
      </c>
      <c r="C830" t="inlineStr">
        <is>
          <t>sale</t>
        </is>
      </c>
      <c r="D830" t="inlineStr">
        <is>
          <t>Да</t>
        </is>
      </c>
      <c r="E830" t="inlineStr"/>
      <c r="F830" t="inlineStr"/>
      <c r="G830" t="inlineStr">
        <is>
          <t>4324</t>
        </is>
      </c>
      <c r="H830" t="inlineStr"/>
      <c r="I830" t="inlineStr"/>
      <c r="J830" t="inlineStr">
        <is>
          <t>215 000 000</t>
        </is>
      </c>
      <c r="K830" t="inlineStr"/>
      <c r="L830" t="inlineStr"/>
      <c r="M830" t="inlineStr">
        <is>
          <t>Нет у нас</t>
        </is>
      </c>
      <c r="N830" t="inlineStr"/>
      <c r="O830" t="inlineStr"/>
      <c r="P830" t="inlineStr"/>
      <c r="Q830">
        <f>HYPERLINK("https://knru.ru/catalog/kievskaya-ul-5k11-v/","ссылка")</f>
        <v/>
      </c>
      <c r="R830" t="inlineStr"/>
      <c r="S830" t="inlineStr"/>
    </row>
    <row r="831">
      <c r="A831" t="inlineStr">
        <is>
          <t>Московский</t>
        </is>
      </c>
      <c r="B831" t="inlineStr">
        <is>
          <t>Коли Томчака ул, 3</t>
        </is>
      </c>
      <c r="C831" t="inlineStr">
        <is>
          <t>sale</t>
        </is>
      </c>
      <c r="D831" t="inlineStr">
        <is>
          <t>Да</t>
        </is>
      </c>
      <c r="E831" t="inlineStr"/>
      <c r="F831" t="inlineStr"/>
      <c r="G831" t="inlineStr">
        <is>
          <t>68</t>
        </is>
      </c>
      <c r="H831" t="inlineStr"/>
      <c r="I831" t="inlineStr"/>
      <c r="J831" t="inlineStr">
        <is>
          <t>34 000 000</t>
        </is>
      </c>
      <c r="K831" t="inlineStr"/>
      <c r="L831" t="inlineStr"/>
      <c r="M831" t="inlineStr">
        <is>
          <t>Нет у нас</t>
        </is>
      </c>
      <c r="N831" t="inlineStr"/>
      <c r="O831" t="inlineStr"/>
      <c r="P831" t="inlineStr"/>
      <c r="Q831">
        <f>HYPERLINK("https://knru.ru/catalog/ul-koli-tomchaka-d-3-522681519/","ссылка")</f>
        <v/>
      </c>
      <c r="R831" t="inlineStr"/>
      <c r="S831" t="inlineStr"/>
    </row>
    <row r="832">
      <c r="A832" t="inlineStr">
        <is>
          <t>Московский</t>
        </is>
      </c>
      <c r="B832" t="inlineStr">
        <is>
          <t>Коли Томчака ул, 3</t>
        </is>
      </c>
      <c r="C832" t="inlineStr">
        <is>
          <t>sale</t>
        </is>
      </c>
      <c r="D832" t="inlineStr">
        <is>
          <t>Да</t>
        </is>
      </c>
      <c r="E832" t="inlineStr"/>
      <c r="F832" t="inlineStr"/>
      <c r="G832" t="inlineStr">
        <is>
          <t>46.8</t>
        </is>
      </c>
      <c r="H832" t="inlineStr"/>
      <c r="I832" t="inlineStr"/>
      <c r="J832" t="inlineStr">
        <is>
          <t>23 400 000</t>
        </is>
      </c>
      <c r="K832" t="inlineStr"/>
      <c r="L832" t="inlineStr"/>
      <c r="M832" t="inlineStr">
        <is>
          <t>Нет у нас</t>
        </is>
      </c>
      <c r="N832" t="inlineStr"/>
      <c r="O832" t="inlineStr"/>
      <c r="P832" t="inlineStr"/>
      <c r="Q832">
        <f>HYPERLINK("https://knru.ru/catalog/ul-koli-tomchaka-d-3-210118573/","ссылка")</f>
        <v/>
      </c>
      <c r="R832" t="inlineStr"/>
      <c r="S832" t="inlineStr"/>
    </row>
    <row r="833">
      <c r="A833" t="inlineStr">
        <is>
          <t>Московский</t>
        </is>
      </c>
      <c r="B833" t="inlineStr">
        <is>
          <t>Коли Томчака ул, 3</t>
        </is>
      </c>
      <c r="C833" t="inlineStr">
        <is>
          <t>sale</t>
        </is>
      </c>
      <c r="D833" t="inlineStr">
        <is>
          <t>Да</t>
        </is>
      </c>
      <c r="E833" t="inlineStr"/>
      <c r="F833" t="inlineStr"/>
      <c r="G833" t="inlineStr">
        <is>
          <t>54.4</t>
        </is>
      </c>
      <c r="H833" t="inlineStr"/>
      <c r="I833" t="inlineStr"/>
      <c r="J833" t="inlineStr">
        <is>
          <t>27 200 000</t>
        </is>
      </c>
      <c r="K833" t="inlineStr"/>
      <c r="L833" t="inlineStr"/>
      <c r="M833" t="inlineStr">
        <is>
          <t>Нет у нас</t>
        </is>
      </c>
      <c r="N833" t="inlineStr"/>
      <c r="O833" t="inlineStr"/>
      <c r="P833" t="inlineStr"/>
      <c r="Q833">
        <f>HYPERLINK("https://knru.ru/catalog/ul-koli-tomchaka-d-3/","ссылка")</f>
        <v/>
      </c>
      <c r="R833" t="inlineStr"/>
      <c r="S833" t="inlineStr"/>
    </row>
    <row r="834">
      <c r="A834" t="inlineStr">
        <is>
          <t>Московский</t>
        </is>
      </c>
      <c r="B834" t="inlineStr">
        <is>
          <t>Конституции пл, 1к2 А</t>
        </is>
      </c>
      <c r="C834" t="inlineStr">
        <is>
          <t>sale</t>
        </is>
      </c>
      <c r="D834" t="inlineStr"/>
      <c r="E834" t="inlineStr">
        <is>
          <t>Да</t>
        </is>
      </c>
      <c r="F834" t="inlineStr"/>
      <c r="G834" t="inlineStr"/>
      <c r="H834" t="inlineStr">
        <is>
          <t>59</t>
        </is>
      </c>
      <c r="I834" t="inlineStr"/>
      <c r="J834" t="inlineStr"/>
      <c r="K834" t="inlineStr">
        <is>
          <t>14 500 000</t>
        </is>
      </c>
      <c r="L834" t="inlineStr"/>
      <c r="M834" t="inlineStr"/>
      <c r="N834" t="inlineStr">
        <is>
          <t>Нет у нас</t>
        </is>
      </c>
      <c r="O834" t="inlineStr"/>
      <c r="P834" t="inlineStr"/>
      <c r="Q834" t="inlineStr"/>
      <c r="R834">
        <f>HYPERLINK("https://nordwestinvest.ru/real-estates/prodaza-ofisa-59-m2-s-remontom","ссылка")</f>
        <v/>
      </c>
      <c r="S834" t="inlineStr"/>
    </row>
    <row r="835">
      <c r="A835" t="inlineStr">
        <is>
          <t>Московский</t>
        </is>
      </c>
      <c r="B835" t="inlineStr">
        <is>
          <t>Кубинская ул, 4к1 А</t>
        </is>
      </c>
      <c r="C835" t="inlineStr">
        <is>
          <t>sale</t>
        </is>
      </c>
      <c r="D835" t="inlineStr"/>
      <c r="E835" t="inlineStr">
        <is>
          <t>Да</t>
        </is>
      </c>
      <c r="F835" t="inlineStr"/>
      <c r="G835" t="inlineStr"/>
      <c r="H835" t="inlineStr">
        <is>
          <t>4850</t>
        </is>
      </c>
      <c r="I835" t="inlineStr"/>
      <c r="J835" t="inlineStr"/>
      <c r="K835" t="inlineStr">
        <is>
          <t>430 000 000</t>
        </is>
      </c>
      <c r="L835" t="inlineStr"/>
      <c r="M835" t="inlineStr"/>
      <c r="N835" t="inlineStr">
        <is>
          <t>По адресу есть, но площадь другая</t>
        </is>
      </c>
      <c r="O835" t="inlineStr"/>
      <c r="P835" t="inlineStr"/>
      <c r="Q835" t="inlineStr"/>
      <c r="R835">
        <f>HYPERLINK("https://nordwestinvest.ru/real-estates/prodaza-avtomobilnogo-kompleksa","ссылка")</f>
        <v/>
      </c>
      <c r="S835" t="inlineStr"/>
    </row>
    <row r="836">
      <c r="A836" t="inlineStr">
        <is>
          <t>Московский</t>
        </is>
      </c>
      <c r="B836" t="inlineStr">
        <is>
          <t>Кубинская ул, 76к4 литА</t>
        </is>
      </c>
      <c r="C836" t="inlineStr">
        <is>
          <t>sale</t>
        </is>
      </c>
      <c r="D836" t="inlineStr">
        <is>
          <t>Да</t>
        </is>
      </c>
      <c r="E836" t="inlineStr"/>
      <c r="F836" t="inlineStr"/>
      <c r="G836" t="inlineStr">
        <is>
          <t>47</t>
        </is>
      </c>
      <c r="H836" t="inlineStr"/>
      <c r="I836" t="inlineStr"/>
      <c r="J836" t="inlineStr">
        <is>
          <t>19 047 150</t>
        </is>
      </c>
      <c r="K836" t="inlineStr"/>
      <c r="L836" t="inlineStr"/>
      <c r="M836" t="inlineStr">
        <is>
          <t>Нет у нас</t>
        </is>
      </c>
      <c r="N836" t="inlineStr"/>
      <c r="O836" t="inlineStr"/>
      <c r="P836" t="inlineStr"/>
      <c r="Q836">
        <f>HYPERLINK("https://knru.ru/catalog/kubinskaya-ulitsa-d-76-k-1-654895529/","ссылка")</f>
        <v/>
      </c>
      <c r="R836" t="inlineStr"/>
      <c r="S836" t="inlineStr"/>
    </row>
    <row r="837">
      <c r="A837" t="inlineStr">
        <is>
          <t>Московский</t>
        </is>
      </c>
      <c r="B837" t="inlineStr">
        <is>
          <t>Кубинская ул, 76к4 литА</t>
        </is>
      </c>
      <c r="C837" t="inlineStr">
        <is>
          <t>sale</t>
        </is>
      </c>
      <c r="D837" t="inlineStr">
        <is>
          <t>Да</t>
        </is>
      </c>
      <c r="E837" t="inlineStr"/>
      <c r="F837" t="inlineStr"/>
      <c r="G837" t="inlineStr">
        <is>
          <t>140.2</t>
        </is>
      </c>
      <c r="H837" t="inlineStr"/>
      <c r="I837" t="inlineStr"/>
      <c r="J837" t="inlineStr">
        <is>
          <t>42 916 500</t>
        </is>
      </c>
      <c r="K837" t="inlineStr"/>
      <c r="L837" t="inlineStr"/>
      <c r="M837" t="inlineStr">
        <is>
          <t>Нет у нас</t>
        </is>
      </c>
      <c r="N837" t="inlineStr"/>
      <c r="O837" t="inlineStr"/>
      <c r="P837" t="inlineStr"/>
      <c r="Q837">
        <f>HYPERLINK("https://knru.ru/catalog/kubinskaya-ulitsa-d-76-k-1-176788266/","ссылка")</f>
        <v/>
      </c>
      <c r="R837" t="inlineStr"/>
      <c r="S837" t="inlineStr"/>
    </row>
    <row r="838">
      <c r="A838" t="inlineStr">
        <is>
          <t>Московский</t>
        </is>
      </c>
      <c r="B838" t="inlineStr">
        <is>
          <t>Кубинская ул, 76к4 литА</t>
        </is>
      </c>
      <c r="C838" t="inlineStr">
        <is>
          <t>sale</t>
        </is>
      </c>
      <c r="D838" t="inlineStr">
        <is>
          <t>Да</t>
        </is>
      </c>
      <c r="E838" t="inlineStr"/>
      <c r="F838" t="inlineStr"/>
      <c r="G838" t="inlineStr">
        <is>
          <t>62.8</t>
        </is>
      </c>
      <c r="H838" t="inlineStr"/>
      <c r="I838" t="inlineStr"/>
      <c r="J838" t="inlineStr">
        <is>
          <t>24 311 340</t>
        </is>
      </c>
      <c r="K838" t="inlineStr"/>
      <c r="L838" t="inlineStr"/>
      <c r="M838" t="inlineStr">
        <is>
          <t>Нет у нас</t>
        </is>
      </c>
      <c r="N838" t="inlineStr"/>
      <c r="O838" t="inlineStr"/>
      <c r="P838" t="inlineStr"/>
      <c r="Q838">
        <f>HYPERLINK("https://knru.ru/catalog/kubinskaya-ulitsa-d-76-k-1-1637894276/","ссылка")</f>
        <v/>
      </c>
      <c r="R838" t="inlineStr"/>
      <c r="S838" t="inlineStr"/>
    </row>
    <row r="839">
      <c r="A839" t="inlineStr">
        <is>
          <t>Московский</t>
        </is>
      </c>
      <c r="B839" t="inlineStr">
        <is>
          <t>Кубинская ул, 76к4 литА</t>
        </is>
      </c>
      <c r="C839" t="inlineStr">
        <is>
          <t>sale</t>
        </is>
      </c>
      <c r="D839" t="inlineStr">
        <is>
          <t>Да</t>
        </is>
      </c>
      <c r="E839" t="inlineStr"/>
      <c r="F839" t="inlineStr"/>
      <c r="G839" t="inlineStr">
        <is>
          <t>87.2</t>
        </is>
      </c>
      <c r="H839" t="inlineStr"/>
      <c r="I839" t="inlineStr"/>
      <c r="J839" t="inlineStr">
        <is>
          <t>28 265 760</t>
        </is>
      </c>
      <c r="K839" t="inlineStr"/>
      <c r="L839" t="inlineStr"/>
      <c r="M839" t="inlineStr">
        <is>
          <t>Нет у нас</t>
        </is>
      </c>
      <c r="N839" t="inlineStr"/>
      <c r="O839" t="inlineStr"/>
      <c r="P839" t="inlineStr"/>
      <c r="Q839">
        <f>HYPERLINK("https://knru.ru/catalog/kubinskaya-ulitsa-d-76-k-1-561265/","ссылка")</f>
        <v/>
      </c>
      <c r="R839" t="inlineStr"/>
      <c r="S839" t="inlineStr"/>
    </row>
    <row r="840">
      <c r="A840" t="inlineStr">
        <is>
          <t>Московский</t>
        </is>
      </c>
      <c r="B840" t="inlineStr">
        <is>
          <t>Кубинская ул, 76к4 литА</t>
        </is>
      </c>
      <c r="C840" t="inlineStr">
        <is>
          <t>sale</t>
        </is>
      </c>
      <c r="D840" t="inlineStr">
        <is>
          <t>Да</t>
        </is>
      </c>
      <c r="E840" t="inlineStr"/>
      <c r="F840" t="inlineStr"/>
      <c r="G840" t="inlineStr">
        <is>
          <t>82.2</t>
        </is>
      </c>
      <c r="H840" t="inlineStr"/>
      <c r="I840" t="inlineStr"/>
      <c r="J840" t="inlineStr">
        <is>
          <t>27 379 260</t>
        </is>
      </c>
      <c r="K840" t="inlineStr"/>
      <c r="L840" t="inlineStr"/>
      <c r="M840" t="inlineStr">
        <is>
          <t>Нет у нас</t>
        </is>
      </c>
      <c r="N840" t="inlineStr"/>
      <c r="O840" t="inlineStr"/>
      <c r="P840" t="inlineStr"/>
      <c r="Q840">
        <f>HYPERLINK("https://knru.ru/catalog/kubinskaya-ulitsa-d-76-k-1-561266/","ссылка")</f>
        <v/>
      </c>
      <c r="R840" t="inlineStr"/>
      <c r="S840" t="inlineStr"/>
    </row>
    <row r="841">
      <c r="A841" t="inlineStr">
        <is>
          <t>Московский</t>
        </is>
      </c>
      <c r="B841" t="inlineStr">
        <is>
          <t>Кубинская ул, 76к4 литА</t>
        </is>
      </c>
      <c r="C841" t="inlineStr">
        <is>
          <t>sale</t>
        </is>
      </c>
      <c r="D841" t="inlineStr">
        <is>
          <t>Да</t>
        </is>
      </c>
      <c r="E841" t="inlineStr"/>
      <c r="F841" t="inlineStr"/>
      <c r="G841" t="inlineStr">
        <is>
          <t>58.6</t>
        </is>
      </c>
      <c r="H841" t="inlineStr"/>
      <c r="I841" t="inlineStr"/>
      <c r="J841" t="inlineStr">
        <is>
          <t>22 150 800</t>
        </is>
      </c>
      <c r="K841" t="inlineStr"/>
      <c r="L841" t="inlineStr"/>
      <c r="M841" t="inlineStr">
        <is>
          <t>Нет у нас</t>
        </is>
      </c>
      <c r="N841" t="inlineStr"/>
      <c r="O841" t="inlineStr"/>
      <c r="P841" t="inlineStr"/>
      <c r="Q841">
        <f>HYPERLINK("https://knru.ru/catalog/kubinskaya-ulitsa-d-76-k-1/","ссылка")</f>
        <v/>
      </c>
      <c r="R841" t="inlineStr"/>
      <c r="S841" t="inlineStr"/>
    </row>
    <row r="842">
      <c r="A842" t="inlineStr">
        <is>
          <t>Московский</t>
        </is>
      </c>
      <c r="B842" t="inlineStr">
        <is>
          <t>Кузнецовская ул, 58к3стр1</t>
        </is>
      </c>
      <c r="C842" t="inlineStr">
        <is>
          <t>sale</t>
        </is>
      </c>
      <c r="D842" t="inlineStr">
        <is>
          <t>Да</t>
        </is>
      </c>
      <c r="E842" t="inlineStr"/>
      <c r="F842" t="inlineStr"/>
      <c r="G842" t="inlineStr">
        <is>
          <t>121</t>
        </is>
      </c>
      <c r="H842" t="inlineStr"/>
      <c r="I842" t="inlineStr"/>
      <c r="J842" t="inlineStr">
        <is>
          <t>30 500 000</t>
        </is>
      </c>
      <c r="K842" t="inlineStr"/>
      <c r="L842" t="inlineStr"/>
      <c r="M842" t="inlineStr">
        <is>
          <t>Нет у нас</t>
        </is>
      </c>
      <c r="N842" t="inlineStr"/>
      <c r="O842" t="inlineStr"/>
      <c r="P842" t="inlineStr"/>
      <c r="Q842">
        <f>HYPERLINK("https://knru.ru/catalog/kuznetsovskaya-ul-d-58/","ссылка")</f>
        <v/>
      </c>
      <c r="R842" t="inlineStr"/>
      <c r="S842" t="inlineStr"/>
    </row>
    <row r="843">
      <c r="A843" t="inlineStr">
        <is>
          <t>Московский</t>
        </is>
      </c>
      <c r="B843" t="inlineStr">
        <is>
          <t>Ленсовета ул, 10</t>
        </is>
      </c>
      <c r="C843" t="inlineStr">
        <is>
          <t>sale</t>
        </is>
      </c>
      <c r="D843" t="inlineStr">
        <is>
          <t>Да</t>
        </is>
      </c>
      <c r="E843" t="inlineStr"/>
      <c r="F843" t="inlineStr"/>
      <c r="G843" t="inlineStr">
        <is>
          <t>187</t>
        </is>
      </c>
      <c r="H843" t="inlineStr"/>
      <c r="I843" t="inlineStr"/>
      <c r="J843" t="inlineStr">
        <is>
          <t>40 000 000</t>
        </is>
      </c>
      <c r="K843" t="inlineStr"/>
      <c r="L843" t="inlineStr"/>
      <c r="M843" t="inlineStr">
        <is>
          <t>Совпало</t>
        </is>
      </c>
      <c r="N843" t="inlineStr"/>
      <c r="O843" t="inlineStr"/>
      <c r="P843" t="inlineStr"/>
      <c r="Q843">
        <f>HYPERLINK("https://knru.ru/catalog/ul-lensoveta-d-10/","ссылка")</f>
        <v/>
      </c>
      <c r="R843" t="inlineStr"/>
      <c r="S843" t="inlineStr"/>
    </row>
    <row r="844">
      <c r="A844" t="inlineStr">
        <is>
          <t>Московский</t>
        </is>
      </c>
      <c r="B844" t="inlineStr">
        <is>
          <t>Ленсовета ул, 95</t>
        </is>
      </c>
      <c r="C844" t="inlineStr">
        <is>
          <t>sale</t>
        </is>
      </c>
      <c r="D844" t="inlineStr"/>
      <c r="E844" t="inlineStr">
        <is>
          <t>Да</t>
        </is>
      </c>
      <c r="F844" t="inlineStr"/>
      <c r="G844" t="inlineStr"/>
      <c r="H844" t="inlineStr">
        <is>
          <t>200</t>
        </is>
      </c>
      <c r="I844" t="inlineStr"/>
      <c r="J844" t="inlineStr"/>
      <c r="K844" t="inlineStr">
        <is>
          <t>32 000 000</t>
        </is>
      </c>
      <c r="L844" t="inlineStr"/>
      <c r="M844" t="inlineStr"/>
      <c r="N844" t="inlineStr">
        <is>
          <t>По адресу есть, но площадь другая</t>
        </is>
      </c>
      <c r="O844" t="inlineStr"/>
      <c r="P844" t="inlineStr"/>
      <c r="Q844" t="inlineStr"/>
      <c r="R844">
        <f>HYPERLINK("https://nordwestinvest.ru/real-estates/prodaza-pomeshheniia-s-arendatorom-205mest-vytiazka","ссылка")</f>
        <v/>
      </c>
      <c r="S844" t="inlineStr"/>
    </row>
    <row r="845">
      <c r="A845" t="inlineStr">
        <is>
          <t>Московский</t>
        </is>
      </c>
      <c r="B845" t="inlineStr">
        <is>
          <t>Морская ул, 88а В</t>
        </is>
      </c>
      <c r="C845" t="inlineStr">
        <is>
          <t>sale</t>
        </is>
      </c>
      <c r="D845" t="inlineStr">
        <is>
          <t>Да</t>
        </is>
      </c>
      <c r="E845" t="inlineStr"/>
      <c r="F845" t="inlineStr"/>
      <c r="G845" t="inlineStr">
        <is>
          <t>842</t>
        </is>
      </c>
      <c r="H845" t="inlineStr"/>
      <c r="I845" t="inlineStr"/>
      <c r="J845" t="inlineStr">
        <is>
          <t>72 000 000</t>
        </is>
      </c>
      <c r="K845" t="inlineStr"/>
      <c r="L845" t="inlineStr"/>
      <c r="M845" t="inlineStr">
        <is>
          <t>Нет у нас</t>
        </is>
      </c>
      <c r="N845" t="inlineStr"/>
      <c r="O845" t="inlineStr"/>
      <c r="P845" t="inlineStr"/>
      <c r="Q845">
        <f>HYPERLINK("https://knru.ru/catalog/morskaya-ul-88a-v/","ссылка")</f>
        <v/>
      </c>
      <c r="R845" t="inlineStr"/>
      <c r="S845" t="inlineStr"/>
    </row>
    <row r="846">
      <c r="A846" t="inlineStr">
        <is>
          <t>Московский</t>
        </is>
      </c>
      <c r="B846" t="inlineStr">
        <is>
          <t>Московский пр., д. 183-185/А</t>
        </is>
      </c>
      <c r="C846" t="inlineStr">
        <is>
          <t>sale</t>
        </is>
      </c>
      <c r="D846" t="inlineStr">
        <is>
          <t>Да</t>
        </is>
      </c>
      <c r="E846" t="inlineStr"/>
      <c r="F846" t="inlineStr"/>
      <c r="G846" t="inlineStr">
        <is>
          <t>195.8</t>
        </is>
      </c>
      <c r="H846" t="inlineStr"/>
      <c r="I846" t="inlineStr"/>
      <c r="J846" t="inlineStr">
        <is>
          <t>51 529 884</t>
        </is>
      </c>
      <c r="K846" t="inlineStr"/>
      <c r="L846" t="inlineStr"/>
      <c r="M846" t="inlineStr">
        <is>
          <t>Нет у нас</t>
        </is>
      </c>
      <c r="N846" t="inlineStr"/>
      <c r="O846" t="inlineStr"/>
      <c r="P846" t="inlineStr"/>
      <c r="Q846">
        <f>HYPERLINK("https://knru.ru/catalog/moskovskiy-pr-d-183-185-a/","ссылка")</f>
        <v/>
      </c>
      <c r="R846" t="inlineStr"/>
      <c r="S846" t="inlineStr"/>
    </row>
    <row r="847">
      <c r="A847" t="inlineStr">
        <is>
          <t>Московский</t>
        </is>
      </c>
      <c r="B847" t="inlineStr">
        <is>
          <t>Московский пр., д. дом 115 литера В</t>
        </is>
      </c>
      <c r="C847" t="inlineStr">
        <is>
          <t>sale</t>
        </is>
      </c>
      <c r="D847" t="inlineStr">
        <is>
          <t>Да</t>
        </is>
      </c>
      <c r="E847" t="inlineStr"/>
      <c r="F847" t="inlineStr"/>
      <c r="G847" t="inlineStr">
        <is>
          <t>35.5</t>
        </is>
      </c>
      <c r="H847" t="inlineStr"/>
      <c r="I847" t="inlineStr"/>
      <c r="J847" t="inlineStr">
        <is>
          <t>16 431 675</t>
        </is>
      </c>
      <c r="K847" t="inlineStr"/>
      <c r="L847" t="inlineStr"/>
      <c r="M847" t="inlineStr">
        <is>
          <t>Нет у нас</t>
        </is>
      </c>
      <c r="N847" t="inlineStr"/>
      <c r="O847" t="inlineStr"/>
      <c r="P847" t="inlineStr"/>
      <c r="Q847">
        <f>HYPERLINK("https://knru.ru/catalog/moskovskiy-pr-d-dom-115-litera-v-269066593/","ссылка")</f>
        <v/>
      </c>
      <c r="R847" t="inlineStr"/>
      <c r="S847" t="inlineStr"/>
    </row>
    <row r="848">
      <c r="A848" t="inlineStr">
        <is>
          <t>Московский</t>
        </is>
      </c>
      <c r="B848" t="inlineStr">
        <is>
          <t>Московский пр., д. дом 115 литера В</t>
        </is>
      </c>
      <c r="C848" t="inlineStr">
        <is>
          <t>sale</t>
        </is>
      </c>
      <c r="D848" t="inlineStr">
        <is>
          <t>Да</t>
        </is>
      </c>
      <c r="E848" t="inlineStr"/>
      <c r="F848" t="inlineStr"/>
      <c r="G848" t="inlineStr">
        <is>
          <t>63.4</t>
        </is>
      </c>
      <c r="H848" t="inlineStr"/>
      <c r="I848" t="inlineStr"/>
      <c r="J848" t="inlineStr">
        <is>
          <t>28 170 848</t>
        </is>
      </c>
      <c r="K848" t="inlineStr"/>
      <c r="L848" t="inlineStr"/>
      <c r="M848" t="inlineStr">
        <is>
          <t>Нет у нас</t>
        </is>
      </c>
      <c r="N848" t="inlineStr"/>
      <c r="O848" t="inlineStr"/>
      <c r="P848" t="inlineStr"/>
      <c r="Q848">
        <f>HYPERLINK("https://knru.ru/catalog/moskovskiy-pr-d-dom-115-litera-v-1682261093/","ссылка")</f>
        <v/>
      </c>
      <c r="R848" t="inlineStr"/>
      <c r="S848" t="inlineStr"/>
    </row>
    <row r="849">
      <c r="A849" t="inlineStr">
        <is>
          <t>Московский</t>
        </is>
      </c>
      <c r="B849" t="inlineStr">
        <is>
          <t>Московский пр., д. дом 115 литера В</t>
        </is>
      </c>
      <c r="C849" t="inlineStr">
        <is>
          <t>sale</t>
        </is>
      </c>
      <c r="D849" t="inlineStr">
        <is>
          <t>Да</t>
        </is>
      </c>
      <c r="E849" t="inlineStr"/>
      <c r="F849" t="inlineStr"/>
      <c r="G849" t="inlineStr">
        <is>
          <t>24.9</t>
        </is>
      </c>
      <c r="H849" t="inlineStr"/>
      <c r="I849" t="inlineStr"/>
      <c r="J849" t="inlineStr">
        <is>
          <t>11 818 000</t>
        </is>
      </c>
      <c r="K849" t="inlineStr"/>
      <c r="L849" t="inlineStr"/>
      <c r="M849" t="inlineStr">
        <is>
          <t>Нет у нас</t>
        </is>
      </c>
      <c r="N849" t="inlineStr"/>
      <c r="O849" t="inlineStr"/>
      <c r="P849" t="inlineStr"/>
      <c r="Q849">
        <f>HYPERLINK("https://knru.ru/catalog/moskovskiy-pr-d-dom-115-litera-v-1996998203/","ссылка")</f>
        <v/>
      </c>
      <c r="R849" t="inlineStr"/>
      <c r="S849" t="inlineStr"/>
    </row>
    <row r="850">
      <c r="A850" t="inlineStr">
        <is>
          <t>Московский</t>
        </is>
      </c>
      <c r="B850" t="inlineStr">
        <is>
          <t>Московский пр., д. дом 115 литера В</t>
        </is>
      </c>
      <c r="C850" t="inlineStr">
        <is>
          <t>sale</t>
        </is>
      </c>
      <c r="D850" t="inlineStr">
        <is>
          <t>Да</t>
        </is>
      </c>
      <c r="E850" t="inlineStr"/>
      <c r="F850" t="inlineStr"/>
      <c r="G850" t="inlineStr">
        <is>
          <t>23.9</t>
        </is>
      </c>
      <c r="H850" t="inlineStr"/>
      <c r="I850" t="inlineStr"/>
      <c r="J850" t="inlineStr">
        <is>
          <t>11 333 500</t>
        </is>
      </c>
      <c r="K850" t="inlineStr"/>
      <c r="L850" t="inlineStr"/>
      <c r="M850" t="inlineStr">
        <is>
          <t>Нет у нас</t>
        </is>
      </c>
      <c r="N850" t="inlineStr"/>
      <c r="O850" t="inlineStr"/>
      <c r="P850" t="inlineStr"/>
      <c r="Q850">
        <f>HYPERLINK("https://knru.ru/catalog/moskovskiy-pr-d-dom-115-litera-v-1635015360/","ссылка")</f>
        <v/>
      </c>
      <c r="R850" t="inlineStr"/>
      <c r="S850" t="inlineStr"/>
    </row>
    <row r="851">
      <c r="A851" t="inlineStr">
        <is>
          <t>Московский</t>
        </is>
      </c>
      <c r="B851" t="inlineStr">
        <is>
          <t>Московский пр., д. дом 115 литера В</t>
        </is>
      </c>
      <c r="C851" t="inlineStr">
        <is>
          <t>sale</t>
        </is>
      </c>
      <c r="D851" t="inlineStr">
        <is>
          <t>Да</t>
        </is>
      </c>
      <c r="E851" t="inlineStr"/>
      <c r="F851" t="inlineStr"/>
      <c r="G851" t="inlineStr">
        <is>
          <t>31.9</t>
        </is>
      </c>
      <c r="H851" t="inlineStr"/>
      <c r="I851" t="inlineStr"/>
      <c r="J851" t="inlineStr">
        <is>
          <t>14 759 793</t>
        </is>
      </c>
      <c r="K851" t="inlineStr"/>
      <c r="L851" t="inlineStr"/>
      <c r="M851" t="inlineStr">
        <is>
          <t>Нет у нас</t>
        </is>
      </c>
      <c r="N851" t="inlineStr"/>
      <c r="O851" t="inlineStr"/>
      <c r="P851" t="inlineStr"/>
      <c r="Q851">
        <f>HYPERLINK("https://knru.ru/catalog/moskovskiy-pr-d-dom-115-litera-v-503515475/","ссылка")</f>
        <v/>
      </c>
      <c r="R851" t="inlineStr"/>
      <c r="S851" t="inlineStr"/>
    </row>
    <row r="852">
      <c r="A852" t="inlineStr">
        <is>
          <t>Московский</t>
        </is>
      </c>
      <c r="B852" t="inlineStr">
        <is>
          <t>Московский пр., д. дом 115 литера В</t>
        </is>
      </c>
      <c r="C852" t="inlineStr">
        <is>
          <t>sale</t>
        </is>
      </c>
      <c r="D852" t="inlineStr">
        <is>
          <t>Да</t>
        </is>
      </c>
      <c r="E852" t="inlineStr"/>
      <c r="F852" t="inlineStr"/>
      <c r="G852" t="inlineStr">
        <is>
          <t>45.6</t>
        </is>
      </c>
      <c r="H852" t="inlineStr"/>
      <c r="I852" t="inlineStr"/>
      <c r="J852" t="inlineStr">
        <is>
          <t>20 563 462</t>
        </is>
      </c>
      <c r="K852" t="inlineStr"/>
      <c r="L852" t="inlineStr"/>
      <c r="M852" t="inlineStr">
        <is>
          <t>Нет у нас</t>
        </is>
      </c>
      <c r="N852" t="inlineStr"/>
      <c r="O852" t="inlineStr"/>
      <c r="P852" t="inlineStr"/>
      <c r="Q852">
        <f>HYPERLINK("https://knru.ru/catalog/moskovskiy-pr-d-dom-115-litera-v-516530964/","ссылка")</f>
        <v/>
      </c>
      <c r="R852" t="inlineStr"/>
      <c r="S852" t="inlineStr"/>
    </row>
    <row r="853">
      <c r="A853" t="inlineStr">
        <is>
          <t>Московский</t>
        </is>
      </c>
      <c r="B853" t="inlineStr">
        <is>
          <t>Московский пр., д. дом 115 литера В</t>
        </is>
      </c>
      <c r="C853" t="inlineStr">
        <is>
          <t>sale</t>
        </is>
      </c>
      <c r="D853" t="inlineStr">
        <is>
          <t>Да</t>
        </is>
      </c>
      <c r="E853" t="inlineStr"/>
      <c r="F853" t="inlineStr"/>
      <c r="G853" t="inlineStr">
        <is>
          <t>49.2</t>
        </is>
      </c>
      <c r="H853" t="inlineStr"/>
      <c r="I853" t="inlineStr"/>
      <c r="J853" t="inlineStr">
        <is>
          <t>21 873 156</t>
        </is>
      </c>
      <c r="K853" t="inlineStr"/>
      <c r="L853" t="inlineStr"/>
      <c r="M853" t="inlineStr">
        <is>
          <t>Нет у нас</t>
        </is>
      </c>
      <c r="N853" t="inlineStr"/>
      <c r="O853" t="inlineStr"/>
      <c r="P853" t="inlineStr"/>
      <c r="Q853">
        <f>HYPERLINK("https://knru.ru/catalog/moskovskiy-pr-d-dom-115-litera-v-2127298179/","ссылка")</f>
        <v/>
      </c>
      <c r="R853" t="inlineStr"/>
      <c r="S853" t="inlineStr"/>
    </row>
    <row r="854">
      <c r="A854" t="inlineStr">
        <is>
          <t>Московский</t>
        </is>
      </c>
      <c r="B854" t="inlineStr">
        <is>
          <t>Московский пр., д. дом 115 литера В</t>
        </is>
      </c>
      <c r="C854" t="inlineStr">
        <is>
          <t>sale</t>
        </is>
      </c>
      <c r="D854" t="inlineStr">
        <is>
          <t>Да</t>
        </is>
      </c>
      <c r="E854" t="inlineStr"/>
      <c r="F854" t="inlineStr"/>
      <c r="G854" t="inlineStr">
        <is>
          <t>36.9</t>
        </is>
      </c>
      <c r="H854" t="inlineStr"/>
      <c r="I854" t="inlineStr"/>
      <c r="J854" t="inlineStr">
        <is>
          <t>17 066 156</t>
        </is>
      </c>
      <c r="K854" t="inlineStr"/>
      <c r="L854" t="inlineStr"/>
      <c r="M854" t="inlineStr">
        <is>
          <t>Нет у нас</t>
        </is>
      </c>
      <c r="N854" t="inlineStr"/>
      <c r="O854" t="inlineStr"/>
      <c r="P854" t="inlineStr"/>
      <c r="Q854">
        <f>HYPERLINK("https://knru.ru/catalog/moskovskiy-pr-d-dom-115-litera-v-1252846630/","ссылка")</f>
        <v/>
      </c>
      <c r="R854" t="inlineStr"/>
      <c r="S854" t="inlineStr"/>
    </row>
    <row r="855">
      <c r="A855" t="inlineStr">
        <is>
          <t>Московский</t>
        </is>
      </c>
      <c r="B855" t="inlineStr">
        <is>
          <t>Московский пр-кт, 105-107</t>
        </is>
      </c>
      <c r="C855" t="inlineStr">
        <is>
          <t>sale</t>
        </is>
      </c>
      <c r="D855" t="inlineStr">
        <is>
          <t>Да</t>
        </is>
      </c>
      <c r="E855" t="inlineStr"/>
      <c r="F855" t="inlineStr"/>
      <c r="G855" t="inlineStr">
        <is>
          <t>856</t>
        </is>
      </c>
      <c r="H855" t="inlineStr"/>
      <c r="I855" t="inlineStr"/>
      <c r="J855" t="inlineStr">
        <is>
          <t>200 000 000</t>
        </is>
      </c>
      <c r="K855" t="inlineStr"/>
      <c r="L855" t="inlineStr"/>
      <c r="M855" t="inlineStr">
        <is>
          <t>По адресу есть, но площадь другая</t>
        </is>
      </c>
      <c r="N855" t="inlineStr"/>
      <c r="O855" t="inlineStr"/>
      <c r="P855" t="inlineStr"/>
      <c r="Q855">
        <f>HYPERLINK("https://knru.ru/catalog/moskovskiy-pr-kt-105-107/","ссылка")</f>
        <v/>
      </c>
      <c r="R855" t="inlineStr"/>
      <c r="S855" t="inlineStr"/>
    </row>
    <row r="856">
      <c r="A856" t="inlineStr">
        <is>
          <t>Московский</t>
        </is>
      </c>
      <c r="B856" t="inlineStr">
        <is>
          <t>Московский пр-кт, 133</t>
        </is>
      </c>
      <c r="C856" t="inlineStr">
        <is>
          <t>sale</t>
        </is>
      </c>
      <c r="D856" t="inlineStr">
        <is>
          <t>Да</t>
        </is>
      </c>
      <c r="E856" t="inlineStr"/>
      <c r="F856" t="inlineStr"/>
      <c r="G856" t="inlineStr">
        <is>
          <t>3500</t>
        </is>
      </c>
      <c r="H856" t="inlineStr"/>
      <c r="I856" t="inlineStr"/>
      <c r="J856" t="inlineStr">
        <is>
          <t>32 000 000</t>
        </is>
      </c>
      <c r="K856" t="inlineStr"/>
      <c r="L856" t="inlineStr"/>
      <c r="M856" t="inlineStr">
        <is>
          <t>По адресу есть, но площадь другая</t>
        </is>
      </c>
      <c r="N856" t="inlineStr"/>
      <c r="O856" t="inlineStr"/>
      <c r="P856" t="inlineStr"/>
      <c r="Q856">
        <f>HYPERLINK("https://knru.ru/catalog/moskovskij-pr/","ссылка")</f>
        <v/>
      </c>
      <c r="R856" t="inlineStr"/>
      <c r="S856" t="inlineStr"/>
    </row>
    <row r="857">
      <c r="A857" t="inlineStr">
        <is>
          <t>Московский</t>
        </is>
      </c>
      <c r="B857" t="inlineStr">
        <is>
          <t>Московский пр-кт, 136</t>
        </is>
      </c>
      <c r="C857" t="inlineStr">
        <is>
          <t>sale</t>
        </is>
      </c>
      <c r="D857" t="inlineStr">
        <is>
          <t>Да</t>
        </is>
      </c>
      <c r="E857" t="inlineStr"/>
      <c r="F857" t="inlineStr"/>
      <c r="G857" t="inlineStr">
        <is>
          <t>119</t>
        </is>
      </c>
      <c r="H857" t="inlineStr"/>
      <c r="I857" t="inlineStr"/>
      <c r="J857" t="inlineStr">
        <is>
          <t>43 000 000</t>
        </is>
      </c>
      <c r="K857" t="inlineStr"/>
      <c r="L857" t="inlineStr"/>
      <c r="M857" t="inlineStr">
        <is>
          <t>Совпало</t>
        </is>
      </c>
      <c r="N857" t="inlineStr"/>
      <c r="O857" t="inlineStr"/>
      <c r="P857" t="inlineStr"/>
      <c r="Q857">
        <f>HYPERLINK("https://knru.ru/catalog/moskovskiy-pr-kt-d-136-1084401498/","ссылка")</f>
        <v/>
      </c>
      <c r="R857" t="inlineStr"/>
      <c r="S857" t="inlineStr"/>
    </row>
    <row r="858">
      <c r="A858" t="inlineStr">
        <is>
          <t>Московский</t>
        </is>
      </c>
      <c r="B858" t="inlineStr">
        <is>
          <t>Московский пр-кт, 183 185 А</t>
        </is>
      </c>
      <c r="C858" t="inlineStr">
        <is>
          <t>sale</t>
        </is>
      </c>
      <c r="D858" t="inlineStr">
        <is>
          <t>Да</t>
        </is>
      </c>
      <c r="E858" t="inlineStr"/>
      <c r="F858" t="inlineStr"/>
      <c r="G858" t="inlineStr">
        <is>
          <t>300.1</t>
        </is>
      </c>
      <c r="H858" t="inlineStr"/>
      <c r="I858" t="inlineStr"/>
      <c r="J858" t="inlineStr">
        <is>
          <t>67 523 000</t>
        </is>
      </c>
      <c r="K858" t="inlineStr"/>
      <c r="L858" t="inlineStr"/>
      <c r="M858" t="inlineStr">
        <is>
          <t>Нет у нас</t>
        </is>
      </c>
      <c r="N858" t="inlineStr"/>
      <c r="O858" t="inlineStr"/>
      <c r="P858" t="inlineStr"/>
      <c r="Q858">
        <f>HYPERLINK("https://knru.ru/catalog/moskovskij-pr-d-183-185/","ссылка")</f>
        <v/>
      </c>
      <c r="R858" t="inlineStr"/>
      <c r="S858" t="inlineStr"/>
    </row>
    <row r="859">
      <c r="A859" t="inlineStr">
        <is>
          <t>Московский</t>
        </is>
      </c>
      <c r="B859" t="inlineStr">
        <is>
          <t>Московский пр-кт, 183-185</t>
        </is>
      </c>
      <c r="C859" t="inlineStr">
        <is>
          <t>sale</t>
        </is>
      </c>
      <c r="D859" t="inlineStr">
        <is>
          <t>Да</t>
        </is>
      </c>
      <c r="E859" t="inlineStr"/>
      <c r="F859" t="inlineStr"/>
      <c r="G859" t="inlineStr">
        <is>
          <t>151.7</t>
        </is>
      </c>
      <c r="H859" t="inlineStr"/>
      <c r="I859" t="inlineStr"/>
      <c r="J859" t="inlineStr">
        <is>
          <t>65 000 000</t>
        </is>
      </c>
      <c r="K859" t="inlineStr"/>
      <c r="L859" t="inlineStr"/>
      <c r="M859" t="inlineStr">
        <is>
          <t>У нас аренда, у конкурента продажа</t>
        </is>
      </c>
      <c r="N859" t="inlineStr"/>
      <c r="O859" t="inlineStr"/>
      <c r="P859" t="inlineStr"/>
      <c r="Q859">
        <f>HYPERLINK("https://knru.ru/catalog/moskovskiy-pr-kt-183-185/","ссылка")</f>
        <v/>
      </c>
      <c r="R859" t="inlineStr"/>
      <c r="S859" t="inlineStr"/>
    </row>
    <row r="860">
      <c r="A860" t="inlineStr">
        <is>
          <t>Московский</t>
        </is>
      </c>
      <c r="B860" t="inlineStr">
        <is>
          <t>Московский пр-кт, 208</t>
        </is>
      </c>
      <c r="C860" t="inlineStr">
        <is>
          <t>sale</t>
        </is>
      </c>
      <c r="D860" t="inlineStr">
        <is>
          <t>Да</t>
        </is>
      </c>
      <c r="E860" t="inlineStr"/>
      <c r="F860" t="inlineStr"/>
      <c r="G860" t="inlineStr">
        <is>
          <t>227</t>
        </is>
      </c>
      <c r="H860" t="inlineStr"/>
      <c r="I860" t="inlineStr"/>
      <c r="J860" t="inlineStr">
        <is>
          <t>81 000 000</t>
        </is>
      </c>
      <c r="K860" t="inlineStr"/>
      <c r="L860" t="inlineStr"/>
      <c r="M860" t="inlineStr">
        <is>
          <t>Совпало</t>
        </is>
      </c>
      <c r="N860" t="inlineStr"/>
      <c r="O860" t="inlineStr"/>
      <c r="P860" t="inlineStr"/>
      <c r="Q860">
        <f>HYPERLINK("https://knru.ru/catalog/moskovskiy-pr-d-208/","ссылка")</f>
        <v/>
      </c>
      <c r="R860" t="inlineStr"/>
      <c r="S860" t="inlineStr"/>
    </row>
    <row r="861">
      <c r="A861" t="inlineStr">
        <is>
          <t>Московский</t>
        </is>
      </c>
      <c r="B861" t="inlineStr">
        <is>
          <t>Московский пр-кт, 63 А</t>
        </is>
      </c>
      <c r="C861" t="inlineStr">
        <is>
          <t>sale</t>
        </is>
      </c>
      <c r="D861" t="inlineStr">
        <is>
          <t>Да</t>
        </is>
      </c>
      <c r="E861" t="inlineStr"/>
      <c r="F861" t="inlineStr"/>
      <c r="G861" t="inlineStr">
        <is>
          <t>387</t>
        </is>
      </c>
      <c r="H861" t="inlineStr"/>
      <c r="I861" t="inlineStr"/>
      <c r="J861" t="inlineStr">
        <is>
          <t>95 000 000</t>
        </is>
      </c>
      <c r="K861" t="inlineStr"/>
      <c r="L861" t="inlineStr"/>
      <c r="M861" t="inlineStr">
        <is>
          <t>По адресу есть, но площадь другая</t>
        </is>
      </c>
      <c r="N861" t="inlineStr"/>
      <c r="O861" t="inlineStr"/>
      <c r="P861" t="inlineStr"/>
      <c r="Q861">
        <f>HYPERLINK("https://knru.ru/catalog/moskovskiy-d-63/","ссылка")</f>
        <v/>
      </c>
      <c r="R861" t="inlineStr"/>
      <c r="S861" t="inlineStr"/>
    </row>
    <row r="862">
      <c r="A862" t="inlineStr">
        <is>
          <t>Московский</t>
        </is>
      </c>
      <c r="B862" t="inlineStr">
        <is>
          <t>Московский пр-кт, 65 Э</t>
        </is>
      </c>
      <c r="C862" t="inlineStr">
        <is>
          <t>sale</t>
        </is>
      </c>
      <c r="D862" t="inlineStr">
        <is>
          <t>Да</t>
        </is>
      </c>
      <c r="E862" t="inlineStr"/>
      <c r="F862" t="inlineStr"/>
      <c r="G862" t="inlineStr">
        <is>
          <t>235</t>
        </is>
      </c>
      <c r="H862" t="inlineStr"/>
      <c r="I862" t="inlineStr"/>
      <c r="J862" t="inlineStr">
        <is>
          <t>92 587 900</t>
        </is>
      </c>
      <c r="K862" t="inlineStr"/>
      <c r="L862" t="inlineStr"/>
      <c r="M862" t="inlineStr">
        <is>
          <t>Нет у нас</t>
        </is>
      </c>
      <c r="N862" t="inlineStr"/>
      <c r="O862" t="inlineStr"/>
      <c r="P862" t="inlineStr"/>
      <c r="Q862">
        <f>HYPERLINK("https://knru.ru/catalog/pr-kt-moskovskiy-d-65-lit-e-1736231938/","ссылка")</f>
        <v/>
      </c>
      <c r="R862" t="inlineStr"/>
      <c r="S862" t="inlineStr"/>
    </row>
    <row r="863">
      <c r="A863" t="inlineStr">
        <is>
          <t>Московский</t>
        </is>
      </c>
      <c r="B863" t="inlineStr">
        <is>
          <t>Московский пр-кт, 65 Э</t>
        </is>
      </c>
      <c r="C863" t="inlineStr">
        <is>
          <t>sale</t>
        </is>
      </c>
      <c r="D863" t="inlineStr">
        <is>
          <t>Да</t>
        </is>
      </c>
      <c r="E863" t="inlineStr"/>
      <c r="F863" t="inlineStr"/>
      <c r="G863" t="inlineStr">
        <is>
          <t>104</t>
        </is>
      </c>
      <c r="H863" t="inlineStr"/>
      <c r="I863" t="inlineStr"/>
      <c r="J863" t="inlineStr">
        <is>
          <t>40 507 445</t>
        </is>
      </c>
      <c r="K863" t="inlineStr"/>
      <c r="L863" t="inlineStr"/>
      <c r="M863" t="inlineStr">
        <is>
          <t>Нет у нас</t>
        </is>
      </c>
      <c r="N863" t="inlineStr"/>
      <c r="O863" t="inlineStr"/>
      <c r="P863" t="inlineStr"/>
      <c r="Q863">
        <f>HYPERLINK("https://knru.ru/catalog/pr-kt-moskovskiy-d-65-lit-e-95347776/","ссылка")</f>
        <v/>
      </c>
      <c r="R863" t="inlineStr"/>
      <c r="S863" t="inlineStr"/>
    </row>
    <row r="864">
      <c r="A864" t="inlineStr">
        <is>
          <t>Московский</t>
        </is>
      </c>
      <c r="B864" t="inlineStr">
        <is>
          <t>Московский пр-кт, 65 Э</t>
        </is>
      </c>
      <c r="C864" t="inlineStr">
        <is>
          <t>sale</t>
        </is>
      </c>
      <c r="D864" t="inlineStr">
        <is>
          <t>Да</t>
        </is>
      </c>
      <c r="E864" t="inlineStr"/>
      <c r="F864" t="inlineStr"/>
      <c r="G864" t="inlineStr">
        <is>
          <t>59</t>
        </is>
      </c>
      <c r="H864" t="inlineStr"/>
      <c r="I864" t="inlineStr"/>
      <c r="J864" t="inlineStr">
        <is>
          <t>22 296 325</t>
        </is>
      </c>
      <c r="K864" t="inlineStr"/>
      <c r="L864" t="inlineStr"/>
      <c r="M864" t="inlineStr">
        <is>
          <t>Нет у нас</t>
        </is>
      </c>
      <c r="N864" t="inlineStr"/>
      <c r="O864" t="inlineStr"/>
      <c r="P864" t="inlineStr"/>
      <c r="Q864">
        <f>HYPERLINK("https://knru.ru/catalog/pr-kt-moskovskiy-d-65-lit-e/","ссылка")</f>
        <v/>
      </c>
      <c r="R864" t="inlineStr"/>
      <c r="S864" t="inlineStr"/>
    </row>
    <row r="865">
      <c r="A865" t="inlineStr">
        <is>
          <t>Московский</t>
        </is>
      </c>
      <c r="B865" t="inlineStr">
        <is>
          <t>Московский пр-кт, 65 Э</t>
        </is>
      </c>
      <c r="C865" t="inlineStr">
        <is>
          <t>sale</t>
        </is>
      </c>
      <c r="D865" t="inlineStr">
        <is>
          <t>Да</t>
        </is>
      </c>
      <c r="E865" t="inlineStr"/>
      <c r="F865" t="inlineStr"/>
      <c r="G865" t="inlineStr">
        <is>
          <t>465</t>
        </is>
      </c>
      <c r="H865" t="inlineStr"/>
      <c r="I865" t="inlineStr"/>
      <c r="J865" t="inlineStr">
        <is>
          <t>209 470 500</t>
        </is>
      </c>
      <c r="K865" t="inlineStr"/>
      <c r="L865" t="inlineStr"/>
      <c r="M865" t="inlineStr">
        <is>
          <t>Нет у нас</t>
        </is>
      </c>
      <c r="N865" t="inlineStr"/>
      <c r="O865" t="inlineStr"/>
      <c r="P865" t="inlineStr"/>
      <c r="Q865">
        <f>HYPERLINK("https://knru.ru/catalog/pr-kt-moskovskij-d-65-lit-e-561444/","ссылка")</f>
        <v/>
      </c>
      <c r="R865" t="inlineStr"/>
      <c r="S865" t="inlineStr"/>
    </row>
    <row r="866">
      <c r="A866" t="inlineStr">
        <is>
          <t>Московский</t>
        </is>
      </c>
      <c r="B866" t="inlineStr">
        <is>
          <t>Московский пр-кт, 65 Э</t>
        </is>
      </c>
      <c r="C866" t="inlineStr">
        <is>
          <t>sale</t>
        </is>
      </c>
      <c r="D866" t="inlineStr">
        <is>
          <t>Да</t>
        </is>
      </c>
      <c r="E866" t="inlineStr"/>
      <c r="F866" t="inlineStr"/>
      <c r="G866" t="inlineStr">
        <is>
          <t>550</t>
        </is>
      </c>
      <c r="H866" t="inlineStr"/>
      <c r="I866" t="inlineStr"/>
      <c r="J866" t="inlineStr">
        <is>
          <t>212 850 847</t>
        </is>
      </c>
      <c r="K866" t="inlineStr"/>
      <c r="L866" t="inlineStr"/>
      <c r="M866" t="inlineStr">
        <is>
          <t>Нет у нас</t>
        </is>
      </c>
      <c r="N866" t="inlineStr"/>
      <c r="O866" t="inlineStr"/>
      <c r="P866" t="inlineStr"/>
      <c r="Q866">
        <f>HYPERLINK("https://knru.ru/catalog/pr-kt-moskovskij-d-65-lit-e-561442/","ссылка")</f>
        <v/>
      </c>
      <c r="R866" t="inlineStr"/>
      <c r="S866" t="inlineStr"/>
    </row>
    <row r="867">
      <c r="A867" t="inlineStr">
        <is>
          <t>Московский</t>
        </is>
      </c>
      <c r="B867" t="inlineStr">
        <is>
          <t>Московский пр-кт, 65 Э</t>
        </is>
      </c>
      <c r="C867" t="inlineStr">
        <is>
          <t>sale</t>
        </is>
      </c>
      <c r="D867" t="inlineStr">
        <is>
          <t>Да</t>
        </is>
      </c>
      <c r="E867" t="inlineStr"/>
      <c r="F867" t="inlineStr"/>
      <c r="G867" t="inlineStr">
        <is>
          <t>542</t>
        </is>
      </c>
      <c r="H867" t="inlineStr"/>
      <c r="I867" t="inlineStr"/>
      <c r="J867" t="inlineStr">
        <is>
          <t>193 619 116</t>
        </is>
      </c>
      <c r="K867" t="inlineStr"/>
      <c r="L867" t="inlineStr"/>
      <c r="M867" t="inlineStr">
        <is>
          <t>Нет у нас</t>
        </is>
      </c>
      <c r="N867" t="inlineStr"/>
      <c r="O867" t="inlineStr"/>
      <c r="P867" t="inlineStr"/>
      <c r="Q867">
        <f>HYPERLINK("https://knru.ru/catalog/pr-kt-moskovskij-d-65-lit-e-561438/","ссылка")</f>
        <v/>
      </c>
      <c r="R867" t="inlineStr"/>
      <c r="S867" t="inlineStr"/>
    </row>
    <row r="868">
      <c r="A868" t="inlineStr">
        <is>
          <t>Московский</t>
        </is>
      </c>
      <c r="B868" t="inlineStr">
        <is>
          <t>Московский пр-кт, 65 Э</t>
        </is>
      </c>
      <c r="C868" t="inlineStr">
        <is>
          <t>sale</t>
        </is>
      </c>
      <c r="D868" t="inlineStr">
        <is>
          <t>Да</t>
        </is>
      </c>
      <c r="E868" t="inlineStr"/>
      <c r="F868" t="inlineStr"/>
      <c r="G868" t="inlineStr">
        <is>
          <t>6966</t>
        </is>
      </c>
      <c r="H868" t="inlineStr"/>
      <c r="I868" t="inlineStr"/>
      <c r="J868" t="inlineStr">
        <is>
          <t>1 652 637 217</t>
        </is>
      </c>
      <c r="K868" t="inlineStr"/>
      <c r="L868" t="inlineStr"/>
      <c r="M868" t="inlineStr">
        <is>
          <t>Нет у нас</t>
        </is>
      </c>
      <c r="N868" t="inlineStr"/>
      <c r="O868" t="inlineStr"/>
      <c r="P868" t="inlineStr"/>
      <c r="Q868">
        <f>HYPERLINK("https://knru.ru/catalog/pr-kt-moskovskij-d-65-lit-e/","ссылка")</f>
        <v/>
      </c>
      <c r="R868" t="inlineStr"/>
      <c r="S868" t="inlineStr"/>
    </row>
    <row r="869">
      <c r="A869" t="inlineStr">
        <is>
          <t>Московский</t>
        </is>
      </c>
      <c r="B869" t="inlineStr">
        <is>
          <t>Московский пр-кт, 72к2</t>
        </is>
      </c>
      <c r="C869" t="inlineStr">
        <is>
          <t>sale</t>
        </is>
      </c>
      <c r="D869" t="inlineStr">
        <is>
          <t>Да</t>
        </is>
      </c>
      <c r="E869" t="inlineStr"/>
      <c r="F869" t="inlineStr"/>
      <c r="G869" t="inlineStr">
        <is>
          <t>64.5</t>
        </is>
      </c>
      <c r="H869" t="inlineStr"/>
      <c r="I869" t="inlineStr"/>
      <c r="J869" t="inlineStr">
        <is>
          <t>23 771 014</t>
        </is>
      </c>
      <c r="K869" t="inlineStr"/>
      <c r="L869" t="inlineStr"/>
      <c r="M869" t="inlineStr">
        <is>
          <t>По адресу есть, но площадь другая</t>
        </is>
      </c>
      <c r="N869" t="inlineStr"/>
      <c r="O869" t="inlineStr"/>
      <c r="P869" t="inlineStr"/>
      <c r="Q869">
        <f>HYPERLINK("https://knru.ru/catalog/moskovskij-pr-d-72-k-2-561338/","ссылка")</f>
        <v/>
      </c>
      <c r="R869" t="inlineStr"/>
      <c r="S869" t="inlineStr"/>
    </row>
    <row r="870">
      <c r="A870" t="inlineStr">
        <is>
          <t>Московский</t>
        </is>
      </c>
      <c r="B870" t="inlineStr">
        <is>
          <t>Московский пр-кт, 79</t>
        </is>
      </c>
      <c r="C870" t="inlineStr">
        <is>
          <t>sale</t>
        </is>
      </c>
      <c r="D870" t="inlineStr">
        <is>
          <t>Да</t>
        </is>
      </c>
      <c r="E870" t="inlineStr"/>
      <c r="F870" t="inlineStr"/>
      <c r="G870" t="inlineStr">
        <is>
          <t>100</t>
        </is>
      </c>
      <c r="H870" t="inlineStr"/>
      <c r="I870" t="inlineStr"/>
      <c r="J870" t="inlineStr">
        <is>
          <t>65 000 000</t>
        </is>
      </c>
      <c r="K870" t="inlineStr"/>
      <c r="L870" t="inlineStr"/>
      <c r="M870" t="inlineStr">
        <is>
          <t>Нет у нас</t>
        </is>
      </c>
      <c r="N870" t="inlineStr"/>
      <c r="O870" t="inlineStr"/>
      <c r="P870" t="inlineStr"/>
      <c r="Q870">
        <f>HYPERLINK("https://knru.ru/catalog/moskovskiy-pr-d-79/","ссылка")</f>
        <v/>
      </c>
      <c r="R870" t="inlineStr"/>
      <c r="S870" t="inlineStr"/>
    </row>
    <row r="871">
      <c r="A871" t="inlineStr">
        <is>
          <t>Московский</t>
        </is>
      </c>
      <c r="B871" t="inlineStr">
        <is>
          <t>Московский пр-кт, 97</t>
        </is>
      </c>
      <c r="C871" t="inlineStr">
        <is>
          <t>sale</t>
        </is>
      </c>
      <c r="D871" t="inlineStr"/>
      <c r="E871" t="inlineStr">
        <is>
          <t>Да</t>
        </is>
      </c>
      <c r="F871" t="inlineStr"/>
      <c r="G871" t="inlineStr"/>
      <c r="H871" t="inlineStr">
        <is>
          <t>227</t>
        </is>
      </c>
      <c r="I871" t="inlineStr"/>
      <c r="J871" t="inlineStr"/>
      <c r="K871" t="inlineStr">
        <is>
          <t>73 000 000</t>
        </is>
      </c>
      <c r="L871" t="inlineStr"/>
      <c r="M871" t="inlineStr"/>
      <c r="N871" t="inlineStr">
        <is>
          <t>По адресу есть, но площадь другая</t>
        </is>
      </c>
      <c r="O871" t="inlineStr"/>
      <c r="P871" t="inlineStr"/>
      <c r="Q871" t="inlineStr"/>
      <c r="R871">
        <f>HYPERLINK("https://nordwestinvest.ru/real-estates/prodaza-s-arendatorom-na-1-linii","ссылка")</f>
        <v/>
      </c>
      <c r="S871" t="inlineStr"/>
    </row>
    <row r="872">
      <c r="A872" t="inlineStr">
        <is>
          <t>Московский</t>
        </is>
      </c>
      <c r="B872" t="inlineStr">
        <is>
          <t>Московский, 198</t>
        </is>
      </c>
      <c r="C872" t="inlineStr">
        <is>
          <t>sale</t>
        </is>
      </c>
      <c r="D872" t="inlineStr">
        <is>
          <t>Да</t>
        </is>
      </c>
      <c r="E872" t="inlineStr"/>
      <c r="F872" t="inlineStr"/>
      <c r="G872" t="inlineStr">
        <is>
          <t>70</t>
        </is>
      </c>
      <c r="H872" t="inlineStr"/>
      <c r="I872" t="inlineStr"/>
      <c r="J872" t="inlineStr">
        <is>
          <t>24 800 000</t>
        </is>
      </c>
      <c r="K872" t="inlineStr"/>
      <c r="L872" t="inlineStr"/>
      <c r="M872" t="inlineStr">
        <is>
          <t>По адресу есть, но площадь другая</t>
        </is>
      </c>
      <c r="N872" t="inlineStr"/>
      <c r="O872" t="inlineStr"/>
      <c r="P872" t="inlineStr"/>
      <c r="Q872">
        <f>HYPERLINK("https://knru.ru/catalog/moskovskij-prospekt-d-198/","ссылка")</f>
        <v/>
      </c>
      <c r="R872" t="inlineStr"/>
      <c r="S872" t="inlineStr"/>
    </row>
    <row r="873">
      <c r="A873" t="inlineStr">
        <is>
          <t>Московский</t>
        </is>
      </c>
      <c r="B873" t="inlineStr">
        <is>
          <t>Новоизмайловский пр-кт, 81к2</t>
        </is>
      </c>
      <c r="C873" t="inlineStr">
        <is>
          <t>sale</t>
        </is>
      </c>
      <c r="D873" t="inlineStr">
        <is>
          <t>Да</t>
        </is>
      </c>
      <c r="E873" t="inlineStr"/>
      <c r="F873" t="inlineStr"/>
      <c r="G873" t="inlineStr">
        <is>
          <t>1130.6</t>
        </is>
      </c>
      <c r="H873" t="inlineStr"/>
      <c r="I873" t="inlineStr"/>
      <c r="J873" t="inlineStr">
        <is>
          <t>280 000 000</t>
        </is>
      </c>
      <c r="K873" t="inlineStr"/>
      <c r="L873" t="inlineStr"/>
      <c r="M873" t="inlineStr">
        <is>
          <t>Нет у нас</t>
        </is>
      </c>
      <c r="N873" t="inlineStr"/>
      <c r="O873" t="inlineStr"/>
      <c r="P873" t="inlineStr"/>
      <c r="Q873">
        <f>HYPERLINK("https://knru.ru/catalog/novoizmaylovskiy-pr-d-81-k-2/","ссылка")</f>
        <v/>
      </c>
      <c r="R873" t="inlineStr"/>
      <c r="S873" t="inlineStr"/>
    </row>
    <row r="874">
      <c r="A874" t="inlineStr">
        <is>
          <t>Московский</t>
        </is>
      </c>
      <c r="B874" t="inlineStr">
        <is>
          <t>Пулковское ш, 208</t>
        </is>
      </c>
      <c r="C874" t="inlineStr">
        <is>
          <t>sale</t>
        </is>
      </c>
      <c r="D874" t="inlineStr"/>
      <c r="E874" t="inlineStr">
        <is>
          <t>Да</t>
        </is>
      </c>
      <c r="F874" t="inlineStr"/>
      <c r="G874" t="inlineStr"/>
      <c r="H874" t="inlineStr">
        <is>
          <t>17350</t>
        </is>
      </c>
      <c r="I874" t="inlineStr"/>
      <c r="J874" t="inlineStr"/>
      <c r="K874" t="inlineStr">
        <is>
          <t>265 000 000</t>
        </is>
      </c>
      <c r="L874" t="inlineStr"/>
      <c r="M874" t="inlineStr"/>
      <c r="N874" t="inlineStr">
        <is>
          <t>Нет у нас</t>
        </is>
      </c>
      <c r="O874" t="inlineStr"/>
      <c r="P874" t="inlineStr"/>
      <c r="Q874" t="inlineStr"/>
      <c r="R874">
        <f>HYPERLINK("https://nordwestinvest.ru/real-estates/prodaza-zemelnogo-ucastka-173-ga-na-pulkovskom-s","ссылка")</f>
        <v/>
      </c>
      <c r="S874" t="inlineStr"/>
    </row>
    <row r="875">
      <c r="A875" t="inlineStr">
        <is>
          <t>Московский</t>
        </is>
      </c>
      <c r="B875" t="inlineStr">
        <is>
          <t>Пулковское ш, 3к1</t>
        </is>
      </c>
      <c r="C875" t="inlineStr">
        <is>
          <t>sale</t>
        </is>
      </c>
      <c r="D875" t="inlineStr">
        <is>
          <t>Да</t>
        </is>
      </c>
      <c r="E875" t="inlineStr"/>
      <c r="F875" t="inlineStr"/>
      <c r="G875" t="inlineStr">
        <is>
          <t>187</t>
        </is>
      </c>
      <c r="H875" t="inlineStr"/>
      <c r="I875" t="inlineStr"/>
      <c r="J875" t="inlineStr">
        <is>
          <t>100 000 000</t>
        </is>
      </c>
      <c r="K875" t="inlineStr"/>
      <c r="L875" t="inlineStr"/>
      <c r="M875" t="inlineStr">
        <is>
          <t>По адресу есть, но площадь другая</t>
        </is>
      </c>
      <c r="N875" t="inlineStr"/>
      <c r="O875" t="inlineStr"/>
      <c r="P875" t="inlineStr"/>
      <c r="Q875">
        <f>HYPERLINK("https://knru.ru/catalog/pulkovskoe-sh-d-3-k-1/","ссылка")</f>
        <v/>
      </c>
      <c r="R875" t="inlineStr"/>
      <c r="S875" t="inlineStr"/>
    </row>
    <row r="876">
      <c r="A876" t="inlineStr">
        <is>
          <t>Московский</t>
        </is>
      </c>
      <c r="B876" t="inlineStr">
        <is>
          <t>Пулковское ш, 95к3</t>
        </is>
      </c>
      <c r="C876" t="inlineStr">
        <is>
          <t>sale</t>
        </is>
      </c>
      <c r="D876" t="inlineStr"/>
      <c r="E876" t="inlineStr">
        <is>
          <t>Да</t>
        </is>
      </c>
      <c r="F876" t="inlineStr"/>
      <c r="G876" t="inlineStr"/>
      <c r="H876" t="inlineStr">
        <is>
          <t>571</t>
        </is>
      </c>
      <c r="I876" t="inlineStr"/>
      <c r="J876" t="inlineStr"/>
      <c r="K876" t="inlineStr">
        <is>
          <t>177 000 000</t>
        </is>
      </c>
      <c r="L876" t="inlineStr"/>
      <c r="M876" t="inlineStr"/>
      <c r="N876" t="inlineStr">
        <is>
          <t>По адресу есть, но площадь другая</t>
        </is>
      </c>
      <c r="O876" t="inlineStr"/>
      <c r="P876" t="inlineStr"/>
      <c r="Q876" t="inlineStr"/>
      <c r="R876">
        <f>HYPERLINK("https://nordwestinvest.ru/real-estates/prodaza-s-arendatorom-magnit-3","ссылка")</f>
        <v/>
      </c>
      <c r="S876" t="inlineStr"/>
    </row>
    <row r="877">
      <c r="A877" t="inlineStr">
        <is>
          <t>Московский</t>
        </is>
      </c>
      <c r="B877" t="inlineStr">
        <is>
          <t>Пулковское ш, 95к3</t>
        </is>
      </c>
      <c r="C877" t="inlineStr">
        <is>
          <t>sale</t>
        </is>
      </c>
      <c r="D877" t="inlineStr">
        <is>
          <t>Да</t>
        </is>
      </c>
      <c r="E877" t="inlineStr"/>
      <c r="F877" t="inlineStr"/>
      <c r="G877" t="inlineStr">
        <is>
          <t>107</t>
        </is>
      </c>
      <c r="H877" t="inlineStr"/>
      <c r="I877" t="inlineStr"/>
      <c r="J877" t="inlineStr">
        <is>
          <t>22 363 000</t>
        </is>
      </c>
      <c r="K877" t="inlineStr"/>
      <c r="L877" t="inlineStr"/>
      <c r="M877" t="inlineStr">
        <is>
          <t>По адресу есть, но площадь другая</t>
        </is>
      </c>
      <c r="N877" t="inlineStr"/>
      <c r="O877" t="inlineStr"/>
      <c r="P877" t="inlineStr"/>
      <c r="Q877">
        <f>HYPERLINK("https://knru.ru/catalog/pulkovskoe-shosse-d-95-k-5-1479793908/","ссылка")</f>
        <v/>
      </c>
      <c r="R877" t="inlineStr"/>
      <c r="S877" t="inlineStr"/>
    </row>
    <row r="878">
      <c r="A878" t="inlineStr">
        <is>
          <t>Московский</t>
        </is>
      </c>
      <c r="B878" t="inlineStr">
        <is>
          <t>Пулковское ш, 95к3</t>
        </is>
      </c>
      <c r="C878" t="inlineStr">
        <is>
          <t>sale</t>
        </is>
      </c>
      <c r="D878" t="inlineStr">
        <is>
          <t>Да</t>
        </is>
      </c>
      <c r="E878" t="inlineStr"/>
      <c r="F878" t="inlineStr"/>
      <c r="G878" t="inlineStr">
        <is>
          <t>37.1</t>
        </is>
      </c>
      <c r="H878" t="inlineStr"/>
      <c r="I878" t="inlineStr"/>
      <c r="J878" t="inlineStr">
        <is>
          <t>9 516 150</t>
        </is>
      </c>
      <c r="K878" t="inlineStr"/>
      <c r="L878" t="inlineStr"/>
      <c r="M878" t="inlineStr">
        <is>
          <t>По адресу есть, но площадь другая</t>
        </is>
      </c>
      <c r="N878" t="inlineStr"/>
      <c r="O878" t="inlineStr"/>
      <c r="P878" t="inlineStr"/>
      <c r="Q878">
        <f>HYPERLINK("https://knru.ru/catalog/pulkovskoe-shosse-d-95-k-5-1851157104/","ссылка")</f>
        <v/>
      </c>
      <c r="R878" t="inlineStr"/>
      <c r="S878" t="inlineStr"/>
    </row>
    <row r="879">
      <c r="A879" t="inlineStr">
        <is>
          <t>Московский</t>
        </is>
      </c>
      <c r="B879" t="inlineStr">
        <is>
          <t>Пулковское ш, 95к3</t>
        </is>
      </c>
      <c r="C879" t="inlineStr">
        <is>
          <t>sale</t>
        </is>
      </c>
      <c r="D879" t="inlineStr">
        <is>
          <t>Да</t>
        </is>
      </c>
      <c r="E879" t="inlineStr"/>
      <c r="F879" t="inlineStr"/>
      <c r="G879" t="inlineStr">
        <is>
          <t>27.3</t>
        </is>
      </c>
      <c r="H879" t="inlineStr"/>
      <c r="I879" t="inlineStr"/>
      <c r="J879" t="inlineStr">
        <is>
          <t>9 077 250</t>
        </is>
      </c>
      <c r="K879" t="inlineStr"/>
      <c r="L879" t="inlineStr"/>
      <c r="M879" t="inlineStr">
        <is>
          <t>По адресу есть, но площадь другая</t>
        </is>
      </c>
      <c r="N879" t="inlineStr"/>
      <c r="O879" t="inlineStr"/>
      <c r="P879" t="inlineStr"/>
      <c r="Q879">
        <f>HYPERLINK("https://knru.ru/catalog/pulkovskoe-shosse-d-95-k-5-160745438/","ссылка")</f>
        <v/>
      </c>
      <c r="R879" t="inlineStr"/>
      <c r="S879" t="inlineStr"/>
    </row>
    <row r="880">
      <c r="A880" t="inlineStr">
        <is>
          <t>Московский</t>
        </is>
      </c>
      <c r="B880" t="inlineStr">
        <is>
          <t>Пулковское ш, 95к3</t>
        </is>
      </c>
      <c r="C880" t="inlineStr">
        <is>
          <t>sale</t>
        </is>
      </c>
      <c r="D880" t="inlineStr">
        <is>
          <t>Да</t>
        </is>
      </c>
      <c r="E880" t="inlineStr"/>
      <c r="F880" t="inlineStr"/>
      <c r="G880" t="inlineStr">
        <is>
          <t>102.3</t>
        </is>
      </c>
      <c r="H880" t="inlineStr"/>
      <c r="I880" t="inlineStr"/>
      <c r="J880" t="inlineStr">
        <is>
          <t>22 352 550</t>
        </is>
      </c>
      <c r="K880" t="inlineStr"/>
      <c r="L880" t="inlineStr"/>
      <c r="M880" t="inlineStr">
        <is>
          <t>По адресу есть, но площадь другая</t>
        </is>
      </c>
      <c r="N880" t="inlineStr"/>
      <c r="O880" t="inlineStr"/>
      <c r="P880" t="inlineStr"/>
      <c r="Q880">
        <f>HYPERLINK("https://knru.ru/catalog/pulkovskoe-shosse-d-95-k-5-799547736/","ссылка")</f>
        <v/>
      </c>
      <c r="R880" t="inlineStr"/>
      <c r="S880" t="inlineStr"/>
    </row>
    <row r="881">
      <c r="A881" t="inlineStr">
        <is>
          <t>Московский</t>
        </is>
      </c>
      <c r="B881" t="inlineStr">
        <is>
          <t>Пулковское ш, 95к3</t>
        </is>
      </c>
      <c r="C881" t="inlineStr">
        <is>
          <t>sale</t>
        </is>
      </c>
      <c r="D881" t="inlineStr">
        <is>
          <t>Да</t>
        </is>
      </c>
      <c r="E881" t="inlineStr"/>
      <c r="F881" t="inlineStr"/>
      <c r="G881" t="inlineStr">
        <is>
          <t>58</t>
        </is>
      </c>
      <c r="H881" t="inlineStr"/>
      <c r="I881" t="inlineStr"/>
      <c r="J881" t="inlineStr">
        <is>
          <t>18 276 300</t>
        </is>
      </c>
      <c r="K881" t="inlineStr"/>
      <c r="L881" t="inlineStr"/>
      <c r="M881" t="inlineStr">
        <is>
          <t>По адресу есть, но площадь другая</t>
        </is>
      </c>
      <c r="N881" t="inlineStr"/>
      <c r="O881" t="inlineStr"/>
      <c r="P881" t="inlineStr"/>
      <c r="Q881">
        <f>HYPERLINK("https://knru.ru/catalog/pulkovskoe-shosse-d-95-k-5-481286408/","ссылка")</f>
        <v/>
      </c>
      <c r="R881" t="inlineStr"/>
      <c r="S881" t="inlineStr"/>
    </row>
    <row r="882">
      <c r="A882" t="inlineStr">
        <is>
          <t>Московский</t>
        </is>
      </c>
      <c r="B882" t="inlineStr">
        <is>
          <t>Пулковское ш, 95к3</t>
        </is>
      </c>
      <c r="C882" t="inlineStr">
        <is>
          <t>sale</t>
        </is>
      </c>
      <c r="D882" t="inlineStr">
        <is>
          <t>Да</t>
        </is>
      </c>
      <c r="E882" t="inlineStr"/>
      <c r="F882" t="inlineStr"/>
      <c r="G882" t="inlineStr">
        <is>
          <t>63.5</t>
        </is>
      </c>
      <c r="H882" t="inlineStr"/>
      <c r="I882" t="inlineStr"/>
      <c r="J882" t="inlineStr">
        <is>
          <t>17 155 800</t>
        </is>
      </c>
      <c r="K882" t="inlineStr"/>
      <c r="L882" t="inlineStr"/>
      <c r="M882" t="inlineStr">
        <is>
          <t>По адресу есть, но площадь другая</t>
        </is>
      </c>
      <c r="N882" t="inlineStr"/>
      <c r="O882" t="inlineStr"/>
      <c r="P882" t="inlineStr"/>
      <c r="Q882">
        <f>HYPERLINK("https://knru.ru/catalog/pulkovskoe-shosse-d-95-k-5/","ссылка")</f>
        <v/>
      </c>
      <c r="R882" t="inlineStr"/>
      <c r="S882" t="inlineStr"/>
    </row>
    <row r="883">
      <c r="A883" t="inlineStr">
        <is>
          <t>Московский</t>
        </is>
      </c>
      <c r="B883" t="inlineStr">
        <is>
          <t>Пулковское шоссе, 109к4</t>
        </is>
      </c>
      <c r="C883" t="inlineStr">
        <is>
          <t>sale</t>
        </is>
      </c>
      <c r="D883" t="inlineStr"/>
      <c r="E883" t="inlineStr">
        <is>
          <t>Да</t>
        </is>
      </c>
      <c r="F883" t="inlineStr"/>
      <c r="G883" t="inlineStr"/>
      <c r="H883" t="inlineStr">
        <is>
          <t>30.2</t>
        </is>
      </c>
      <c r="I883" t="inlineStr"/>
      <c r="J883" t="inlineStr"/>
      <c r="K883" t="inlineStr">
        <is>
          <t>13 000 000</t>
        </is>
      </c>
      <c r="L883" t="inlineStr"/>
      <c r="M883" t="inlineStr"/>
      <c r="N883" t="inlineStr">
        <is>
          <t>Нет у нас</t>
        </is>
      </c>
      <c r="O883" t="inlineStr"/>
      <c r="P883" t="inlineStr"/>
      <c r="Q883" t="inlineStr"/>
      <c r="R883">
        <f>HYPERLINK("https://nordwestinvest.ru/real-estates/prodaza","ссылка")</f>
        <v/>
      </c>
      <c r="S883" t="inlineStr"/>
    </row>
    <row r="884">
      <c r="A884" t="inlineStr">
        <is>
          <t>Московский</t>
        </is>
      </c>
      <c r="B884" t="inlineStr">
        <is>
          <t>Среднерогатская ул, 11</t>
        </is>
      </c>
      <c r="C884" t="inlineStr">
        <is>
          <t>sale</t>
        </is>
      </c>
      <c r="D884" t="inlineStr">
        <is>
          <t>Да</t>
        </is>
      </c>
      <c r="E884" t="inlineStr"/>
      <c r="F884" t="inlineStr"/>
      <c r="G884" t="inlineStr">
        <is>
          <t>470.1</t>
        </is>
      </c>
      <c r="H884" t="inlineStr"/>
      <c r="I884" t="inlineStr"/>
      <c r="J884" t="inlineStr">
        <is>
          <t>278 541 985</t>
        </is>
      </c>
      <c r="K884" t="inlineStr"/>
      <c r="L884" t="inlineStr"/>
      <c r="M884" t="inlineStr">
        <is>
          <t>По адресу есть, но площадь другая</t>
        </is>
      </c>
      <c r="N884" t="inlineStr"/>
      <c r="O884" t="inlineStr"/>
      <c r="P884" t="inlineStr"/>
      <c r="Q884">
        <f>HYPERLINK("https://knru.ru/catalog/ul-srednerogatskaya-k-1-1-1081043822/","ссылка")</f>
        <v/>
      </c>
      <c r="R884" t="inlineStr"/>
      <c r="S884" t="inlineStr"/>
    </row>
    <row r="885">
      <c r="A885" t="inlineStr">
        <is>
          <t>Московский</t>
        </is>
      </c>
      <c r="B885" t="inlineStr">
        <is>
          <t>Среднерогатская ул, 11</t>
        </is>
      </c>
      <c r="C885" t="inlineStr">
        <is>
          <t>sale</t>
        </is>
      </c>
      <c r="D885" t="inlineStr">
        <is>
          <t>Да</t>
        </is>
      </c>
      <c r="E885" t="inlineStr"/>
      <c r="F885" t="inlineStr"/>
      <c r="G885" t="inlineStr">
        <is>
          <t>72</t>
        </is>
      </c>
      <c r="H885" t="inlineStr"/>
      <c r="I885" t="inlineStr"/>
      <c r="J885" t="inlineStr">
        <is>
          <t>34 344 801</t>
        </is>
      </c>
      <c r="K885" t="inlineStr"/>
      <c r="L885" t="inlineStr"/>
      <c r="M885" t="inlineStr">
        <is>
          <t>Совпало</t>
        </is>
      </c>
      <c r="N885" t="inlineStr"/>
      <c r="O885" t="inlineStr"/>
      <c r="P885" t="inlineStr"/>
      <c r="Q885">
        <f>HYPERLINK("https://knru.ru/catalog/ul-srednerogatskaya-k-1-1-561419/","ссылка")</f>
        <v/>
      </c>
      <c r="R885" t="inlineStr"/>
      <c r="S885" t="inlineStr"/>
    </row>
    <row r="886">
      <c r="A886" t="inlineStr">
        <is>
          <t>Московский</t>
        </is>
      </c>
      <c r="B886" t="inlineStr">
        <is>
          <t>Среднерогатская ул, 11к2 стр 1</t>
        </is>
      </c>
      <c r="C886" t="inlineStr">
        <is>
          <t>sale</t>
        </is>
      </c>
      <c r="D886" t="inlineStr"/>
      <c r="E886" t="inlineStr">
        <is>
          <t>Да</t>
        </is>
      </c>
      <c r="F886" t="inlineStr"/>
      <c r="G886" t="inlineStr"/>
      <c r="H886" t="inlineStr">
        <is>
          <t>475.7</t>
        </is>
      </c>
      <c r="I886" t="inlineStr"/>
      <c r="J886" t="inlineStr"/>
      <c r="K886" t="inlineStr">
        <is>
          <t>232 000 000</t>
        </is>
      </c>
      <c r="L886" t="inlineStr"/>
      <c r="M886" t="inlineStr"/>
      <c r="N886" t="inlineStr">
        <is>
          <t>По адресу есть, но площадь другая</t>
        </is>
      </c>
      <c r="O886" t="inlineStr"/>
      <c r="P886" t="inlineStr"/>
      <c r="Q886" t="inlineStr"/>
      <c r="R886">
        <f>HYPERLINK("https://nordwestinvest.ru/real-estates/pomeshhenie-v-zk-akvilon-leaves","ссылка")</f>
        <v/>
      </c>
      <c r="S886" t="inlineStr"/>
    </row>
    <row r="887">
      <c r="A887" t="inlineStr">
        <is>
          <t>Московский</t>
        </is>
      </c>
      <c r="B887" t="inlineStr">
        <is>
          <t>Типанова ул., д. 19/А</t>
        </is>
      </c>
      <c r="C887" t="inlineStr">
        <is>
          <t>sale</t>
        </is>
      </c>
      <c r="D887" t="inlineStr">
        <is>
          <t>Да</t>
        </is>
      </c>
      <c r="E887" t="inlineStr"/>
      <c r="F887" t="inlineStr"/>
      <c r="G887" t="inlineStr">
        <is>
          <t>81.4</t>
        </is>
      </c>
      <c r="H887" t="inlineStr"/>
      <c r="I887" t="inlineStr"/>
      <c r="J887" t="inlineStr">
        <is>
          <t>23 500 000</t>
        </is>
      </c>
      <c r="K887" t="inlineStr"/>
      <c r="L887" t="inlineStr"/>
      <c r="M887" t="inlineStr">
        <is>
          <t>Нет у нас</t>
        </is>
      </c>
      <c r="N887" t="inlineStr"/>
      <c r="O887" t="inlineStr"/>
      <c r="P887" t="inlineStr"/>
      <c r="Q887">
        <f>HYPERLINK("https://knru.ru/catalog/tipanova-ul-d-19-a-911491797/","ссылка")</f>
        <v/>
      </c>
      <c r="R887" t="inlineStr"/>
      <c r="S887" t="inlineStr"/>
    </row>
    <row r="888">
      <c r="A888" t="inlineStr">
        <is>
          <t>Московский</t>
        </is>
      </c>
      <c r="B888" t="inlineStr">
        <is>
          <t>Типанова ул., д. 19/А</t>
        </is>
      </c>
      <c r="C888" t="inlineStr">
        <is>
          <t>sale</t>
        </is>
      </c>
      <c r="D888" t="inlineStr">
        <is>
          <t>Да</t>
        </is>
      </c>
      <c r="E888" t="inlineStr"/>
      <c r="F888" t="inlineStr"/>
      <c r="G888" t="inlineStr">
        <is>
          <t>109.3</t>
        </is>
      </c>
      <c r="H888" t="inlineStr"/>
      <c r="I888" t="inlineStr"/>
      <c r="J888" t="inlineStr">
        <is>
          <t>31 000 000</t>
        </is>
      </c>
      <c r="K888" t="inlineStr"/>
      <c r="L888" t="inlineStr"/>
      <c r="M888" t="inlineStr">
        <is>
          <t>Нет у нас</t>
        </is>
      </c>
      <c r="N888" t="inlineStr"/>
      <c r="O888" t="inlineStr"/>
      <c r="P888" t="inlineStr"/>
      <c r="Q888">
        <f>HYPERLINK("https://knru.ru/catalog/tipanova-ul-d-19-a/","ссылка")</f>
        <v/>
      </c>
      <c r="R888" t="inlineStr"/>
      <c r="S888" t="inlineStr"/>
    </row>
    <row r="889">
      <c r="A889" t="inlineStr">
        <is>
          <t>Московский</t>
        </is>
      </c>
      <c r="B889" t="inlineStr">
        <is>
          <t>Трамвайный пр-кт, 32 литА</t>
        </is>
      </c>
      <c r="C889" t="inlineStr">
        <is>
          <t>sale</t>
        </is>
      </c>
      <c r="D889" t="inlineStr">
        <is>
          <t>Да</t>
        </is>
      </c>
      <c r="E889" t="inlineStr"/>
      <c r="F889" t="inlineStr"/>
      <c r="G889" t="inlineStr">
        <is>
          <t>20817</t>
        </is>
      </c>
      <c r="H889" t="inlineStr"/>
      <c r="I889" t="inlineStr"/>
      <c r="J889" t="inlineStr">
        <is>
          <t>745 779 474</t>
        </is>
      </c>
      <c r="K889" t="inlineStr"/>
      <c r="L889" t="inlineStr"/>
      <c r="M889" t="inlineStr">
        <is>
          <t>Нет у нас</t>
        </is>
      </c>
      <c r="N889" t="inlineStr"/>
      <c r="O889" t="inlineStr"/>
      <c r="P889" t="inlineStr"/>
      <c r="Q889">
        <f>HYPERLINK("https://knru.ru/catalog/tramvajnyj-pr-kt-32-lita/","ссылка")</f>
        <v/>
      </c>
      <c r="R889" t="inlineStr"/>
      <c r="S889" t="inlineStr"/>
    </row>
    <row r="890">
      <c r="A890" t="inlineStr">
        <is>
          <t>Московский</t>
        </is>
      </c>
      <c r="B890" t="inlineStr">
        <is>
          <t>ул Среднерогатская, к 2.1</t>
        </is>
      </c>
      <c r="C890" t="inlineStr">
        <is>
          <t>sale</t>
        </is>
      </c>
      <c r="D890" t="inlineStr">
        <is>
          <t>Да</t>
        </is>
      </c>
      <c r="E890" t="inlineStr"/>
      <c r="F890" t="inlineStr"/>
      <c r="G890" t="inlineStr">
        <is>
          <t>145.8</t>
        </is>
      </c>
      <c r="H890" t="inlineStr"/>
      <c r="I890" t="inlineStr"/>
      <c r="J890" t="inlineStr">
        <is>
          <t>70 382 092</t>
        </is>
      </c>
      <c r="K890" t="inlineStr"/>
      <c r="L890" t="inlineStr"/>
      <c r="M890" t="inlineStr">
        <is>
          <t>Нет у нас</t>
        </is>
      </c>
      <c r="N890" t="inlineStr"/>
      <c r="O890" t="inlineStr"/>
      <c r="P890" t="inlineStr"/>
      <c r="Q890">
        <f>HYPERLINK("https://knru.ru/catalog/ul-srednerogatskaya-k-1-1-1320239739/","ссылка")</f>
        <v/>
      </c>
      <c r="R890" t="inlineStr"/>
      <c r="S890" t="inlineStr"/>
    </row>
    <row r="891">
      <c r="A891" t="inlineStr">
        <is>
          <t>Московский</t>
        </is>
      </c>
      <c r="B891" t="inlineStr">
        <is>
          <t>ул Среднерогатская, к 2.1</t>
        </is>
      </c>
      <c r="C891" t="inlineStr">
        <is>
          <t>sale</t>
        </is>
      </c>
      <c r="D891" t="inlineStr">
        <is>
          <t>Да</t>
        </is>
      </c>
      <c r="E891" t="inlineStr"/>
      <c r="F891" t="inlineStr"/>
      <c r="G891" t="inlineStr">
        <is>
          <t>119.1</t>
        </is>
      </c>
      <c r="H891" t="inlineStr"/>
      <c r="I891" t="inlineStr"/>
      <c r="J891" t="inlineStr">
        <is>
          <t>57 776 961</t>
        </is>
      </c>
      <c r="K891" t="inlineStr"/>
      <c r="L891" t="inlineStr"/>
      <c r="M891" t="inlineStr">
        <is>
          <t>Нет у нас</t>
        </is>
      </c>
      <c r="N891" t="inlineStr"/>
      <c r="O891" t="inlineStr"/>
      <c r="P891" t="inlineStr"/>
      <c r="Q891">
        <f>HYPERLINK("https://knru.ru/catalog/ul-srednerogatskaya-k-1-1-2089164925/","ссылка")</f>
        <v/>
      </c>
      <c r="R891" t="inlineStr"/>
      <c r="S891" t="inlineStr"/>
    </row>
    <row r="892">
      <c r="A892" t="inlineStr">
        <is>
          <t>Московский</t>
        </is>
      </c>
      <c r="B892" t="inlineStr">
        <is>
          <t>ул Среднерогатская, к 2.1</t>
        </is>
      </c>
      <c r="C892" t="inlineStr">
        <is>
          <t>sale</t>
        </is>
      </c>
      <c r="D892" t="inlineStr">
        <is>
          <t>Да</t>
        </is>
      </c>
      <c r="E892" t="inlineStr"/>
      <c r="F892" t="inlineStr"/>
      <c r="G892" t="inlineStr">
        <is>
          <t>116</t>
        </is>
      </c>
      <c r="H892" t="inlineStr"/>
      <c r="I892" t="inlineStr"/>
      <c r="J892" t="inlineStr">
        <is>
          <t>55 742 822</t>
        </is>
      </c>
      <c r="K892" t="inlineStr"/>
      <c r="L892" t="inlineStr"/>
      <c r="M892" t="inlineStr">
        <is>
          <t>Нет у нас</t>
        </is>
      </c>
      <c r="N892" t="inlineStr"/>
      <c r="O892" t="inlineStr"/>
      <c r="P892" t="inlineStr"/>
      <c r="Q892">
        <f>HYPERLINK("https://knru.ru/catalog/ul-srednerogatskaya-k-1-1-1143618887/","ссылка")</f>
        <v/>
      </c>
      <c r="R892" t="inlineStr"/>
      <c r="S892" t="inlineStr"/>
    </row>
    <row r="893">
      <c r="A893" t="inlineStr">
        <is>
          <t>Московский</t>
        </is>
      </c>
      <c r="B893" t="inlineStr">
        <is>
          <t>ул Среднерогатская, к 2.1</t>
        </is>
      </c>
      <c r="C893" t="inlineStr">
        <is>
          <t>sale</t>
        </is>
      </c>
      <c r="D893" t="inlineStr">
        <is>
          <t>Да</t>
        </is>
      </c>
      <c r="E893" t="inlineStr"/>
      <c r="F893" t="inlineStr"/>
      <c r="G893" t="inlineStr">
        <is>
          <t>86.3</t>
        </is>
      </c>
      <c r="H893" t="inlineStr"/>
      <c r="I893" t="inlineStr"/>
      <c r="J893" t="inlineStr">
        <is>
          <t>41 740 036</t>
        </is>
      </c>
      <c r="K893" t="inlineStr"/>
      <c r="L893" t="inlineStr"/>
      <c r="M893" t="inlineStr">
        <is>
          <t>Нет у нас</t>
        </is>
      </c>
      <c r="N893" t="inlineStr"/>
      <c r="O893" t="inlineStr"/>
      <c r="P893" t="inlineStr"/>
      <c r="Q893">
        <f>HYPERLINK("https://knru.ru/catalog/ul-srednerogatskaya-k-1-1-1239691953/","ссылка")</f>
        <v/>
      </c>
      <c r="R893" t="inlineStr"/>
      <c r="S893" t="inlineStr"/>
    </row>
    <row r="894">
      <c r="A894" t="inlineStr">
        <is>
          <t>Московский</t>
        </is>
      </c>
      <c r="B894" t="inlineStr">
        <is>
          <t>Юрия Гагарина пр-кт, 1</t>
        </is>
      </c>
      <c r="C894" t="inlineStr">
        <is>
          <t>sale</t>
        </is>
      </c>
      <c r="D894" t="inlineStr">
        <is>
          <t>Да</t>
        </is>
      </c>
      <c r="E894" t="inlineStr"/>
      <c r="F894" t="inlineStr"/>
      <c r="G894" t="inlineStr">
        <is>
          <t>261.1</t>
        </is>
      </c>
      <c r="H894" t="inlineStr"/>
      <c r="I894" t="inlineStr"/>
      <c r="J894" t="inlineStr">
        <is>
          <t>33 000 000</t>
        </is>
      </c>
      <c r="K894" t="inlineStr"/>
      <c r="L894" t="inlineStr"/>
      <c r="M894" t="inlineStr">
        <is>
          <t>По адресу есть, но площадь другая</t>
        </is>
      </c>
      <c r="N894" t="inlineStr"/>
      <c r="O894" t="inlineStr"/>
      <c r="P894" t="inlineStr"/>
      <c r="Q894">
        <f>HYPERLINK("https://knru.ru/catalog/yuriya-gagarina-pr-kt-1/","ссылка")</f>
        <v/>
      </c>
      <c r="R894" t="inlineStr"/>
      <c r="S894" t="inlineStr"/>
    </row>
    <row r="895">
      <c r="A895" t="inlineStr">
        <is>
          <t>Мурино</t>
        </is>
      </c>
      <c r="B895" t="inlineStr">
        <is>
          <t>Менделеева б-р, 11к3</t>
        </is>
      </c>
      <c r="C895" t="inlineStr">
        <is>
          <t>sale</t>
        </is>
      </c>
      <c r="D895" t="inlineStr">
        <is>
          <t>Да</t>
        </is>
      </c>
      <c r="E895" t="inlineStr"/>
      <c r="F895" t="inlineStr"/>
      <c r="G895" t="inlineStr">
        <is>
          <t>500</t>
        </is>
      </c>
      <c r="H895" t="inlineStr"/>
      <c r="I895" t="inlineStr"/>
      <c r="J895" t="inlineStr">
        <is>
          <t>17 900 000</t>
        </is>
      </c>
      <c r="K895" t="inlineStr"/>
      <c r="L895" t="inlineStr"/>
      <c r="M895" t="inlineStr">
        <is>
          <t>Корпус/строение не совпало</t>
        </is>
      </c>
      <c r="N895" t="inlineStr"/>
      <c r="O895" t="inlineStr"/>
      <c r="P895" t="inlineStr"/>
      <c r="Q895">
        <f>HYPERLINK("https://knru.ru/catalog/bulvar-mendeleeva-d-11-k-3/","ссылка")</f>
        <v/>
      </c>
      <c r="R895" t="inlineStr"/>
      <c r="S895" t="inlineStr"/>
    </row>
    <row r="896">
      <c r="A896" t="inlineStr">
        <is>
          <t>Нарвский округ</t>
        </is>
      </c>
      <c r="B896" t="inlineStr">
        <is>
          <t>Ивана Черных ул, 27</t>
        </is>
      </c>
      <c r="C896" t="inlineStr">
        <is>
          <t>sale</t>
        </is>
      </c>
      <c r="D896" t="inlineStr"/>
      <c r="E896" t="inlineStr">
        <is>
          <t>Да</t>
        </is>
      </c>
      <c r="F896" t="inlineStr"/>
      <c r="G896" t="inlineStr"/>
      <c r="H896" t="inlineStr">
        <is>
          <t>1000</t>
        </is>
      </c>
      <c r="I896" t="inlineStr"/>
      <c r="J896" t="inlineStr"/>
      <c r="K896" t="inlineStr">
        <is>
          <t>75 000 000</t>
        </is>
      </c>
      <c r="L896" t="inlineStr"/>
      <c r="M896" t="inlineStr"/>
      <c r="N896" t="inlineStr">
        <is>
          <t>Нет у нас</t>
        </is>
      </c>
      <c r="O896" t="inlineStr"/>
      <c r="P896" t="inlineStr"/>
      <c r="Q896" t="inlineStr"/>
      <c r="R896">
        <f>HYPERLINK("https://nordwestinvest.ru/real-estates/prodaza-osz-1000m2-na-ucastke-11-sotok","ссылка")</f>
        <v/>
      </c>
      <c r="S896" t="inlineStr"/>
    </row>
    <row r="897">
      <c r="A897" t="inlineStr">
        <is>
          <t>Нарвский округ</t>
        </is>
      </c>
      <c r="B897" t="inlineStr">
        <is>
          <t>Швецова ул, 30</t>
        </is>
      </c>
      <c r="C897" t="inlineStr">
        <is>
          <t>sale</t>
        </is>
      </c>
      <c r="D897" t="inlineStr">
        <is>
          <t>Да</t>
        </is>
      </c>
      <c r="E897" t="inlineStr"/>
      <c r="F897" t="inlineStr"/>
      <c r="G897" t="inlineStr">
        <is>
          <t>893</t>
        </is>
      </c>
      <c r="H897" t="inlineStr"/>
      <c r="I897" t="inlineStr"/>
      <c r="J897" t="inlineStr">
        <is>
          <t>77 000 000</t>
        </is>
      </c>
      <c r="K897" t="inlineStr"/>
      <c r="L897" t="inlineStr"/>
      <c r="M897" t="inlineStr">
        <is>
          <t>Нет у нас</t>
        </is>
      </c>
      <c r="N897" t="inlineStr"/>
      <c r="O897" t="inlineStr"/>
      <c r="P897" t="inlineStr"/>
      <c r="Q897">
        <f>HYPERLINK("https://knru.ru/catalog/shvetsova-ul-30/","ссылка")</f>
        <v/>
      </c>
      <c r="R897" t="inlineStr"/>
      <c r="S897" t="inlineStr"/>
    </row>
    <row r="898">
      <c r="A898" t="inlineStr">
        <is>
          <t>Не определен</t>
        </is>
      </c>
      <c r="B898" t="inlineStr">
        <is>
          <t>13-я В.О. линия, 78 А</t>
        </is>
      </c>
      <c r="C898" t="inlineStr">
        <is>
          <t>sale</t>
        </is>
      </c>
      <c r="D898" t="inlineStr"/>
      <c r="E898" t="inlineStr">
        <is>
          <t>Да</t>
        </is>
      </c>
      <c r="F898" t="inlineStr"/>
      <c r="G898" t="inlineStr"/>
      <c r="H898" t="inlineStr">
        <is>
          <t>560</t>
        </is>
      </c>
      <c r="I898" t="inlineStr"/>
      <c r="J898" t="inlineStr"/>
      <c r="K898" t="inlineStr">
        <is>
          <t>35 000 000</t>
        </is>
      </c>
      <c r="L898" t="inlineStr"/>
      <c r="M898" t="inlineStr"/>
      <c r="N898" t="inlineStr">
        <is>
          <t>Нет у нас</t>
        </is>
      </c>
      <c r="O898" t="inlineStr"/>
      <c r="P898" t="inlineStr"/>
      <c r="Q898" t="inlineStr"/>
      <c r="R898">
        <f>HYPERLINK("https://nordwestinvest.ru/real-estates/prodaza-proizvodstvennyi-cex-ppa","ссылка")</f>
        <v/>
      </c>
      <c r="S898" t="inlineStr"/>
    </row>
    <row r="899">
      <c r="A899" t="inlineStr">
        <is>
          <t>Не определен</t>
        </is>
      </c>
      <c r="B899" t="inlineStr">
        <is>
          <t>Авиаконструкторов пр-кт, 38к1 А</t>
        </is>
      </c>
      <c r="C899" t="inlineStr">
        <is>
          <t>sale</t>
        </is>
      </c>
      <c r="D899" t="inlineStr"/>
      <c r="E899" t="inlineStr">
        <is>
          <t>Да</t>
        </is>
      </c>
      <c r="F899" t="inlineStr"/>
      <c r="G899" t="inlineStr"/>
      <c r="H899" t="inlineStr">
        <is>
          <t>153</t>
        </is>
      </c>
      <c r="I899" t="inlineStr"/>
      <c r="J899" t="inlineStr"/>
      <c r="K899" t="inlineStr">
        <is>
          <t>43 000 000</t>
        </is>
      </c>
      <c r="L899" t="inlineStr"/>
      <c r="M899" t="inlineStr"/>
      <c r="N899" t="inlineStr">
        <is>
          <t>По адресу есть, но площадь другая</t>
        </is>
      </c>
      <c r="O899" t="inlineStr"/>
      <c r="P899" t="inlineStr"/>
      <c r="Q899" t="inlineStr"/>
      <c r="R899">
        <f>HYPERLINK("https://nordwestinvest.ru/real-estates/prodaza-pomeshheniia-153-m2-s-arendatorami","ссылка")</f>
        <v/>
      </c>
      <c r="S899" t="inlineStr"/>
    </row>
    <row r="900">
      <c r="A900" t="inlineStr">
        <is>
          <t>Не определен</t>
        </is>
      </c>
      <c r="B900" t="inlineStr">
        <is>
          <t>Академика Константинова ул, 8к2</t>
        </is>
      </c>
      <c r="C900" t="inlineStr">
        <is>
          <t>sale</t>
        </is>
      </c>
      <c r="D900" t="inlineStr"/>
      <c r="E900" t="inlineStr">
        <is>
          <t>Да</t>
        </is>
      </c>
      <c r="F900" t="inlineStr"/>
      <c r="G900" t="inlineStr"/>
      <c r="H900" t="inlineStr">
        <is>
          <t>101.2</t>
        </is>
      </c>
      <c r="I900" t="inlineStr"/>
      <c r="J900" t="inlineStr"/>
      <c r="K900" t="inlineStr">
        <is>
          <t>26 315 000</t>
        </is>
      </c>
      <c r="L900" t="inlineStr"/>
      <c r="M900" t="inlineStr"/>
      <c r="N900" t="inlineStr">
        <is>
          <t>Нет у нас</t>
        </is>
      </c>
      <c r="O900" t="inlineStr"/>
      <c r="P900" t="inlineStr"/>
      <c r="Q900" t="inlineStr"/>
      <c r="R900">
        <f>HYPERLINK("https://nordwestinvest.ru/real-estates/pomeshhenie-v-zk-biznes-klassa","ссылка")</f>
        <v/>
      </c>
      <c r="S900" t="inlineStr"/>
    </row>
    <row r="901">
      <c r="A901" t="inlineStr">
        <is>
          <t>Не определен</t>
        </is>
      </c>
      <c r="B901" t="inlineStr">
        <is>
          <t>Английский пр-кт, 20 А</t>
        </is>
      </c>
      <c r="C901" t="inlineStr">
        <is>
          <t>sale</t>
        </is>
      </c>
      <c r="D901" t="inlineStr"/>
      <c r="E901" t="inlineStr">
        <is>
          <t>Да</t>
        </is>
      </c>
      <c r="F901" t="inlineStr"/>
      <c r="G901" t="inlineStr"/>
      <c r="H901" t="inlineStr">
        <is>
          <t>127</t>
        </is>
      </c>
      <c r="I901" t="inlineStr"/>
      <c r="J901" t="inlineStr"/>
      <c r="K901" t="inlineStr">
        <is>
          <t>18 000 000</t>
        </is>
      </c>
      <c r="L901" t="inlineStr"/>
      <c r="M901" t="inlineStr"/>
      <c r="N901" t="inlineStr">
        <is>
          <t>По адресу есть, но площадь другая</t>
        </is>
      </c>
      <c r="O901" t="inlineStr"/>
      <c r="P901" t="inlineStr"/>
      <c r="Q901" t="inlineStr"/>
      <c r="R901">
        <f>HYPERLINK("https://nordwestinvest.ru/real-estates/skladskoi-kompleks-skladno","ссылка")</f>
        <v/>
      </c>
      <c r="S901" t="inlineStr"/>
    </row>
    <row r="902">
      <c r="A902" t="inlineStr">
        <is>
          <t>Не определен</t>
        </is>
      </c>
      <c r="B902" t="inlineStr">
        <is>
          <t>Английский пр-кт, 26 А</t>
        </is>
      </c>
      <c r="C902" t="inlineStr">
        <is>
          <t>sale</t>
        </is>
      </c>
      <c r="D902" t="inlineStr"/>
      <c r="E902" t="inlineStr">
        <is>
          <t>Да</t>
        </is>
      </c>
      <c r="F902" t="inlineStr"/>
      <c r="G902" t="inlineStr"/>
      <c r="H902" t="inlineStr">
        <is>
          <t>80</t>
        </is>
      </c>
      <c r="I902" t="inlineStr"/>
      <c r="J902" t="inlineStr"/>
      <c r="K902" t="inlineStr">
        <is>
          <t>14 000 000</t>
        </is>
      </c>
      <c r="L902" t="inlineStr"/>
      <c r="M902" t="inlineStr"/>
      <c r="N902" t="inlineStr">
        <is>
          <t>По адресу есть, но площадь другая</t>
        </is>
      </c>
      <c r="O902" t="inlineStr"/>
      <c r="P902" t="inlineStr"/>
      <c r="Q902" t="inlineStr"/>
      <c r="R902">
        <f>HYPERLINK("https://nordwestinvest.ru/real-estates/pomeshhenie-s-wildberries-80-m2","ссылка")</f>
        <v/>
      </c>
      <c r="S902" t="inlineStr"/>
    </row>
    <row r="903">
      <c r="A903" t="inlineStr">
        <is>
          <t>Не определен</t>
        </is>
      </c>
      <c r="B903" t="inlineStr">
        <is>
          <t>Белоостров п, Новое ш, 45 К</t>
        </is>
      </c>
      <c r="C903" t="inlineStr">
        <is>
          <t>sale</t>
        </is>
      </c>
      <c r="D903" t="inlineStr"/>
      <c r="E903" t="inlineStr">
        <is>
          <t>Да</t>
        </is>
      </c>
      <c r="F903" t="inlineStr"/>
      <c r="G903" t="inlineStr"/>
      <c r="H903" t="inlineStr">
        <is>
          <t>1850</t>
        </is>
      </c>
      <c r="I903" t="inlineStr"/>
      <c r="J903" t="inlineStr"/>
      <c r="K903" t="inlineStr">
        <is>
          <t>95 000 000</t>
        </is>
      </c>
      <c r="L903" t="inlineStr"/>
      <c r="M903" t="inlineStr"/>
      <c r="N903" t="inlineStr">
        <is>
          <t>Нет у нас</t>
        </is>
      </c>
      <c r="O903" t="inlineStr"/>
      <c r="P903" t="inlineStr"/>
      <c r="Q903" t="inlineStr"/>
      <c r="R903">
        <f>HYPERLINK("https://nordwestinvest.ru/real-estates/prodaz-osz-830-m2-s-zu-14200-m2-2","ссылка")</f>
        <v/>
      </c>
      <c r="S903" t="inlineStr"/>
    </row>
    <row r="904">
      <c r="A904" t="inlineStr">
        <is>
          <t>Не определен</t>
        </is>
      </c>
      <c r="B904" t="inlineStr">
        <is>
          <t>Бестужевская ул, 7к4стр1</t>
        </is>
      </c>
      <c r="C904" t="inlineStr">
        <is>
          <t>sale</t>
        </is>
      </c>
      <c r="D904" t="inlineStr"/>
      <c r="E904" t="inlineStr">
        <is>
          <t>Да</t>
        </is>
      </c>
      <c r="F904" t="inlineStr"/>
      <c r="G904" t="inlineStr"/>
      <c r="H904" t="inlineStr">
        <is>
          <t>43.2</t>
        </is>
      </c>
      <c r="I904" t="inlineStr"/>
      <c r="J904" t="inlineStr"/>
      <c r="K904" t="inlineStr">
        <is>
          <t>9 900 000</t>
        </is>
      </c>
      <c r="L904" t="inlineStr"/>
      <c r="M904" t="inlineStr"/>
      <c r="N904" t="inlineStr">
        <is>
          <t>Нет у нас</t>
        </is>
      </c>
      <c r="O904" t="inlineStr"/>
      <c r="P904" t="inlineStr"/>
      <c r="Q904" t="inlineStr"/>
      <c r="R904">
        <f>HYPERLINK("https://nordwestinvest.ru/real-estates/pomeshhenie-vozle-skoly-s-arendatorom-432m2","ссылка")</f>
        <v/>
      </c>
      <c r="S904" t="inlineStr"/>
    </row>
    <row r="905">
      <c r="A905" t="inlineStr">
        <is>
          <t>Не определен</t>
        </is>
      </c>
      <c r="B905" t="inlineStr">
        <is>
          <t>Богатырский пр-кт, 7к9 А</t>
        </is>
      </c>
      <c r="C905" t="inlineStr">
        <is>
          <t>sale</t>
        </is>
      </c>
      <c r="D905" t="inlineStr"/>
      <c r="E905" t="inlineStr">
        <is>
          <t>Да</t>
        </is>
      </c>
      <c r="F905" t="inlineStr"/>
      <c r="G905" t="inlineStr"/>
      <c r="H905" t="inlineStr">
        <is>
          <t>1498</t>
        </is>
      </c>
      <c r="I905" t="inlineStr"/>
      <c r="J905" t="inlineStr"/>
      <c r="K905" t="inlineStr">
        <is>
          <t>380 000 000</t>
        </is>
      </c>
      <c r="L905" t="inlineStr"/>
      <c r="M905" t="inlineStr"/>
      <c r="N905" t="inlineStr">
        <is>
          <t>По адресу есть, но площадь другая</t>
        </is>
      </c>
      <c r="O905" t="inlineStr"/>
      <c r="P905" t="inlineStr"/>
      <c r="Q905" t="inlineStr"/>
      <c r="R905">
        <f>HYPERLINK("https://nordwestinvest.ru/real-estates/prodaza-osz","ссылка")</f>
        <v/>
      </c>
      <c r="S905" t="inlineStr"/>
    </row>
    <row r="906">
      <c r="A906" t="inlineStr">
        <is>
          <t>Не определен</t>
        </is>
      </c>
      <c r="B906" t="inlineStr">
        <is>
          <t>Большевиков пр-кт, 36к3 А</t>
        </is>
      </c>
      <c r="C906" t="inlineStr">
        <is>
          <t>sale</t>
        </is>
      </c>
      <c r="D906" t="inlineStr">
        <is>
          <t>Да</t>
        </is>
      </c>
      <c r="E906" t="inlineStr"/>
      <c r="F906" t="inlineStr"/>
      <c r="G906" t="inlineStr">
        <is>
          <t>743</t>
        </is>
      </c>
      <c r="H906" t="inlineStr"/>
      <c r="I906" t="inlineStr"/>
      <c r="J906" t="inlineStr">
        <is>
          <t>135 000 000</t>
        </is>
      </c>
      <c r="K906" t="inlineStr"/>
      <c r="L906" t="inlineStr"/>
      <c r="M906" t="inlineStr">
        <is>
          <t>Нет у нас</t>
        </is>
      </c>
      <c r="N906" t="inlineStr"/>
      <c r="O906" t="inlineStr"/>
      <c r="P906" t="inlineStr"/>
      <c r="Q906">
        <f>HYPERLINK("https://knru.ru/catalog/bolshevikov-pr-kt-36k3-a/","ссылка")</f>
        <v/>
      </c>
      <c r="R906" t="inlineStr"/>
      <c r="S906" t="inlineStr"/>
    </row>
    <row r="907">
      <c r="A907" t="inlineStr">
        <is>
          <t>Не определен</t>
        </is>
      </c>
      <c r="B907" t="inlineStr">
        <is>
          <t>Большеохтинский пр-кт, 12</t>
        </is>
      </c>
      <c r="C907" t="inlineStr">
        <is>
          <t>sale</t>
        </is>
      </c>
      <c r="D907" t="inlineStr"/>
      <c r="E907" t="inlineStr">
        <is>
          <t>Да</t>
        </is>
      </c>
      <c r="F907" t="inlineStr"/>
      <c r="G907" t="inlineStr"/>
      <c r="H907" t="inlineStr">
        <is>
          <t>756</t>
        </is>
      </c>
      <c r="I907" t="inlineStr"/>
      <c r="J907" t="inlineStr"/>
      <c r="K907" t="inlineStr">
        <is>
          <t>100 000 000</t>
        </is>
      </c>
      <c r="L907" t="inlineStr"/>
      <c r="M907" t="inlineStr"/>
      <c r="N907" t="inlineStr">
        <is>
          <t>По адресу есть, но площадь другая</t>
        </is>
      </c>
      <c r="O907" t="inlineStr"/>
      <c r="P907" t="inlineStr"/>
      <c r="Q907" t="inlineStr"/>
      <c r="R907">
        <f>HYPERLINK("https://nordwestinvest.ru/real-estates/pomeshhenie-s-wb-i-aptekoi","ссылка")</f>
        <v/>
      </c>
      <c r="S907" t="inlineStr"/>
    </row>
    <row r="908">
      <c r="A908" t="inlineStr">
        <is>
          <t>Не определен</t>
        </is>
      </c>
      <c r="B908" t="inlineStr">
        <is>
          <t>Большеохтинский пр-кт, 15к1 А</t>
        </is>
      </c>
      <c r="C908" t="inlineStr">
        <is>
          <t>sale</t>
        </is>
      </c>
      <c r="D908" t="inlineStr"/>
      <c r="E908" t="inlineStr">
        <is>
          <t>Да</t>
        </is>
      </c>
      <c r="F908" t="inlineStr"/>
      <c r="G908" t="inlineStr"/>
      <c r="H908" t="inlineStr">
        <is>
          <t>189.3</t>
        </is>
      </c>
      <c r="I908" t="inlineStr"/>
      <c r="J908" t="inlineStr"/>
      <c r="K908" t="inlineStr">
        <is>
          <t>36 000 000</t>
        </is>
      </c>
      <c r="L908" t="inlineStr"/>
      <c r="M908" t="inlineStr"/>
      <c r="N908" t="inlineStr">
        <is>
          <t>По адресу есть, но площадь другая</t>
        </is>
      </c>
      <c r="O908" t="inlineStr"/>
      <c r="P908" t="inlineStr"/>
      <c r="Q908" t="inlineStr"/>
      <c r="R908">
        <f>HYPERLINK("https://nordwestinvest.ru/real-estates/prodaza-psn-s-arendatorom-1893m2","ссылка")</f>
        <v/>
      </c>
      <c r="S908" t="inlineStr"/>
    </row>
    <row r="909">
      <c r="A909" t="inlineStr">
        <is>
          <t>Не определен</t>
        </is>
      </c>
      <c r="B909" t="inlineStr">
        <is>
          <t>Вадима Шефнера ул, 4</t>
        </is>
      </c>
      <c r="C909" t="inlineStr">
        <is>
          <t>sale</t>
        </is>
      </c>
      <c r="D909" t="inlineStr"/>
      <c r="E909" t="inlineStr">
        <is>
          <t>Да</t>
        </is>
      </c>
      <c r="F909" t="inlineStr"/>
      <c r="G909" t="inlineStr"/>
      <c r="H909" t="inlineStr">
        <is>
          <t>34806</t>
        </is>
      </c>
      <c r="I909" t="inlineStr"/>
      <c r="J909" t="inlineStr"/>
      <c r="K909" t="inlineStr">
        <is>
          <t>2 070 000 000</t>
        </is>
      </c>
      <c r="L909" t="inlineStr"/>
      <c r="M909" t="inlineStr"/>
      <c r="N909" t="inlineStr">
        <is>
          <t>Нет у нас</t>
        </is>
      </c>
      <c r="O909" t="inlineStr"/>
      <c r="P909" t="inlineStr"/>
      <c r="Q909" t="inlineStr"/>
      <c r="R909">
        <f>HYPERLINK("https://nordwestinvest.ru/real-estates/vasilevskogoostrova-kvartal-4","ссылка")</f>
        <v/>
      </c>
      <c r="S909" t="inlineStr"/>
    </row>
    <row r="910">
      <c r="A910" t="inlineStr">
        <is>
          <t>Не определен</t>
        </is>
      </c>
      <c r="B910" t="inlineStr">
        <is>
          <t>Ветеранов пр-кт, 168 А</t>
        </is>
      </c>
      <c r="C910" t="inlineStr">
        <is>
          <t>sale</t>
        </is>
      </c>
      <c r="D910" t="inlineStr"/>
      <c r="E910" t="inlineStr">
        <is>
          <t>Да</t>
        </is>
      </c>
      <c r="F910" t="inlineStr"/>
      <c r="G910" t="inlineStr"/>
      <c r="H910" t="inlineStr">
        <is>
          <t>577</t>
        </is>
      </c>
      <c r="I910" t="inlineStr"/>
      <c r="J910" t="inlineStr"/>
      <c r="K910" t="inlineStr">
        <is>
          <t>200 000 000</t>
        </is>
      </c>
      <c r="L910" t="inlineStr"/>
      <c r="M910" t="inlineStr"/>
      <c r="N910" t="inlineStr">
        <is>
          <t>Нет у нас</t>
        </is>
      </c>
      <c r="O910" t="inlineStr"/>
      <c r="P910" t="inlineStr"/>
      <c r="Q910" t="inlineStr"/>
      <c r="R910">
        <f>HYPERLINK("https://nordwestinvest.ru/real-estates/pomeshhenie-ploshhadiu-577-m2-s-arendatorami-2","ссылка")</f>
        <v/>
      </c>
      <c r="S910" t="inlineStr"/>
    </row>
    <row r="911">
      <c r="A911" t="inlineStr">
        <is>
          <t>Не определен</t>
        </is>
      </c>
      <c r="B911" t="inlineStr">
        <is>
          <t>Ветеранов пр-кт, 169к4стр1</t>
        </is>
      </c>
      <c r="C911" t="inlineStr">
        <is>
          <t>sale</t>
        </is>
      </c>
      <c r="D911" t="inlineStr"/>
      <c r="E911" t="inlineStr">
        <is>
          <t>Да</t>
        </is>
      </c>
      <c r="F911" t="inlineStr"/>
      <c r="G911" t="inlineStr"/>
      <c r="H911" t="inlineStr">
        <is>
          <t>160</t>
        </is>
      </c>
      <c r="I911" t="inlineStr"/>
      <c r="J911" t="inlineStr"/>
      <c r="K911" t="inlineStr">
        <is>
          <t>48 000 000</t>
        </is>
      </c>
      <c r="L911" t="inlineStr"/>
      <c r="M911" t="inlineStr"/>
      <c r="N911" t="inlineStr">
        <is>
          <t>Нет у нас</t>
        </is>
      </c>
      <c r="O911" t="inlineStr"/>
      <c r="P911" t="inlineStr"/>
      <c r="Q911" t="inlineStr"/>
      <c r="R911">
        <f>HYPERLINK("https://nordwestinvest.ru/real-estates/prodaza-ulybka-radugi-160-m2-v-stroiashhemsia-tc","ссылка")</f>
        <v/>
      </c>
      <c r="S911" t="inlineStr"/>
    </row>
    <row r="912">
      <c r="A912" t="inlineStr">
        <is>
          <t>Не определен</t>
        </is>
      </c>
      <c r="B912" t="inlineStr">
        <is>
          <t>Виз ул, 14</t>
        </is>
      </c>
      <c r="C912" t="inlineStr">
        <is>
          <t>sale</t>
        </is>
      </c>
      <c r="D912" t="inlineStr">
        <is>
          <t>Да</t>
        </is>
      </c>
      <c r="E912" t="inlineStr"/>
      <c r="F912" t="inlineStr"/>
      <c r="G912" t="inlineStr">
        <is>
          <t>20700</t>
        </is>
      </c>
      <c r="H912" t="inlineStr"/>
      <c r="I912" t="inlineStr"/>
      <c r="J912" t="inlineStr">
        <is>
          <t>255 000 000</t>
        </is>
      </c>
      <c r="K912" t="inlineStr"/>
      <c r="L912" t="inlineStr"/>
      <c r="M912" t="inlineStr">
        <is>
          <t>Нет у нас</t>
        </is>
      </c>
      <c r="N912" t="inlineStr"/>
      <c r="O912" t="inlineStr"/>
      <c r="P912" t="inlineStr"/>
      <c r="Q912">
        <f>HYPERLINK("https://knru.ru/catalog/viz-ul-14/","ссылка")</f>
        <v/>
      </c>
      <c r="R912" t="inlineStr"/>
      <c r="S912" t="inlineStr"/>
    </row>
    <row r="913">
      <c r="A913" t="inlineStr">
        <is>
          <t>Не определен</t>
        </is>
      </c>
      <c r="B913" t="inlineStr">
        <is>
          <t>Виллозское г.п.</t>
        </is>
      </c>
      <c r="C913" t="inlineStr">
        <is>
          <t>sale</t>
        </is>
      </c>
      <c r="D913" t="inlineStr">
        <is>
          <t>Да</t>
        </is>
      </c>
      <c r="E913" t="inlineStr"/>
      <c r="F913" t="inlineStr"/>
      <c r="G913" t="inlineStr">
        <is>
          <t>147.1</t>
        </is>
      </c>
      <c r="H913" t="inlineStr"/>
      <c r="I913" t="inlineStr"/>
      <c r="J913" t="inlineStr">
        <is>
          <t>35 180 337</t>
        </is>
      </c>
      <c r="K913" t="inlineStr"/>
      <c r="L913" t="inlineStr"/>
      <c r="M913" t="inlineStr">
        <is>
          <t>Нет у нас</t>
        </is>
      </c>
      <c r="N913" t="inlineStr"/>
      <c r="O913" t="inlineStr"/>
      <c r="P913" t="inlineStr"/>
      <c r="Q913">
        <f>HYPERLINK("https://knru.ru/catalog/villozskoe-g-p-1835988823/","ссылка")</f>
        <v/>
      </c>
      <c r="R913" t="inlineStr"/>
      <c r="S913" t="inlineStr"/>
    </row>
    <row r="914">
      <c r="A914" t="inlineStr">
        <is>
          <t>Не определен</t>
        </is>
      </c>
      <c r="B914" t="inlineStr">
        <is>
          <t>Виллозское г.п.</t>
        </is>
      </c>
      <c r="C914" t="inlineStr">
        <is>
          <t>sale</t>
        </is>
      </c>
      <c r="D914" t="inlineStr">
        <is>
          <t>Да</t>
        </is>
      </c>
      <c r="E914" t="inlineStr"/>
      <c r="F914" t="inlineStr"/>
      <c r="G914" t="inlineStr">
        <is>
          <t>105.7</t>
        </is>
      </c>
      <c r="H914" t="inlineStr"/>
      <c r="I914" t="inlineStr"/>
      <c r="J914" t="inlineStr">
        <is>
          <t>24 842 779</t>
        </is>
      </c>
      <c r="K914" t="inlineStr"/>
      <c r="L914" t="inlineStr"/>
      <c r="M914" t="inlineStr">
        <is>
          <t>Нет у нас</t>
        </is>
      </c>
      <c r="N914" t="inlineStr"/>
      <c r="O914" t="inlineStr"/>
      <c r="P914" t="inlineStr"/>
      <c r="Q914">
        <f>HYPERLINK("https://knru.ru/catalog/villozskoe-g-p-1880209685/","ссылка")</f>
        <v/>
      </c>
      <c r="R914" t="inlineStr"/>
      <c r="S914" t="inlineStr"/>
    </row>
    <row r="915">
      <c r="A915" t="inlineStr">
        <is>
          <t>Не определен</t>
        </is>
      </c>
      <c r="B915" t="inlineStr">
        <is>
          <t>Виллозское г.п.</t>
        </is>
      </c>
      <c r="C915" t="inlineStr">
        <is>
          <t>sale</t>
        </is>
      </c>
      <c r="D915" t="inlineStr">
        <is>
          <t>Да</t>
        </is>
      </c>
      <c r="E915" t="inlineStr"/>
      <c r="F915" t="inlineStr"/>
      <c r="G915" t="inlineStr">
        <is>
          <t>124.8</t>
        </is>
      </c>
      <c r="H915" t="inlineStr"/>
      <c r="I915" t="inlineStr"/>
      <c r="J915" t="inlineStr">
        <is>
          <t>27 273 424</t>
        </is>
      </c>
      <c r="K915" t="inlineStr"/>
      <c r="L915" t="inlineStr"/>
      <c r="M915" t="inlineStr">
        <is>
          <t>Нет у нас</t>
        </is>
      </c>
      <c r="N915" t="inlineStr"/>
      <c r="O915" t="inlineStr"/>
      <c r="P915" t="inlineStr"/>
      <c r="Q915">
        <f>HYPERLINK("https://knru.ru/catalog/villozskoe-g-p-1640340625/","ссылка")</f>
        <v/>
      </c>
      <c r="R915" t="inlineStr"/>
      <c r="S915" t="inlineStr"/>
    </row>
    <row r="916">
      <c r="A916" t="inlineStr">
        <is>
          <t>Не определен</t>
        </is>
      </c>
      <c r="B916" t="inlineStr">
        <is>
          <t>Виллозское г.п.</t>
        </is>
      </c>
      <c r="C916" t="inlineStr">
        <is>
          <t>sale</t>
        </is>
      </c>
      <c r="D916" t="inlineStr">
        <is>
          <t>Да</t>
        </is>
      </c>
      <c r="E916" t="inlineStr"/>
      <c r="F916" t="inlineStr"/>
      <c r="G916" t="inlineStr">
        <is>
          <t>166.7</t>
        </is>
      </c>
      <c r="H916" t="inlineStr"/>
      <c r="I916" t="inlineStr"/>
      <c r="J916" t="inlineStr">
        <is>
          <t>39 579 336</t>
        </is>
      </c>
      <c r="K916" t="inlineStr"/>
      <c r="L916" t="inlineStr"/>
      <c r="M916" t="inlineStr">
        <is>
          <t>Нет у нас</t>
        </is>
      </c>
      <c r="N916" t="inlineStr"/>
      <c r="O916" t="inlineStr"/>
      <c r="P916" t="inlineStr"/>
      <c r="Q916">
        <f>HYPERLINK("https://knru.ru/catalog/villozskoe-g-p-45926473/","ссылка")</f>
        <v/>
      </c>
      <c r="R916" t="inlineStr"/>
      <c r="S916" t="inlineStr"/>
    </row>
    <row r="917">
      <c r="A917" t="inlineStr">
        <is>
          <t>Не определен</t>
        </is>
      </c>
      <c r="B917" t="inlineStr">
        <is>
          <t>Виллозское г.п.</t>
        </is>
      </c>
      <c r="C917" t="inlineStr">
        <is>
          <t>sale</t>
        </is>
      </c>
      <c r="D917" t="inlineStr">
        <is>
          <t>Да</t>
        </is>
      </c>
      <c r="E917" t="inlineStr"/>
      <c r="F917" t="inlineStr"/>
      <c r="G917" t="inlineStr">
        <is>
          <t>139.6</t>
        </is>
      </c>
      <c r="H917" t="inlineStr"/>
      <c r="I917" t="inlineStr"/>
      <c r="J917" t="inlineStr">
        <is>
          <t>30 477 987</t>
        </is>
      </c>
      <c r="K917" t="inlineStr"/>
      <c r="L917" t="inlineStr"/>
      <c r="M917" t="inlineStr">
        <is>
          <t>Нет у нас</t>
        </is>
      </c>
      <c r="N917" t="inlineStr"/>
      <c r="O917" t="inlineStr"/>
      <c r="P917" t="inlineStr"/>
      <c r="Q917">
        <f>HYPERLINK("https://knru.ru/catalog/villozskoe-g-p-1528062831/","ссылка")</f>
        <v/>
      </c>
      <c r="R917" t="inlineStr"/>
      <c r="S917" t="inlineStr"/>
    </row>
    <row r="918">
      <c r="A918" t="inlineStr">
        <is>
          <t>Не определен</t>
        </is>
      </c>
      <c r="B918" t="inlineStr">
        <is>
          <t>Виллозское г.п.</t>
        </is>
      </c>
      <c r="C918" t="inlineStr">
        <is>
          <t>sale</t>
        </is>
      </c>
      <c r="D918" t="inlineStr">
        <is>
          <t>Да</t>
        </is>
      </c>
      <c r="E918" t="inlineStr"/>
      <c r="F918" t="inlineStr"/>
      <c r="G918" t="inlineStr">
        <is>
          <t>94.8</t>
        </is>
      </c>
      <c r="H918" t="inlineStr"/>
      <c r="I918" t="inlineStr"/>
      <c r="J918" t="inlineStr">
        <is>
          <t>23 770 338</t>
        </is>
      </c>
      <c r="K918" t="inlineStr"/>
      <c r="L918" t="inlineStr"/>
      <c r="M918" t="inlineStr">
        <is>
          <t>Нет у нас</t>
        </is>
      </c>
      <c r="N918" t="inlineStr"/>
      <c r="O918" t="inlineStr"/>
      <c r="P918" t="inlineStr"/>
      <c r="Q918">
        <f>HYPERLINK("https://knru.ru/catalog/villozskoe-g-p/","ссылка")</f>
        <v/>
      </c>
      <c r="R918" t="inlineStr"/>
      <c r="S918" t="inlineStr"/>
    </row>
    <row r="919">
      <c r="A919" t="inlineStr">
        <is>
          <t>Не определен</t>
        </is>
      </c>
      <c r="B919" t="inlineStr">
        <is>
          <t>Витебский пр-кт, 111</t>
        </is>
      </c>
      <c r="C919" t="inlineStr">
        <is>
          <t>sale</t>
        </is>
      </c>
      <c r="D919" t="inlineStr">
        <is>
          <t>Да</t>
        </is>
      </c>
      <c r="E919" t="inlineStr"/>
      <c r="F919" t="inlineStr"/>
      <c r="G919" t="inlineStr">
        <is>
          <t>7720</t>
        </is>
      </c>
      <c r="H919" t="inlineStr"/>
      <c r="I919" t="inlineStr"/>
      <c r="J919" t="inlineStr">
        <is>
          <t>280 000 000</t>
        </is>
      </c>
      <c r="K919" t="inlineStr"/>
      <c r="L919" t="inlineStr"/>
      <c r="M919" t="inlineStr">
        <is>
          <t>Нет у нас</t>
        </is>
      </c>
      <c r="N919" t="inlineStr"/>
      <c r="O919" t="inlineStr"/>
      <c r="P919" t="inlineStr"/>
      <c r="Q919">
        <f>HYPERLINK("https://knru.ru/catalog/vitebskij-pr-kt-111/","ссылка")</f>
        <v/>
      </c>
      <c r="R919" t="inlineStr"/>
      <c r="S919" t="inlineStr"/>
    </row>
    <row r="920">
      <c r="A920" t="inlineStr">
        <is>
          <t>Не определен</t>
        </is>
      </c>
      <c r="B920" t="inlineStr">
        <is>
          <t>Владимирская обл, Владимир г, Тракторная ул, 1</t>
        </is>
      </c>
      <c r="C920" t="inlineStr">
        <is>
          <t>sale</t>
        </is>
      </c>
      <c r="D920" t="inlineStr"/>
      <c r="E920" t="inlineStr">
        <is>
          <t>Да</t>
        </is>
      </c>
      <c r="F920" t="inlineStr"/>
      <c r="G920" t="inlineStr"/>
      <c r="H920" t="inlineStr">
        <is>
          <t>353566</t>
        </is>
      </c>
      <c r="I920" t="inlineStr"/>
      <c r="J920" t="inlineStr"/>
      <c r="K920" t="inlineStr">
        <is>
          <t>5 306 000 000</t>
        </is>
      </c>
      <c r="L920" t="inlineStr"/>
      <c r="M920" t="inlineStr"/>
      <c r="N920" t="inlineStr">
        <is>
          <t>Нет у нас</t>
        </is>
      </c>
      <c r="O920" t="inlineStr"/>
      <c r="P920" t="inlineStr"/>
      <c r="Q920" t="inlineStr"/>
      <c r="R920">
        <f>HYPERLINK("https://nordwestinvest.ru/real-estates/g-vladimir","ссылка")</f>
        <v/>
      </c>
      <c r="S920" t="inlineStr"/>
    </row>
    <row r="921">
      <c r="A921" t="inlineStr">
        <is>
          <t>Не определен</t>
        </is>
      </c>
      <c r="B921" t="inlineStr">
        <is>
          <t>Воейковское ш</t>
        </is>
      </c>
      <c r="C921" t="inlineStr">
        <is>
          <t>sale</t>
        </is>
      </c>
      <c r="D921" t="inlineStr">
        <is>
          <t>Да</t>
        </is>
      </c>
      <c r="E921" t="inlineStr"/>
      <c r="F921" t="inlineStr"/>
      <c r="G921" t="inlineStr">
        <is>
          <t>2000</t>
        </is>
      </c>
      <c r="H921" t="inlineStr"/>
      <c r="I921" t="inlineStr"/>
      <c r="J921" t="inlineStr">
        <is>
          <t>22 800 000</t>
        </is>
      </c>
      <c r="K921" t="inlineStr"/>
      <c r="L921" t="inlineStr"/>
      <c r="M921" t="inlineStr">
        <is>
          <t>Нет у нас</t>
        </is>
      </c>
      <c r="N921" t="inlineStr"/>
      <c r="O921" t="inlineStr"/>
      <c r="P921" t="inlineStr"/>
      <c r="Q921">
        <f>HYPERLINK("https://knru.ru/catalog/voeykovskoe-sh/","ссылка")</f>
        <v/>
      </c>
      <c r="R921" t="inlineStr"/>
      <c r="S921" t="inlineStr"/>
    </row>
    <row r="922">
      <c r="A922" t="inlineStr">
        <is>
          <t>Не определен</t>
        </is>
      </c>
      <c r="B922" t="inlineStr">
        <is>
          <t>Голландская ул, к 15</t>
        </is>
      </c>
      <c r="C922" t="inlineStr">
        <is>
          <t>sale</t>
        </is>
      </c>
      <c r="D922" t="inlineStr">
        <is>
          <t>Да</t>
        </is>
      </c>
      <c r="E922" t="inlineStr"/>
      <c r="F922" t="inlineStr"/>
      <c r="G922" t="inlineStr">
        <is>
          <t>401.3</t>
        </is>
      </c>
      <c r="H922" t="inlineStr"/>
      <c r="I922" t="inlineStr"/>
      <c r="J922" t="inlineStr">
        <is>
          <t>127 021 171</t>
        </is>
      </c>
      <c r="K922" t="inlineStr"/>
      <c r="L922" t="inlineStr"/>
      <c r="M922" t="inlineStr">
        <is>
          <t>Нет у нас</t>
        </is>
      </c>
      <c r="N922" t="inlineStr"/>
      <c r="O922" t="inlineStr"/>
      <c r="P922" t="inlineStr"/>
      <c r="Q922">
        <f>HYPERLINK("https://knru.ru/catalog/p-yanino-ul-gollandskaya-k-15/","ссылка")</f>
        <v/>
      </c>
      <c r="R922" t="inlineStr"/>
      <c r="S922" t="inlineStr"/>
    </row>
    <row r="923">
      <c r="A923" t="inlineStr">
        <is>
          <t>Не определен</t>
        </is>
      </c>
      <c r="B923" t="inlineStr">
        <is>
          <t>Голландская ул, к 8</t>
        </is>
      </c>
      <c r="C923" t="inlineStr">
        <is>
          <t>sale</t>
        </is>
      </c>
      <c r="D923" t="inlineStr">
        <is>
          <t>Да</t>
        </is>
      </c>
      <c r="E923" t="inlineStr"/>
      <c r="F923" t="inlineStr"/>
      <c r="G923" t="inlineStr">
        <is>
          <t>82.9</t>
        </is>
      </c>
      <c r="H923" t="inlineStr"/>
      <c r="I923" t="inlineStr"/>
      <c r="J923" t="inlineStr">
        <is>
          <t>14 485 676</t>
        </is>
      </c>
      <c r="K923" t="inlineStr"/>
      <c r="L923" t="inlineStr"/>
      <c r="M923" t="inlineStr">
        <is>
          <t>Нет у нас</t>
        </is>
      </c>
      <c r="N923" t="inlineStr"/>
      <c r="O923" t="inlineStr"/>
      <c r="P923" t="inlineStr"/>
      <c r="Q923">
        <f>HYPERLINK("https://knru.ru/catalog/p-yanino-ul-gollandskaya-k-8-560234/","ссылка")</f>
        <v/>
      </c>
      <c r="R923" t="inlineStr"/>
      <c r="S923" t="inlineStr"/>
    </row>
    <row r="924">
      <c r="A924" t="inlineStr">
        <is>
          <t>Не определен</t>
        </is>
      </c>
      <c r="B924" t="inlineStr">
        <is>
          <t>Голландская ул, к 8</t>
        </is>
      </c>
      <c r="C924" t="inlineStr">
        <is>
          <t>sale</t>
        </is>
      </c>
      <c r="D924" t="inlineStr">
        <is>
          <t>Да</t>
        </is>
      </c>
      <c r="E924" t="inlineStr"/>
      <c r="F924" t="inlineStr"/>
      <c r="G924" t="inlineStr">
        <is>
          <t>100.5</t>
        </is>
      </c>
      <c r="H924" t="inlineStr"/>
      <c r="I924" t="inlineStr"/>
      <c r="J924" t="inlineStr">
        <is>
          <t>15 710 380</t>
        </is>
      </c>
      <c r="K924" t="inlineStr"/>
      <c r="L924" t="inlineStr"/>
      <c r="M924" t="inlineStr">
        <is>
          <t>Нет у нас</t>
        </is>
      </c>
      <c r="N924" t="inlineStr"/>
      <c r="O924" t="inlineStr"/>
      <c r="P924" t="inlineStr"/>
      <c r="Q924">
        <f>HYPERLINK("https://knru.ru/catalog/p-yanino-ul-gollandskaya-k-8/","ссылка")</f>
        <v/>
      </c>
      <c r="R924" t="inlineStr"/>
      <c r="S924" t="inlineStr"/>
    </row>
    <row r="925">
      <c r="A925" t="inlineStr">
        <is>
          <t>Не определен</t>
        </is>
      </c>
      <c r="B925" t="inlineStr">
        <is>
          <t>Горелово тер., Коммунаров ул</t>
        </is>
      </c>
      <c r="C925" t="inlineStr">
        <is>
          <t>sale</t>
        </is>
      </c>
      <c r="D925" t="inlineStr">
        <is>
          <t>Да</t>
        </is>
      </c>
      <c r="E925" t="inlineStr"/>
      <c r="F925" t="inlineStr"/>
      <c r="G925" t="inlineStr">
        <is>
          <t>2275</t>
        </is>
      </c>
      <c r="H925" t="inlineStr"/>
      <c r="I925" t="inlineStr"/>
      <c r="J925" t="inlineStr">
        <is>
          <t>18 000 000</t>
        </is>
      </c>
      <c r="K925" t="inlineStr"/>
      <c r="L925" t="inlineStr"/>
      <c r="M925" t="inlineStr">
        <is>
          <t>Нет у нас</t>
        </is>
      </c>
      <c r="N925" t="inlineStr"/>
      <c r="O925" t="inlineStr"/>
      <c r="P925" t="inlineStr"/>
      <c r="Q925">
        <f>HYPERLINK("https://knru.ru/catalog/gorelovo-ter-kommunarov-ul/","ссылка")</f>
        <v/>
      </c>
      <c r="R925" t="inlineStr"/>
      <c r="S925" t="inlineStr"/>
    </row>
    <row r="926">
      <c r="A926" t="inlineStr">
        <is>
          <t>Не определен</t>
        </is>
      </c>
      <c r="B926" t="inlineStr">
        <is>
          <t>Дальневосточный пр-кт, 42ж</t>
        </is>
      </c>
      <c r="C926" t="inlineStr">
        <is>
          <t>sale</t>
        </is>
      </c>
      <c r="D926" t="inlineStr"/>
      <c r="E926" t="inlineStr">
        <is>
          <t>Да</t>
        </is>
      </c>
      <c r="F926" t="inlineStr"/>
      <c r="G926" t="inlineStr"/>
      <c r="H926" t="inlineStr">
        <is>
          <t>166.3</t>
        </is>
      </c>
      <c r="I926" t="inlineStr"/>
      <c r="J926" t="inlineStr"/>
      <c r="K926" t="inlineStr">
        <is>
          <t>40 000 000</t>
        </is>
      </c>
      <c r="L926" t="inlineStr"/>
      <c r="M926" t="inlineStr"/>
      <c r="N926" t="inlineStr">
        <is>
          <t>Совпало</t>
        </is>
      </c>
      <c r="O926" t="inlineStr"/>
      <c r="P926" t="inlineStr"/>
      <c r="Q926" t="inlineStr"/>
      <c r="R926">
        <f>HYPERLINK("https://nordwestinvest.ru/real-estates/gab-magnit-ozon-1663m2","ссылка")</f>
        <v/>
      </c>
      <c r="S926" t="inlineStr"/>
    </row>
    <row r="927">
      <c r="A927" t="inlineStr">
        <is>
          <t>Не определен</t>
        </is>
      </c>
      <c r="B927" t="inlineStr">
        <is>
          <t>Демьяна Бедного ул, 28к1 А</t>
        </is>
      </c>
      <c r="C927" t="inlineStr">
        <is>
          <t>sale</t>
        </is>
      </c>
      <c r="D927" t="inlineStr"/>
      <c r="E927" t="inlineStr">
        <is>
          <t>Да</t>
        </is>
      </c>
      <c r="F927" t="inlineStr"/>
      <c r="G927" t="inlineStr"/>
      <c r="H927" t="inlineStr">
        <is>
          <t>125.4</t>
        </is>
      </c>
      <c r="I927" t="inlineStr"/>
      <c r="J927" t="inlineStr"/>
      <c r="K927" t="inlineStr">
        <is>
          <t>36 000 000</t>
        </is>
      </c>
      <c r="L927" t="inlineStr"/>
      <c r="M927" t="inlineStr"/>
      <c r="N927" t="inlineStr">
        <is>
          <t>Нет у нас</t>
        </is>
      </c>
      <c r="O927" t="inlineStr"/>
      <c r="P927" t="inlineStr"/>
      <c r="Q927" t="inlineStr"/>
      <c r="R927">
        <f>HYPERLINK("https://nordwestinvest.ru/real-estates/prodaza-pomeshheniia-s-arendatorami-1254-m2","ссылка")</f>
        <v/>
      </c>
      <c r="S927" t="inlineStr"/>
    </row>
    <row r="928">
      <c r="A928" t="inlineStr">
        <is>
          <t>Не определен</t>
        </is>
      </c>
      <c r="B928" t="inlineStr">
        <is>
          <t>Дунайский пр-кт, 34/16 А</t>
        </is>
      </c>
      <c r="C928" t="inlineStr">
        <is>
          <t>sale</t>
        </is>
      </c>
      <c r="D928" t="inlineStr"/>
      <c r="E928" t="inlineStr">
        <is>
          <t>Да</t>
        </is>
      </c>
      <c r="F928" t="inlineStr"/>
      <c r="G928" t="inlineStr"/>
      <c r="H928" t="inlineStr">
        <is>
          <t>110.5</t>
        </is>
      </c>
      <c r="I928" t="inlineStr"/>
      <c r="J928" t="inlineStr"/>
      <c r="K928" t="inlineStr">
        <is>
          <t>25 000 000</t>
        </is>
      </c>
      <c r="L928" t="inlineStr"/>
      <c r="M928" t="inlineStr"/>
      <c r="N928" t="inlineStr">
        <is>
          <t>Нет у нас</t>
        </is>
      </c>
      <c r="O928" t="inlineStr"/>
      <c r="P928" t="inlineStr"/>
      <c r="Q928" t="inlineStr"/>
      <c r="R928">
        <f>HYPERLINK("https://nordwestinvest.ru/real-estates/pomeshhenie-s-iandeks-market-parikmaxerskaia","ссылка")</f>
        <v/>
      </c>
      <c r="S928" t="inlineStr"/>
    </row>
    <row r="929">
      <c r="A929" t="inlineStr">
        <is>
          <t>Не определен</t>
        </is>
      </c>
      <c r="B929" t="inlineStr">
        <is>
          <t>Ермаковская ул, 351</t>
        </is>
      </c>
      <c r="C929" t="inlineStr">
        <is>
          <t>sale</t>
        </is>
      </c>
      <c r="D929" t="inlineStr">
        <is>
          <t>Да</t>
        </is>
      </c>
      <c r="E929" t="inlineStr"/>
      <c r="F929" t="inlineStr"/>
      <c r="G929" t="inlineStr">
        <is>
          <t>1500</t>
        </is>
      </c>
      <c r="H929" t="inlineStr"/>
      <c r="I929" t="inlineStr"/>
      <c r="J929" t="inlineStr">
        <is>
          <t>165 000 000</t>
        </is>
      </c>
      <c r="K929" t="inlineStr"/>
      <c r="L929" t="inlineStr"/>
      <c r="M929" t="inlineStr">
        <is>
          <t>Нет у нас</t>
        </is>
      </c>
      <c r="N929" t="inlineStr"/>
      <c r="O929" t="inlineStr"/>
      <c r="P929" t="inlineStr"/>
      <c r="Q929">
        <f>HYPERLINK("https://knru.ru/catalog/ermakovskaya-ul-351/","ссылка")</f>
        <v/>
      </c>
      <c r="R929" t="inlineStr"/>
      <c r="S929" t="inlineStr"/>
    </row>
    <row r="930">
      <c r="A930" t="inlineStr">
        <is>
          <t>Не определен</t>
        </is>
      </c>
      <c r="B930" t="inlineStr">
        <is>
          <t>Есенина ул, 1к1 литера А</t>
        </is>
      </c>
      <c r="C930" t="inlineStr">
        <is>
          <t>sale</t>
        </is>
      </c>
      <c r="D930" t="inlineStr"/>
      <c r="E930" t="inlineStr">
        <is>
          <t>Да</t>
        </is>
      </c>
      <c r="F930" t="inlineStr"/>
      <c r="G930" t="inlineStr"/>
      <c r="H930" t="inlineStr">
        <is>
          <t>566.1</t>
        </is>
      </c>
      <c r="I930" t="inlineStr"/>
      <c r="J930" t="inlineStr"/>
      <c r="K930" t="inlineStr">
        <is>
          <t>135 000 000</t>
        </is>
      </c>
      <c r="L930" t="inlineStr"/>
      <c r="M930" t="inlineStr"/>
      <c r="N930" t="inlineStr">
        <is>
          <t>Нет у нас</t>
        </is>
      </c>
      <c r="O930" t="inlineStr"/>
      <c r="P930" t="inlineStr"/>
      <c r="Q930" t="inlineStr"/>
      <c r="R930">
        <f>HYPERLINK("https://nordwestinvest.ru/real-estates/prodaza-biznesa-spa-centr-2","ссылка")</f>
        <v/>
      </c>
      <c r="S930" t="inlineStr"/>
    </row>
    <row r="931">
      <c r="A931" t="inlineStr">
        <is>
          <t>Не определен</t>
        </is>
      </c>
      <c r="B931" t="inlineStr">
        <is>
          <t>Железнодорожный пр-кт, 45</t>
        </is>
      </c>
      <c r="C931" t="inlineStr">
        <is>
          <t>sale</t>
        </is>
      </c>
      <c r="D931" t="inlineStr"/>
      <c r="E931" t="inlineStr">
        <is>
          <t>Да</t>
        </is>
      </c>
      <c r="F931" t="inlineStr"/>
      <c r="G931" t="inlineStr"/>
      <c r="H931" t="inlineStr">
        <is>
          <t>6791.5</t>
        </is>
      </c>
      <c r="I931" t="inlineStr"/>
      <c r="J931" t="inlineStr"/>
      <c r="K931" t="inlineStr">
        <is>
          <t>200 000 000</t>
        </is>
      </c>
      <c r="L931" t="inlineStr"/>
      <c r="M931" t="inlineStr"/>
      <c r="N931" t="inlineStr">
        <is>
          <t>Нет у нас</t>
        </is>
      </c>
      <c r="O931" t="inlineStr"/>
      <c r="P931" t="inlineStr"/>
      <c r="Q931" t="inlineStr"/>
      <c r="R931">
        <f>HYPERLINK("https://nordwestinvest.ru/real-estates/prodaza-imushhestvennogo-kompleksa","ссылка")</f>
        <v/>
      </c>
      <c r="S931" t="inlineStr"/>
    </row>
    <row r="932">
      <c r="A932" t="inlineStr">
        <is>
          <t>Не определен</t>
        </is>
      </c>
      <c r="B932" t="inlineStr">
        <is>
          <t>Загородный пр-кт, 1</t>
        </is>
      </c>
      <c r="C932" t="inlineStr">
        <is>
          <t>sale</t>
        </is>
      </c>
      <c r="D932" t="inlineStr"/>
      <c r="E932" t="inlineStr">
        <is>
          <t>Да</t>
        </is>
      </c>
      <c r="F932" t="inlineStr"/>
      <c r="G932" t="inlineStr"/>
      <c r="H932" t="inlineStr">
        <is>
          <t>336</t>
        </is>
      </c>
      <c r="I932" t="inlineStr"/>
      <c r="J932" t="inlineStr"/>
      <c r="K932" t="inlineStr">
        <is>
          <t>225 000 000</t>
        </is>
      </c>
      <c r="L932" t="inlineStr"/>
      <c r="M932" t="inlineStr"/>
      <c r="N932" t="inlineStr">
        <is>
          <t>По адресу есть, но площадь другая</t>
        </is>
      </c>
      <c r="O932" t="inlineStr"/>
      <c r="P932" t="inlineStr"/>
      <c r="Q932" t="inlineStr"/>
      <c r="R932">
        <f>HYPERLINK("https://nordwestinvest.ru/real-estates/prodaza-pomeshheniia-s-setevym-arendatorom-u-metro","ссылка")</f>
        <v/>
      </c>
      <c r="S932" t="inlineStr"/>
    </row>
    <row r="933">
      <c r="A933" t="inlineStr">
        <is>
          <t>Не определен</t>
        </is>
      </c>
      <c r="B933" t="inlineStr">
        <is>
          <t>Заневский пр-кт, 42</t>
        </is>
      </c>
      <c r="C933" t="inlineStr">
        <is>
          <t>sale</t>
        </is>
      </c>
      <c r="D933" t="inlineStr"/>
      <c r="E933" t="inlineStr">
        <is>
          <t>Да</t>
        </is>
      </c>
      <c r="F933" t="inlineStr"/>
      <c r="G933" t="inlineStr"/>
      <c r="H933" t="inlineStr">
        <is>
          <t>68.4</t>
        </is>
      </c>
      <c r="I933" t="inlineStr"/>
      <c r="J933" t="inlineStr"/>
      <c r="K933" t="inlineStr">
        <is>
          <t>28 500 000</t>
        </is>
      </c>
      <c r="L933" t="inlineStr"/>
      <c r="M933" t="inlineStr"/>
      <c r="N933" t="inlineStr">
        <is>
          <t>Совпало</t>
        </is>
      </c>
      <c r="O933" t="inlineStr"/>
      <c r="P933" t="inlineStr"/>
      <c r="Q933" t="inlineStr"/>
      <c r="R933">
        <f>HYPERLINK("https://nordwestinvest.ru/real-estates/pomeshhenie-s-gab-salon-krasoty-u-metro-1","ссылка")</f>
        <v/>
      </c>
      <c r="S933" t="inlineStr"/>
    </row>
    <row r="934">
      <c r="A934" t="inlineStr">
        <is>
          <t>Не определен</t>
        </is>
      </c>
      <c r="B934" t="inlineStr">
        <is>
          <t>Заневский пр-кт, 65</t>
        </is>
      </c>
      <c r="C934" t="inlineStr">
        <is>
          <t>sale</t>
        </is>
      </c>
      <c r="D934" t="inlineStr"/>
      <c r="E934" t="inlineStr">
        <is>
          <t>Да</t>
        </is>
      </c>
      <c r="F934" t="inlineStr"/>
      <c r="G934" t="inlineStr"/>
      <c r="H934" t="inlineStr">
        <is>
          <t>83.8</t>
        </is>
      </c>
      <c r="I934" t="inlineStr"/>
      <c r="J934" t="inlineStr"/>
      <c r="K934" t="inlineStr">
        <is>
          <t>15 922 000</t>
        </is>
      </c>
      <c r="L934" t="inlineStr"/>
      <c r="M934" t="inlineStr"/>
      <c r="N934" t="inlineStr">
        <is>
          <t>У нас аренда, у конкурента продажа</t>
        </is>
      </c>
      <c r="O934" t="inlineStr"/>
      <c r="P934" t="inlineStr"/>
      <c r="Q934" t="inlineStr"/>
      <c r="R934">
        <f>HYPERLINK("https://nordwestinvest.ru/real-estates/pomeshhenie-v-tk-perron-s-salonom-krasoty","ссылка")</f>
        <v/>
      </c>
      <c r="S934" t="inlineStr"/>
    </row>
    <row r="935">
      <c r="A935" t="inlineStr">
        <is>
          <t>Не определен</t>
        </is>
      </c>
      <c r="B935" t="inlineStr">
        <is>
          <t>Заневский пр-кт, 65а А</t>
        </is>
      </c>
      <c r="C935" t="inlineStr">
        <is>
          <t>sale</t>
        </is>
      </c>
      <c r="D935" t="inlineStr"/>
      <c r="E935" t="inlineStr">
        <is>
          <t>Да</t>
        </is>
      </c>
      <c r="F935" t="inlineStr"/>
      <c r="G935" t="inlineStr"/>
      <c r="H935" t="inlineStr">
        <is>
          <t>75.4</t>
        </is>
      </c>
      <c r="I935" t="inlineStr"/>
      <c r="J935" t="inlineStr"/>
      <c r="K935" t="inlineStr">
        <is>
          <t>24 800 000</t>
        </is>
      </c>
      <c r="L935" t="inlineStr"/>
      <c r="M935" t="inlineStr"/>
      <c r="N935" t="inlineStr">
        <is>
          <t>Нет у нас</t>
        </is>
      </c>
      <c r="O935" t="inlineStr"/>
      <c r="P935" t="inlineStr"/>
      <c r="Q935" t="inlineStr"/>
      <c r="R935">
        <f>HYPERLINK("https://nordwestinvest.ru/real-estates/prodaza-pomeshheniia-arendator-vinnyi-magazin-754m2","ссылка")</f>
        <v/>
      </c>
      <c r="S935" t="inlineStr"/>
    </row>
    <row r="936">
      <c r="A936" t="inlineStr">
        <is>
          <t>Не определен</t>
        </is>
      </c>
      <c r="B936" t="inlineStr">
        <is>
          <t>Зотовский пр-кт</t>
        </is>
      </c>
      <c r="C936" t="inlineStr">
        <is>
          <t>sale</t>
        </is>
      </c>
      <c r="D936" t="inlineStr">
        <is>
          <t>Да</t>
        </is>
      </c>
      <c r="E936" t="inlineStr"/>
      <c r="F936" t="inlineStr"/>
      <c r="G936" t="inlineStr">
        <is>
          <t>21000</t>
        </is>
      </c>
      <c r="H936" t="inlineStr"/>
      <c r="I936" t="inlineStr"/>
      <c r="J936" t="inlineStr">
        <is>
          <t>240 000 000</t>
        </is>
      </c>
      <c r="K936" t="inlineStr"/>
      <c r="L936" t="inlineStr"/>
      <c r="M936" t="inlineStr">
        <is>
          <t>Нет у нас</t>
        </is>
      </c>
      <c r="N936" t="inlineStr"/>
      <c r="O936" t="inlineStr"/>
      <c r="P936" t="inlineStr"/>
      <c r="Q936">
        <f>HYPERLINK("https://knru.ru/catalog/zotovskij-pr-kt/","ссылка")</f>
        <v/>
      </c>
      <c r="R936" t="inlineStr"/>
      <c r="S936" t="inlineStr"/>
    </row>
    <row r="937">
      <c r="A937" t="inlineStr">
        <is>
          <t>Не определен</t>
        </is>
      </c>
      <c r="B937" t="inlineStr">
        <is>
          <t>Зотовский пр-кт, 9</t>
        </is>
      </c>
      <c r="C937" t="inlineStr">
        <is>
          <t>sale</t>
        </is>
      </c>
      <c r="D937" t="inlineStr"/>
      <c r="E937" t="inlineStr">
        <is>
          <t>Да</t>
        </is>
      </c>
      <c r="F937" t="inlineStr"/>
      <c r="G937" t="inlineStr"/>
      <c r="H937" t="inlineStr">
        <is>
          <t>420</t>
        </is>
      </c>
      <c r="I937" t="inlineStr"/>
      <c r="J937" t="inlineStr"/>
      <c r="K937" t="inlineStr">
        <is>
          <t>105 000 000</t>
        </is>
      </c>
      <c r="L937" t="inlineStr"/>
      <c r="M937" t="inlineStr"/>
      <c r="N937" t="inlineStr">
        <is>
          <t>Нет у нас</t>
        </is>
      </c>
      <c r="O937" t="inlineStr"/>
      <c r="P937" t="inlineStr"/>
      <c r="Q937" t="inlineStr"/>
      <c r="R937">
        <f>HYPERLINK("https://nordwestinvest.ru/real-estates/prodaza-sklada-420m2","ссылка")</f>
        <v/>
      </c>
      <c r="S937" t="inlineStr"/>
    </row>
    <row r="938">
      <c r="A938" t="inlineStr">
        <is>
          <t>Не определен</t>
        </is>
      </c>
      <c r="B938" t="inlineStr">
        <is>
          <t>Индустриальный пр-кт, 76</t>
        </is>
      </c>
      <c r="C938" t="inlineStr">
        <is>
          <t>sale</t>
        </is>
      </c>
      <c r="D938" t="inlineStr"/>
      <c r="E938" t="inlineStr">
        <is>
          <t>Да</t>
        </is>
      </c>
      <c r="F938" t="inlineStr"/>
      <c r="G938" t="inlineStr"/>
      <c r="H938" t="inlineStr">
        <is>
          <t>420</t>
        </is>
      </c>
      <c r="I938" t="inlineStr"/>
      <c r="J938" t="inlineStr"/>
      <c r="K938" t="inlineStr">
        <is>
          <t>88 200 000</t>
        </is>
      </c>
      <c r="L938" t="inlineStr"/>
      <c r="M938" t="inlineStr"/>
      <c r="N938" t="inlineStr">
        <is>
          <t>Нет у нас</t>
        </is>
      </c>
      <c r="O938" t="inlineStr"/>
      <c r="P938" t="inlineStr"/>
      <c r="Q938" t="inlineStr"/>
      <c r="R938">
        <f>HYPERLINK("https://nordwestinvest.ru/real-estates/prodaza-sovremennogo-skladskogo-bloka-420-m2","ссылка")</f>
        <v/>
      </c>
      <c r="S938" t="inlineStr"/>
    </row>
    <row r="939">
      <c r="A939" t="inlineStr">
        <is>
          <t>Не определен</t>
        </is>
      </c>
      <c r="B939" t="inlineStr">
        <is>
          <t>Индустриальный пр-кт, 76</t>
        </is>
      </c>
      <c r="C939" t="inlineStr">
        <is>
          <t>sale</t>
        </is>
      </c>
      <c r="D939" t="inlineStr"/>
      <c r="E939" t="inlineStr">
        <is>
          <t>Да</t>
        </is>
      </c>
      <c r="F939" t="inlineStr"/>
      <c r="G939" t="inlineStr"/>
      <c r="H939" t="inlineStr">
        <is>
          <t>840</t>
        </is>
      </c>
      <c r="I939" t="inlineStr"/>
      <c r="J939" t="inlineStr"/>
      <c r="K939" t="inlineStr">
        <is>
          <t>176 400 000</t>
        </is>
      </c>
      <c r="L939" t="inlineStr"/>
      <c r="M939" t="inlineStr"/>
      <c r="N939" t="inlineStr">
        <is>
          <t>Нет у нас</t>
        </is>
      </c>
      <c r="O939" t="inlineStr"/>
      <c r="P939" t="inlineStr"/>
      <c r="Q939" t="inlineStr"/>
      <c r="R939">
        <f>HYPERLINK("https://nordwestinvest.ru/real-estates/prodaza-sovremennogo-skladskogo-bloka-840-m2","ссылка")</f>
        <v/>
      </c>
      <c r="S939" t="inlineStr"/>
    </row>
    <row r="940">
      <c r="A940" t="inlineStr">
        <is>
          <t>Не определен</t>
        </is>
      </c>
      <c r="B940" t="inlineStr">
        <is>
          <t>Индустриальный пр-кт, 76</t>
        </is>
      </c>
      <c r="C940" t="inlineStr">
        <is>
          <t>sale</t>
        </is>
      </c>
      <c r="D940" t="inlineStr"/>
      <c r="E940" t="inlineStr">
        <is>
          <t>Да</t>
        </is>
      </c>
      <c r="F940" t="inlineStr"/>
      <c r="G940" t="inlineStr"/>
      <c r="H940" t="inlineStr">
        <is>
          <t>1260</t>
        </is>
      </c>
      <c r="I940" t="inlineStr"/>
      <c r="J940" t="inlineStr"/>
      <c r="K940" t="inlineStr">
        <is>
          <t>233 100 000</t>
        </is>
      </c>
      <c r="L940" t="inlineStr"/>
      <c r="M940" t="inlineStr"/>
      <c r="N940" t="inlineStr">
        <is>
          <t>Нет у нас</t>
        </is>
      </c>
      <c r="O940" t="inlineStr"/>
      <c r="P940" t="inlineStr"/>
      <c r="Q940" t="inlineStr"/>
      <c r="R940">
        <f>HYPERLINK("https://nordwestinvest.ru/real-estates/prodaza-novogo-sovremennogo-sklada-v-novosele-4","ссылка")</f>
        <v/>
      </c>
      <c r="S940" t="inlineStr"/>
    </row>
    <row r="941">
      <c r="A941" t="inlineStr">
        <is>
          <t>Не определен</t>
        </is>
      </c>
      <c r="B941" t="inlineStr">
        <is>
          <t>Индустриальный пр-кт, 76</t>
        </is>
      </c>
      <c r="C941" t="inlineStr">
        <is>
          <t>sale</t>
        </is>
      </c>
      <c r="D941" t="inlineStr"/>
      <c r="E941" t="inlineStr">
        <is>
          <t>Да</t>
        </is>
      </c>
      <c r="F941" t="inlineStr"/>
      <c r="G941" t="inlineStr"/>
      <c r="H941" t="inlineStr">
        <is>
          <t>1680</t>
        </is>
      </c>
      <c r="I941" t="inlineStr"/>
      <c r="J941" t="inlineStr"/>
      <c r="K941" t="inlineStr">
        <is>
          <t>302 400 000</t>
        </is>
      </c>
      <c r="L941" t="inlineStr"/>
      <c r="M941" t="inlineStr"/>
      <c r="N941" t="inlineStr">
        <is>
          <t>Нет у нас</t>
        </is>
      </c>
      <c r="O941" t="inlineStr"/>
      <c r="P941" t="inlineStr"/>
      <c r="Q941" t="inlineStr"/>
      <c r="R941">
        <f>HYPERLINK("https://nordwestinvest.ru/real-estates/prodaza-novogo-sovremennogo-sklada-v-novosele-2","ссылка")</f>
        <v/>
      </c>
      <c r="S941" t="inlineStr"/>
    </row>
    <row r="942">
      <c r="A942" t="inlineStr">
        <is>
          <t>Не определен</t>
        </is>
      </c>
      <c r="B942" t="inlineStr">
        <is>
          <t>Каменноостровский пр-кт, 41 А</t>
        </is>
      </c>
      <c r="C942" t="inlineStr">
        <is>
          <t>sale</t>
        </is>
      </c>
      <c r="D942" t="inlineStr"/>
      <c r="E942" t="inlineStr">
        <is>
          <t>Да</t>
        </is>
      </c>
      <c r="F942" t="inlineStr"/>
      <c r="G942" t="inlineStr"/>
      <c r="H942" t="inlineStr">
        <is>
          <t>205.4</t>
        </is>
      </c>
      <c r="I942" t="inlineStr"/>
      <c r="J942" t="inlineStr"/>
      <c r="K942" t="inlineStr">
        <is>
          <t>140 000 000</t>
        </is>
      </c>
      <c r="L942" t="inlineStr"/>
      <c r="M942" t="inlineStr"/>
      <c r="N942" t="inlineStr">
        <is>
          <t>По адресу есть, но площадь другая</t>
        </is>
      </c>
      <c r="O942" t="inlineStr"/>
      <c r="P942" t="inlineStr"/>
      <c r="Q942" t="inlineStr"/>
      <c r="R942">
        <f>HYPERLINK("https://nordwestinvest.ru/real-estates/prodaza-pomeshheniia-alfa-bank","ссылка")</f>
        <v/>
      </c>
      <c r="S942" t="inlineStr"/>
    </row>
    <row r="943">
      <c r="A943" t="inlineStr">
        <is>
          <t>Не определен</t>
        </is>
      </c>
      <c r="B943" t="inlineStr">
        <is>
          <t>Канала Грибоедова наб, 166стр1</t>
        </is>
      </c>
      <c r="C943" t="inlineStr">
        <is>
          <t>sale</t>
        </is>
      </c>
      <c r="D943" t="inlineStr"/>
      <c r="E943" t="inlineStr">
        <is>
          <t>Да</t>
        </is>
      </c>
      <c r="F943" t="inlineStr"/>
      <c r="G943" t="inlineStr"/>
      <c r="H943" t="inlineStr">
        <is>
          <t>1122.2</t>
        </is>
      </c>
      <c r="I943" t="inlineStr"/>
      <c r="J943" t="inlineStr"/>
      <c r="K943" t="inlineStr">
        <is>
          <t>240 000 000</t>
        </is>
      </c>
      <c r="L943" t="inlineStr"/>
      <c r="M943" t="inlineStr"/>
      <c r="N943" t="inlineStr">
        <is>
          <t>Нет у нас</t>
        </is>
      </c>
      <c r="O943" t="inlineStr"/>
      <c r="P943" t="inlineStr"/>
      <c r="Q943" t="inlineStr"/>
      <c r="R943">
        <f>HYPERLINK("https://nordwestinvest.ru/real-estates/prodaza-osz-posle-zagsa-11222-m2-1","ссылка")</f>
        <v/>
      </c>
      <c r="S943" t="inlineStr"/>
    </row>
    <row r="944">
      <c r="A944" t="inlineStr">
        <is>
          <t>Не определен</t>
        </is>
      </c>
      <c r="B944" t="inlineStr">
        <is>
          <t>Карелия Респ, Вятиккя п, Приладожская ул, 3</t>
        </is>
      </c>
      <c r="C944" t="inlineStr">
        <is>
          <t>sale</t>
        </is>
      </c>
      <c r="D944" t="inlineStr"/>
      <c r="E944" t="inlineStr">
        <is>
          <t>Да</t>
        </is>
      </c>
      <c r="F944" t="inlineStr"/>
      <c r="G944" t="inlineStr"/>
      <c r="H944" t="inlineStr">
        <is>
          <t>35700</t>
        </is>
      </c>
      <c r="I944" t="inlineStr"/>
      <c r="J944" t="inlineStr"/>
      <c r="K944" t="inlineStr">
        <is>
          <t>9 000 000</t>
        </is>
      </c>
      <c r="L944" t="inlineStr"/>
      <c r="M944" t="inlineStr"/>
      <c r="N944" t="inlineStr">
        <is>
          <t>Нет у нас</t>
        </is>
      </c>
      <c r="O944" t="inlineStr"/>
      <c r="P944" t="inlineStr"/>
      <c r="Q944" t="inlineStr"/>
      <c r="R944">
        <f>HYPERLINK("https://nordwestinvest.ru/real-estates/prodaza-zemelnogo-ucastka-357-ga-v-karelii","ссылка")</f>
        <v/>
      </c>
      <c r="S944" t="inlineStr"/>
    </row>
    <row r="945">
      <c r="A945" t="inlineStr">
        <is>
          <t>Не определен</t>
        </is>
      </c>
      <c r="B945" t="inlineStr">
        <is>
          <t>Карелия Респ, Вятиккя п, Приладожская ул, 3</t>
        </is>
      </c>
      <c r="C945" t="inlineStr">
        <is>
          <t>sale</t>
        </is>
      </c>
      <c r="D945" t="inlineStr"/>
      <c r="E945" t="inlineStr">
        <is>
          <t>Да</t>
        </is>
      </c>
      <c r="F945" t="inlineStr"/>
      <c r="G945" t="inlineStr"/>
      <c r="H945" t="inlineStr">
        <is>
          <t>109600</t>
        </is>
      </c>
      <c r="I945" t="inlineStr"/>
      <c r="J945" t="inlineStr"/>
      <c r="K945" t="inlineStr">
        <is>
          <t>25 000 000</t>
        </is>
      </c>
      <c r="L945" t="inlineStr"/>
      <c r="M945" t="inlineStr"/>
      <c r="N945" t="inlineStr">
        <is>
          <t>Нет у нас</t>
        </is>
      </c>
      <c r="O945" t="inlineStr"/>
      <c r="P945" t="inlineStr"/>
      <c r="Q945" t="inlineStr"/>
      <c r="R945">
        <f>HYPERLINK("https://nordwestinvest.ru/real-estates/zemlia-izs-11-ga","ссылка")</f>
        <v/>
      </c>
      <c r="S945" t="inlineStr"/>
    </row>
    <row r="946">
      <c r="A946" t="inlineStr">
        <is>
          <t>Не определен</t>
        </is>
      </c>
      <c r="B946" t="inlineStr">
        <is>
          <t>Карелия Респ, Микли п, -, -</t>
        </is>
      </c>
      <c r="C946" t="inlineStr">
        <is>
          <t>sale</t>
        </is>
      </c>
      <c r="D946" t="inlineStr"/>
      <c r="E946" t="inlineStr">
        <is>
          <t>Да</t>
        </is>
      </c>
      <c r="F946" t="inlineStr"/>
      <c r="G946" t="inlineStr"/>
      <c r="H946" t="inlineStr">
        <is>
          <t>101700</t>
        </is>
      </c>
      <c r="I946" t="inlineStr"/>
      <c r="J946" t="inlineStr"/>
      <c r="K946" t="inlineStr">
        <is>
          <t>22 000 000</t>
        </is>
      </c>
      <c r="L946" t="inlineStr"/>
      <c r="M946" t="inlineStr"/>
      <c r="N946" t="inlineStr">
        <is>
          <t>Нет у нас</t>
        </is>
      </c>
      <c r="O946" t="inlineStr"/>
      <c r="P946" t="inlineStr"/>
      <c r="Q946" t="inlineStr"/>
      <c r="R946">
        <f>HYPERLINK("https://nordwestinvest.ru/real-estates/zemlia-pod-dacnoe-stroitelstvo-102-ga","ссылка")</f>
        <v/>
      </c>
      <c r="S946" t="inlineStr"/>
    </row>
    <row r="947">
      <c r="A947" t="inlineStr">
        <is>
          <t>Не определен</t>
        </is>
      </c>
      <c r="B947" t="inlineStr">
        <is>
          <t>Кислотный пер, 2/1</t>
        </is>
      </c>
      <c r="C947" t="inlineStr">
        <is>
          <t>sale</t>
        </is>
      </c>
      <c r="D947" t="inlineStr">
        <is>
          <t>Да</t>
        </is>
      </c>
      <c r="E947" t="inlineStr"/>
      <c r="F947" t="inlineStr"/>
      <c r="G947" t="inlineStr">
        <is>
          <t>7200</t>
        </is>
      </c>
      <c r="H947" t="inlineStr"/>
      <c r="I947" t="inlineStr"/>
      <c r="J947" t="inlineStr">
        <is>
          <t>150 000 000</t>
        </is>
      </c>
      <c r="K947" t="inlineStr"/>
      <c r="L947" t="inlineStr"/>
      <c r="M947" t="inlineStr">
        <is>
          <t>Нет у нас</t>
        </is>
      </c>
      <c r="N947" t="inlineStr"/>
      <c r="O947" t="inlineStr"/>
      <c r="P947" t="inlineStr"/>
      <c r="Q947">
        <f>HYPERLINK("https://knru.ru/catalog/kislotnyj-per-2-1/","ссылка")</f>
        <v/>
      </c>
      <c r="R947" t="inlineStr"/>
      <c r="S947" t="inlineStr"/>
    </row>
    <row r="948">
      <c r="A948" t="inlineStr">
        <is>
          <t>Не определен</t>
        </is>
      </c>
      <c r="B948" t="inlineStr">
        <is>
          <t>Кленовый пер, 1</t>
        </is>
      </c>
      <c r="C948" t="inlineStr">
        <is>
          <t>sale</t>
        </is>
      </c>
      <c r="D948" t="inlineStr">
        <is>
          <t>Да</t>
        </is>
      </c>
      <c r="E948" t="inlineStr"/>
      <c r="F948" t="inlineStr"/>
      <c r="G948" t="inlineStr">
        <is>
          <t>6853600</t>
        </is>
      </c>
      <c r="H948" t="inlineStr"/>
      <c r="I948" t="inlineStr"/>
      <c r="J948" t="inlineStr">
        <is>
          <t>350 000 000</t>
        </is>
      </c>
      <c r="K948" t="inlineStr"/>
      <c r="L948" t="inlineStr"/>
      <c r="M948" t="inlineStr">
        <is>
          <t>Нет у нас</t>
        </is>
      </c>
      <c r="N948" t="inlineStr"/>
      <c r="O948" t="inlineStr"/>
      <c r="P948" t="inlineStr"/>
      <c r="Q948">
        <f>HYPERLINK("https://knru.ru/catalog/klenovyj-per-1/","ссылка")</f>
        <v/>
      </c>
      <c r="R948" t="inlineStr"/>
      <c r="S948" t="inlineStr"/>
    </row>
    <row r="949">
      <c r="A949" t="inlineStr">
        <is>
          <t>Не определен</t>
        </is>
      </c>
      <c r="B949" t="inlineStr">
        <is>
          <t>Колпино г, Ленина пр-кт, 20/5 А</t>
        </is>
      </c>
      <c r="C949" t="inlineStr">
        <is>
          <t>sale</t>
        </is>
      </c>
      <c r="D949" t="inlineStr"/>
      <c r="E949" t="inlineStr">
        <is>
          <t>Да</t>
        </is>
      </c>
      <c r="F949" t="inlineStr"/>
      <c r="G949" t="inlineStr"/>
      <c r="H949" t="inlineStr">
        <is>
          <t>215</t>
        </is>
      </c>
      <c r="I949" t="inlineStr"/>
      <c r="J949" t="inlineStr"/>
      <c r="K949" t="inlineStr">
        <is>
          <t>25 200 000</t>
        </is>
      </c>
      <c r="L949" t="inlineStr"/>
      <c r="M949" t="inlineStr"/>
      <c r="N949" t="inlineStr">
        <is>
          <t>Нет у нас</t>
        </is>
      </c>
      <c r="O949" t="inlineStr"/>
      <c r="P949" t="inlineStr"/>
      <c r="Q949" t="inlineStr"/>
      <c r="R949">
        <f>HYPERLINK("https://nordwestinvest.ru/real-estates/prodaza-gab-v-kolpino","ссылка")</f>
        <v/>
      </c>
      <c r="S949" t="inlineStr"/>
    </row>
    <row r="950">
      <c r="A950" t="inlineStr">
        <is>
          <t>Не определен</t>
        </is>
      </c>
      <c r="B950" t="inlineStr">
        <is>
          <t>Королёва пр-кт, 64к1стр1</t>
        </is>
      </c>
      <c r="C950" t="inlineStr">
        <is>
          <t>sale</t>
        </is>
      </c>
      <c r="D950" t="inlineStr"/>
      <c r="E950" t="inlineStr">
        <is>
          <t>Да</t>
        </is>
      </c>
      <c r="F950" t="inlineStr"/>
      <c r="G950" t="inlineStr"/>
      <c r="H950" t="inlineStr">
        <is>
          <t>199</t>
        </is>
      </c>
      <c r="I950" t="inlineStr"/>
      <c r="J950" t="inlineStr"/>
      <c r="K950" t="inlineStr">
        <is>
          <t>42 500 000</t>
        </is>
      </c>
      <c r="L950" t="inlineStr"/>
      <c r="M950" t="inlineStr"/>
      <c r="N950" t="inlineStr">
        <is>
          <t>Нет у нас</t>
        </is>
      </c>
      <c r="O950" t="inlineStr"/>
      <c r="P950" t="inlineStr"/>
      <c r="Q950" t="inlineStr"/>
      <c r="R950">
        <f>HYPERLINK("https://nordwestinvest.ru/real-estates/prodaza-psn-199-m2-s-arendatorom","ссылка")</f>
        <v/>
      </c>
      <c r="S950" t="inlineStr"/>
    </row>
    <row r="951">
      <c r="A951" t="inlineStr">
        <is>
          <t>Не определен</t>
        </is>
      </c>
      <c r="B951" t="inlineStr">
        <is>
          <t>Космонавтов пр-кт, 65к2 А</t>
        </is>
      </c>
      <c r="C951" t="inlineStr">
        <is>
          <t>sale</t>
        </is>
      </c>
      <c r="D951" t="inlineStr"/>
      <c r="E951" t="inlineStr">
        <is>
          <t>Да</t>
        </is>
      </c>
      <c r="F951" t="inlineStr"/>
      <c r="G951" t="inlineStr"/>
      <c r="H951" t="inlineStr">
        <is>
          <t>577.8</t>
        </is>
      </c>
      <c r="I951" t="inlineStr"/>
      <c r="J951" t="inlineStr"/>
      <c r="K951" t="inlineStr">
        <is>
          <t>200 000 000</t>
        </is>
      </c>
      <c r="L951" t="inlineStr"/>
      <c r="M951" t="inlineStr"/>
      <c r="N951" t="inlineStr">
        <is>
          <t>Нет у нас</t>
        </is>
      </c>
      <c r="O951" t="inlineStr"/>
      <c r="P951" t="inlineStr"/>
      <c r="Q951" t="inlineStr"/>
      <c r="R951">
        <f>HYPERLINK("https://nordwestinvest.ru/real-estates/prodaza-u-metro-zvezdnaia","ссылка")</f>
        <v/>
      </c>
      <c r="S951" t="inlineStr"/>
    </row>
    <row r="952">
      <c r="A952" t="inlineStr">
        <is>
          <t>Не определен</t>
        </is>
      </c>
      <c r="B952" t="inlineStr">
        <is>
          <t>Косыгина пр-кт, 27к1 А</t>
        </is>
      </c>
      <c r="C952" t="inlineStr">
        <is>
          <t>sale</t>
        </is>
      </c>
      <c r="D952" t="inlineStr"/>
      <c r="E952" t="inlineStr">
        <is>
          <t>Да</t>
        </is>
      </c>
      <c r="F952" t="inlineStr"/>
      <c r="G952" t="inlineStr"/>
      <c r="H952" t="inlineStr">
        <is>
          <t>320</t>
        </is>
      </c>
      <c r="I952" t="inlineStr"/>
      <c r="J952" t="inlineStr"/>
      <c r="K952" t="inlineStr">
        <is>
          <t>21 000 000</t>
        </is>
      </c>
      <c r="L952" t="inlineStr"/>
      <c r="M952" t="inlineStr"/>
      <c r="N952" t="inlineStr">
        <is>
          <t>Нет у нас</t>
        </is>
      </c>
      <c r="O952" t="inlineStr"/>
      <c r="P952" t="inlineStr"/>
      <c r="Q952" t="inlineStr"/>
      <c r="R952">
        <f>HYPERLINK("https://nordwestinvest.ru/real-estates/prodaza-320-m2-s-arendatorom-kb","ссылка")</f>
        <v/>
      </c>
      <c r="S952" t="inlineStr"/>
    </row>
    <row r="953">
      <c r="A953" t="inlineStr">
        <is>
          <t>Не определен</t>
        </is>
      </c>
      <c r="B953" t="inlineStr">
        <is>
          <t>Красносельское шос.</t>
        </is>
      </c>
      <c r="C953" t="inlineStr">
        <is>
          <t>sale</t>
        </is>
      </c>
      <c r="D953" t="inlineStr">
        <is>
          <t>Да</t>
        </is>
      </c>
      <c r="E953" t="inlineStr"/>
      <c r="F953" t="inlineStr"/>
      <c r="G953" t="inlineStr">
        <is>
          <t>38.9</t>
        </is>
      </c>
      <c r="H953" t="inlineStr"/>
      <c r="I953" t="inlineStr"/>
      <c r="J953" t="inlineStr">
        <is>
          <t>12 091 680</t>
        </is>
      </c>
      <c r="K953" t="inlineStr"/>
      <c r="L953" t="inlineStr"/>
      <c r="M953" t="inlineStr">
        <is>
          <t>Нет у нас</t>
        </is>
      </c>
      <c r="N953" t="inlineStr"/>
      <c r="O953" t="inlineStr"/>
      <c r="P953" t="inlineStr"/>
      <c r="Q953">
        <f>HYPERLINK("https://knru.ru/catalog/krasnoselskoe-shos-1451720632/","ссылка")</f>
        <v/>
      </c>
      <c r="R953" t="inlineStr"/>
      <c r="S953" t="inlineStr"/>
    </row>
    <row r="954">
      <c r="A954" t="inlineStr">
        <is>
          <t>Не определен</t>
        </is>
      </c>
      <c r="B954" t="inlineStr">
        <is>
          <t>Крымская, 4</t>
        </is>
      </c>
      <c r="C954" t="inlineStr">
        <is>
          <t>sale</t>
        </is>
      </c>
      <c r="D954" t="inlineStr">
        <is>
          <t>Да</t>
        </is>
      </c>
      <c r="E954" t="inlineStr"/>
      <c r="F954" t="inlineStr"/>
      <c r="G954" t="inlineStr">
        <is>
          <t>355</t>
        </is>
      </c>
      <c r="H954" t="inlineStr"/>
      <c r="I954" t="inlineStr"/>
      <c r="J954" t="inlineStr">
        <is>
          <t>6 000 000</t>
        </is>
      </c>
      <c r="K954" t="inlineStr"/>
      <c r="L954" t="inlineStr"/>
      <c r="M954" t="inlineStr">
        <is>
          <t>Нет у нас</t>
        </is>
      </c>
      <c r="N954" t="inlineStr"/>
      <c r="O954" t="inlineStr"/>
      <c r="P954" t="inlineStr"/>
      <c r="Q954">
        <f>HYPERLINK("https://knru.ru/catalog/krymskaya-4-557611/","ссылка")</f>
        <v/>
      </c>
      <c r="R954" t="inlineStr"/>
      <c r="S954" t="inlineStr"/>
    </row>
    <row r="955">
      <c r="A955" t="inlineStr">
        <is>
          <t>Не определен</t>
        </is>
      </c>
      <c r="B955" t="inlineStr">
        <is>
          <t>Крымская, 4</t>
        </is>
      </c>
      <c r="C955" t="inlineStr">
        <is>
          <t>sale</t>
        </is>
      </c>
      <c r="D955" t="inlineStr">
        <is>
          <t>Да</t>
        </is>
      </c>
      <c r="E955" t="inlineStr"/>
      <c r="F955" t="inlineStr"/>
      <c r="G955" t="inlineStr">
        <is>
          <t>334</t>
        </is>
      </c>
      <c r="H955" t="inlineStr"/>
      <c r="I955" t="inlineStr"/>
      <c r="J955" t="inlineStr">
        <is>
          <t>6 000 000</t>
        </is>
      </c>
      <c r="K955" t="inlineStr"/>
      <c r="L955" t="inlineStr"/>
      <c r="M955" t="inlineStr">
        <is>
          <t>Нет у нас</t>
        </is>
      </c>
      <c r="N955" t="inlineStr"/>
      <c r="O955" t="inlineStr"/>
      <c r="P955" t="inlineStr"/>
      <c r="Q955">
        <f>HYPERLINK("https://knru.ru/catalog/krymskaya-4/","ссылка")</f>
        <v/>
      </c>
      <c r="R955" t="inlineStr"/>
      <c r="S955" t="inlineStr"/>
    </row>
    <row r="956">
      <c r="A956" t="inlineStr">
        <is>
          <t>Не определен</t>
        </is>
      </c>
      <c r="B956" t="inlineStr">
        <is>
          <t>Кустодиева ул, 3к1стр1</t>
        </is>
      </c>
      <c r="C956" t="inlineStr">
        <is>
          <t>sale</t>
        </is>
      </c>
      <c r="D956" t="inlineStr"/>
      <c r="E956" t="inlineStr">
        <is>
          <t>Да</t>
        </is>
      </c>
      <c r="F956" t="inlineStr"/>
      <c r="G956" t="inlineStr"/>
      <c r="H956" t="inlineStr">
        <is>
          <t>231.7</t>
        </is>
      </c>
      <c r="I956" t="inlineStr"/>
      <c r="J956" t="inlineStr"/>
      <c r="K956" t="inlineStr">
        <is>
          <t>90 000 000</t>
        </is>
      </c>
      <c r="L956" t="inlineStr"/>
      <c r="M956" t="inlineStr"/>
      <c r="N956" t="inlineStr">
        <is>
          <t>Нет у нас</t>
        </is>
      </c>
      <c r="O956" t="inlineStr"/>
      <c r="P956" t="inlineStr"/>
      <c r="Q956" t="inlineStr"/>
      <c r="R956">
        <f>HYPERLINK("https://nordwestinvest.ru/real-estates/prodaza-2317m2-magnit","ссылка")</f>
        <v/>
      </c>
      <c r="S956" t="inlineStr"/>
    </row>
    <row r="957">
      <c r="A957" t="inlineStr">
        <is>
          <t>Не определен</t>
        </is>
      </c>
      <c r="B957" t="inlineStr">
        <is>
          <t>Лахта тер., Красных Партизан ул, 14Г</t>
        </is>
      </c>
      <c r="C957" t="inlineStr">
        <is>
          <t>sale</t>
        </is>
      </c>
      <c r="D957" t="inlineStr">
        <is>
          <t>Да</t>
        </is>
      </c>
      <c r="E957" t="inlineStr"/>
      <c r="F957" t="inlineStr"/>
      <c r="G957" t="inlineStr">
        <is>
          <t>970</t>
        </is>
      </c>
      <c r="H957" t="inlineStr"/>
      <c r="I957" t="inlineStr"/>
      <c r="J957" t="inlineStr">
        <is>
          <t>64 000 000</t>
        </is>
      </c>
      <c r="K957" t="inlineStr"/>
      <c r="L957" t="inlineStr"/>
      <c r="M957" t="inlineStr">
        <is>
          <t>Нет у нас</t>
        </is>
      </c>
      <c r="N957" t="inlineStr"/>
      <c r="O957" t="inlineStr"/>
      <c r="P957" t="inlineStr"/>
      <c r="Q957">
        <f>HYPERLINK("https://knru.ru/catalog/laxta-ter-krasnyx-partizan-ul-14g/","ссылка")</f>
        <v/>
      </c>
      <c r="R957" t="inlineStr"/>
      <c r="S957" t="inlineStr"/>
    </row>
    <row r="958">
      <c r="A958" t="inlineStr">
        <is>
          <t>Не определен</t>
        </is>
      </c>
      <c r="B958" t="inlineStr">
        <is>
          <t>Лахтинский пр-кт, 115 А</t>
        </is>
      </c>
      <c r="C958" t="inlineStr">
        <is>
          <t>sale</t>
        </is>
      </c>
      <c r="D958" t="inlineStr"/>
      <c r="E958" t="inlineStr">
        <is>
          <t>Да</t>
        </is>
      </c>
      <c r="F958" t="inlineStr"/>
      <c r="G958" t="inlineStr"/>
      <c r="H958" t="inlineStr">
        <is>
          <t>1500</t>
        </is>
      </c>
      <c r="I958" t="inlineStr"/>
      <c r="J958" t="inlineStr"/>
      <c r="K958" t="inlineStr">
        <is>
          <t>375 000 000</t>
        </is>
      </c>
      <c r="L958" t="inlineStr"/>
      <c r="M958" t="inlineStr"/>
      <c r="N958" t="inlineStr">
        <is>
          <t>Нет у нас</t>
        </is>
      </c>
      <c r="O958" t="inlineStr"/>
      <c r="P958" t="inlineStr"/>
      <c r="Q958" t="inlineStr"/>
      <c r="R958">
        <f>HYPERLINK("https://nordwestinvest.ru/real-estates/unikalnaia-prodaza-sikarnogo-biznes-centra-1500-m","ссылка")</f>
        <v/>
      </c>
      <c r="S958" t="inlineStr"/>
    </row>
    <row r="959">
      <c r="A959" t="inlineStr">
        <is>
          <t>Не определен</t>
        </is>
      </c>
      <c r="B959" t="inlineStr">
        <is>
          <t>Ленина (Сергиево тер) пр-кт, 39стр1</t>
        </is>
      </c>
      <c r="C959" t="inlineStr">
        <is>
          <t>sale</t>
        </is>
      </c>
      <c r="D959" t="inlineStr"/>
      <c r="E959" t="inlineStr">
        <is>
          <t>Да</t>
        </is>
      </c>
      <c r="F959" t="inlineStr"/>
      <c r="G959" t="inlineStr"/>
      <c r="H959" t="inlineStr">
        <is>
          <t>604.6</t>
        </is>
      </c>
      <c r="I959" t="inlineStr"/>
      <c r="J959" t="inlineStr"/>
      <c r="K959" t="inlineStr">
        <is>
          <t>168 000 000</t>
        </is>
      </c>
      <c r="L959" t="inlineStr"/>
      <c r="M959" t="inlineStr"/>
      <c r="N959" t="inlineStr">
        <is>
          <t>Нет у нас</t>
        </is>
      </c>
      <c r="O959" t="inlineStr"/>
      <c r="P959" t="inlineStr"/>
      <c r="Q959" t="inlineStr"/>
      <c r="R959">
        <f>HYPERLINK("https://nordwestinvest.ru/real-estates/prodaza-605m2","ссылка")</f>
        <v/>
      </c>
      <c r="S959" t="inlineStr"/>
    </row>
    <row r="960">
      <c r="A960" t="inlineStr">
        <is>
          <t>Не определен</t>
        </is>
      </c>
      <c r="B960" t="inlineStr">
        <is>
          <t>Ленинский пр-кт, 64к1 А</t>
        </is>
      </c>
      <c r="C960" t="inlineStr">
        <is>
          <t>sale</t>
        </is>
      </c>
      <c r="D960" t="inlineStr"/>
      <c r="E960" t="inlineStr">
        <is>
          <t>Да</t>
        </is>
      </c>
      <c r="F960" t="inlineStr"/>
      <c r="G960" t="inlineStr"/>
      <c r="H960" t="inlineStr">
        <is>
          <t>313</t>
        </is>
      </c>
      <c r="I960" t="inlineStr"/>
      <c r="J960" t="inlineStr"/>
      <c r="K960" t="inlineStr">
        <is>
          <t>51 000 000</t>
        </is>
      </c>
      <c r="L960" t="inlineStr"/>
      <c r="M960" t="inlineStr"/>
      <c r="N960" t="inlineStr">
        <is>
          <t>Нет у нас</t>
        </is>
      </c>
      <c r="O960" t="inlineStr"/>
      <c r="P960" t="inlineStr"/>
      <c r="Q960" t="inlineStr"/>
      <c r="R960">
        <f>HYPERLINK("https://nordwestinvest.ru/real-estates/prodaza-uglovoe-na-trafike","ссылка")</f>
        <v/>
      </c>
      <c r="S960" t="inlineStr"/>
    </row>
    <row r="961">
      <c r="A961" t="inlineStr">
        <is>
          <t>Не определен</t>
        </is>
      </c>
      <c r="B961" t="inlineStr">
        <is>
          <t>Ленсоветовский тер. мкр., д. дом 19корпус2</t>
        </is>
      </c>
      <c r="C961" t="inlineStr">
        <is>
          <t>sale</t>
        </is>
      </c>
      <c r="D961" t="inlineStr">
        <is>
          <t>Да</t>
        </is>
      </c>
      <c r="E961" t="inlineStr"/>
      <c r="F961" t="inlineStr"/>
      <c r="G961" t="inlineStr">
        <is>
          <t>144</t>
        </is>
      </c>
      <c r="H961" t="inlineStr"/>
      <c r="I961" t="inlineStr"/>
      <c r="J961" t="inlineStr">
        <is>
          <t>18 140 880</t>
        </is>
      </c>
      <c r="K961" t="inlineStr"/>
      <c r="L961" t="inlineStr"/>
      <c r="M961" t="inlineStr">
        <is>
          <t>Нет у нас</t>
        </is>
      </c>
      <c r="N961" t="inlineStr"/>
      <c r="O961" t="inlineStr"/>
      <c r="P961" t="inlineStr"/>
      <c r="Q961">
        <f>HYPERLINK("https://knru.ru/catalog/lensovetovskiy-ter-mkr-d-dom-19korpus2-1464437904/","ссылка")</f>
        <v/>
      </c>
      <c r="R961" t="inlineStr"/>
      <c r="S961" t="inlineStr"/>
    </row>
    <row r="962">
      <c r="A962" t="inlineStr">
        <is>
          <t>Не определен</t>
        </is>
      </c>
      <c r="B962" t="inlineStr">
        <is>
          <t>Ленсоветовский тер. мкр., д. дом 19корпус2</t>
        </is>
      </c>
      <c r="C962" t="inlineStr">
        <is>
          <t>sale</t>
        </is>
      </c>
      <c r="D962" t="inlineStr">
        <is>
          <t>Да</t>
        </is>
      </c>
      <c r="E962" t="inlineStr"/>
      <c r="F962" t="inlineStr"/>
      <c r="G962" t="inlineStr">
        <is>
          <t>128.3</t>
        </is>
      </c>
      <c r="H962" t="inlineStr"/>
      <c r="I962" t="inlineStr"/>
      <c r="J962" t="inlineStr">
        <is>
          <t>16 165 800</t>
        </is>
      </c>
      <c r="K962" t="inlineStr"/>
      <c r="L962" t="inlineStr"/>
      <c r="M962" t="inlineStr">
        <is>
          <t>Нет у нас</t>
        </is>
      </c>
      <c r="N962" t="inlineStr"/>
      <c r="O962" t="inlineStr"/>
      <c r="P962" t="inlineStr"/>
      <c r="Q962">
        <f>HYPERLINK("https://knru.ru/catalog/lensovetovskiy-ter-mkr-d-dom-19korpus2-942839775/","ссылка")</f>
        <v/>
      </c>
      <c r="R962" t="inlineStr"/>
      <c r="S962" t="inlineStr"/>
    </row>
    <row r="963">
      <c r="A963" t="inlineStr">
        <is>
          <t>Не определен</t>
        </is>
      </c>
      <c r="B963" t="inlineStr">
        <is>
          <t>Ленсоветовский тер. мкр., д. дом 19корпус2</t>
        </is>
      </c>
      <c r="C963" t="inlineStr">
        <is>
          <t>sale</t>
        </is>
      </c>
      <c r="D963" t="inlineStr">
        <is>
          <t>Да</t>
        </is>
      </c>
      <c r="E963" t="inlineStr"/>
      <c r="F963" t="inlineStr"/>
      <c r="G963" t="inlineStr">
        <is>
          <t>111.8</t>
        </is>
      </c>
      <c r="H963" t="inlineStr"/>
      <c r="I963" t="inlineStr"/>
      <c r="J963" t="inlineStr">
        <is>
          <t>14 086 800</t>
        </is>
      </c>
      <c r="K963" t="inlineStr"/>
      <c r="L963" t="inlineStr"/>
      <c r="M963" t="inlineStr">
        <is>
          <t>Нет у нас</t>
        </is>
      </c>
      <c r="N963" t="inlineStr"/>
      <c r="O963" t="inlineStr"/>
      <c r="P963" t="inlineStr"/>
      <c r="Q963">
        <f>HYPERLINK("https://knru.ru/catalog/lensovetovskiy-ter-mkr-d-dom-19korpus2-2113306632/","ссылка")</f>
        <v/>
      </c>
      <c r="R963" t="inlineStr"/>
      <c r="S963" t="inlineStr"/>
    </row>
    <row r="964">
      <c r="A964" t="inlineStr">
        <is>
          <t>Не определен</t>
        </is>
      </c>
      <c r="B964" t="inlineStr">
        <is>
          <t>Ленсоветовский тер. мкр., д. дом 19корпус2</t>
        </is>
      </c>
      <c r="C964" t="inlineStr">
        <is>
          <t>sale</t>
        </is>
      </c>
      <c r="D964" t="inlineStr">
        <is>
          <t>Да</t>
        </is>
      </c>
      <c r="E964" t="inlineStr"/>
      <c r="F964" t="inlineStr"/>
      <c r="G964" t="inlineStr">
        <is>
          <t>96.5</t>
        </is>
      </c>
      <c r="H964" t="inlineStr"/>
      <c r="I964" t="inlineStr"/>
      <c r="J964" t="inlineStr">
        <is>
          <t>12 159 000</t>
        </is>
      </c>
      <c r="K964" t="inlineStr"/>
      <c r="L964" t="inlineStr"/>
      <c r="M964" t="inlineStr">
        <is>
          <t>Нет у нас</t>
        </is>
      </c>
      <c r="N964" t="inlineStr"/>
      <c r="O964" t="inlineStr"/>
      <c r="P964" t="inlineStr"/>
      <c r="Q964">
        <f>HYPERLINK("https://knru.ru/catalog/lensovetovskiy-ter-mkr-d-dom-19korpus2-1687220736/","ссылка")</f>
        <v/>
      </c>
      <c r="R964" t="inlineStr"/>
      <c r="S964" t="inlineStr"/>
    </row>
    <row r="965">
      <c r="A965" t="inlineStr">
        <is>
          <t>Не определен</t>
        </is>
      </c>
      <c r="B965" t="inlineStr">
        <is>
          <t>Ленсоветовский тер. мкр., д. дом 19корпус2</t>
        </is>
      </c>
      <c r="C965" t="inlineStr">
        <is>
          <t>sale</t>
        </is>
      </c>
      <c r="D965" t="inlineStr">
        <is>
          <t>Да</t>
        </is>
      </c>
      <c r="E965" t="inlineStr"/>
      <c r="F965" t="inlineStr"/>
      <c r="G965" t="inlineStr">
        <is>
          <t>57.7</t>
        </is>
      </c>
      <c r="H965" t="inlineStr"/>
      <c r="I965" t="inlineStr"/>
      <c r="J965" t="inlineStr">
        <is>
          <t>4 962 200</t>
        </is>
      </c>
      <c r="K965" t="inlineStr"/>
      <c r="L965" t="inlineStr"/>
      <c r="M965" t="inlineStr">
        <is>
          <t>Нет у нас</t>
        </is>
      </c>
      <c r="N965" t="inlineStr"/>
      <c r="O965" t="inlineStr"/>
      <c r="P965" t="inlineStr"/>
      <c r="Q965">
        <f>HYPERLINK("https://knru.ru/catalog/lensovetovskiy-ter-mkr-d-dom-19korpus2-414198868/","ссылка")</f>
        <v/>
      </c>
      <c r="R965" t="inlineStr"/>
      <c r="S965" t="inlineStr"/>
    </row>
    <row r="966">
      <c r="A966" t="inlineStr">
        <is>
          <t>Не определен</t>
        </is>
      </c>
      <c r="B966" t="inlineStr">
        <is>
          <t>Ленсоветовский тер. мкр., д. дом 19корпус2</t>
        </is>
      </c>
      <c r="C966" t="inlineStr">
        <is>
          <t>sale</t>
        </is>
      </c>
      <c r="D966" t="inlineStr">
        <is>
          <t>Да</t>
        </is>
      </c>
      <c r="E966" t="inlineStr"/>
      <c r="F966" t="inlineStr"/>
      <c r="G966" t="inlineStr">
        <is>
          <t>46.4</t>
        </is>
      </c>
      <c r="H966" t="inlineStr"/>
      <c r="I966" t="inlineStr"/>
      <c r="J966" t="inlineStr">
        <is>
          <t>3 990 400</t>
        </is>
      </c>
      <c r="K966" t="inlineStr"/>
      <c r="L966" t="inlineStr"/>
      <c r="M966" t="inlineStr">
        <is>
          <t>Нет у нас</t>
        </is>
      </c>
      <c r="N966" t="inlineStr"/>
      <c r="O966" t="inlineStr"/>
      <c r="P966" t="inlineStr"/>
      <c r="Q966">
        <f>HYPERLINK("https://knru.ru/catalog/lensovetovskiy-ter-mkr-d-dom-19korpus2/","ссылка")</f>
        <v/>
      </c>
      <c r="R966" t="inlineStr"/>
      <c r="S966" t="inlineStr"/>
    </row>
    <row r="967">
      <c r="A967" t="inlineStr">
        <is>
          <t>Не определен</t>
        </is>
      </c>
      <c r="B967" t="inlineStr">
        <is>
          <t>Лесное зона</t>
        </is>
      </c>
      <c r="C967" t="inlineStr">
        <is>
          <t>sale</t>
        </is>
      </c>
      <c r="D967" t="inlineStr">
        <is>
          <t>Да</t>
        </is>
      </c>
      <c r="E967" t="inlineStr"/>
      <c r="F967" t="inlineStr"/>
      <c r="G967" t="inlineStr">
        <is>
          <t>310000</t>
        </is>
      </c>
      <c r="H967" t="inlineStr"/>
      <c r="I967" t="inlineStr"/>
      <c r="J967" t="inlineStr">
        <is>
          <t>1 200 000 000</t>
        </is>
      </c>
      <c r="K967" t="inlineStr"/>
      <c r="L967" t="inlineStr"/>
      <c r="M967" t="inlineStr">
        <is>
          <t>Нет у нас</t>
        </is>
      </c>
      <c r="N967" t="inlineStr"/>
      <c r="O967" t="inlineStr"/>
      <c r="P967" t="inlineStr"/>
      <c r="Q967">
        <f>HYPERLINK("https://knru.ru/catalog/lesnoe-zona/","ссылка")</f>
        <v/>
      </c>
      <c r="R967" t="inlineStr"/>
      <c r="S967" t="inlineStr"/>
    </row>
    <row r="968">
      <c r="A968" t="inlineStr">
        <is>
          <t>Не определен</t>
        </is>
      </c>
      <c r="B968" t="inlineStr">
        <is>
          <t>Лесной пр-кт, 75</t>
        </is>
      </c>
      <c r="C968" t="inlineStr">
        <is>
          <t>sale</t>
        </is>
      </c>
      <c r="D968" t="inlineStr"/>
      <c r="E968" t="inlineStr">
        <is>
          <t>Да</t>
        </is>
      </c>
      <c r="F968" t="inlineStr"/>
      <c r="G968" t="inlineStr"/>
      <c r="H968" t="inlineStr">
        <is>
          <t>484.5</t>
        </is>
      </c>
      <c r="I968" t="inlineStr"/>
      <c r="J968" t="inlineStr"/>
      <c r="K968" t="inlineStr">
        <is>
          <t>53 688 000</t>
        </is>
      </c>
      <c r="L968" t="inlineStr"/>
      <c r="M968" t="inlineStr"/>
      <c r="N968" t="inlineStr">
        <is>
          <t>Нет у нас</t>
        </is>
      </c>
      <c r="O968" t="inlineStr"/>
      <c r="P968" t="inlineStr"/>
      <c r="Q968" t="inlineStr"/>
      <c r="R968">
        <f>HYPERLINK("https://nordwestinvest.ru/real-estates/prodaza-2-x-etaznogo-pomeshheniia-na-liteinom-pr-te","ссылка")</f>
        <v/>
      </c>
      <c r="S968" t="inlineStr"/>
    </row>
    <row r="969">
      <c r="A969" t="inlineStr">
        <is>
          <t>Не определен</t>
        </is>
      </c>
      <c r="B969" t="inlineStr">
        <is>
          <t>Лиговский пр-кт, 127 А</t>
        </is>
      </c>
      <c r="C969" t="inlineStr">
        <is>
          <t>sale</t>
        </is>
      </c>
      <c r="D969" t="inlineStr"/>
      <c r="E969" t="inlineStr">
        <is>
          <t>Да</t>
        </is>
      </c>
      <c r="F969" t="inlineStr"/>
      <c r="G969" t="inlineStr"/>
      <c r="H969" t="inlineStr">
        <is>
          <t>785.2</t>
        </is>
      </c>
      <c r="I969" t="inlineStr"/>
      <c r="J969" t="inlineStr"/>
      <c r="K969" t="inlineStr">
        <is>
          <t>274 809 500</t>
        </is>
      </c>
      <c r="L969" t="inlineStr"/>
      <c r="M969" t="inlineStr"/>
      <c r="N969" t="inlineStr">
        <is>
          <t>Нет у нас</t>
        </is>
      </c>
      <c r="O969" t="inlineStr"/>
      <c r="P969" t="inlineStr"/>
      <c r="Q969" t="inlineStr"/>
      <c r="R969">
        <f>HYPERLINK("https://nordwestinvest.ru/real-estates/prodaza-1-liniia-ligovskii-prospekt-1","ссылка")</f>
        <v/>
      </c>
      <c r="S969" t="inlineStr"/>
    </row>
    <row r="970">
      <c r="A970" t="inlineStr">
        <is>
          <t>Не определен</t>
        </is>
      </c>
      <c r="B970" t="inlineStr">
        <is>
          <t>Лиговский пр-кт, 240литераАБ</t>
        </is>
      </c>
      <c r="C970" t="inlineStr">
        <is>
          <t>sale</t>
        </is>
      </c>
      <c r="D970" t="inlineStr"/>
      <c r="E970" t="inlineStr">
        <is>
          <t>Да</t>
        </is>
      </c>
      <c r="F970" t="inlineStr"/>
      <c r="G970" t="inlineStr"/>
      <c r="H970" t="inlineStr">
        <is>
          <t>100</t>
        </is>
      </c>
      <c r="I970" t="inlineStr"/>
      <c r="J970" t="inlineStr"/>
      <c r="K970" t="inlineStr">
        <is>
          <t>280 000</t>
        </is>
      </c>
      <c r="L970" t="inlineStr"/>
      <c r="M970" t="inlineStr"/>
      <c r="N970" t="inlineStr">
        <is>
          <t>Нет у нас</t>
        </is>
      </c>
      <c r="O970" t="inlineStr"/>
      <c r="P970" t="inlineStr"/>
      <c r="Q970" t="inlineStr"/>
      <c r="R970">
        <f>HYPERLINK("https://nordwestinvest.ru/real-estates/uglovoe-pomeshhenie-naprotiv-skoly-i-detsada-859m2-1","ссылка")</f>
        <v/>
      </c>
      <c r="S970" t="inlineStr"/>
    </row>
    <row r="971">
      <c r="A971" t="inlineStr">
        <is>
          <t>Не определен</t>
        </is>
      </c>
      <c r="B971" t="inlineStr">
        <is>
          <t>Лиговский пр-кт, 247 А</t>
        </is>
      </c>
      <c r="C971" t="inlineStr">
        <is>
          <t>sale</t>
        </is>
      </c>
      <c r="D971" t="inlineStr"/>
      <c r="E971" t="inlineStr">
        <is>
          <t>Да</t>
        </is>
      </c>
      <c r="F971" t="inlineStr"/>
      <c r="G971" t="inlineStr"/>
      <c r="H971" t="inlineStr">
        <is>
          <t>168</t>
        </is>
      </c>
      <c r="I971" t="inlineStr"/>
      <c r="J971" t="inlineStr"/>
      <c r="K971" t="inlineStr">
        <is>
          <t>47 900 000</t>
        </is>
      </c>
      <c r="L971" t="inlineStr"/>
      <c r="M971" t="inlineStr"/>
      <c r="N971" t="inlineStr">
        <is>
          <t>Нет у нас</t>
        </is>
      </c>
      <c r="O971" t="inlineStr"/>
      <c r="P971" t="inlineStr"/>
      <c r="Q971" t="inlineStr"/>
      <c r="R971">
        <f>HYPERLINK("https://nordwestinvest.ru/real-estates/prodaza-pomeshheniia-na-ligovskom-pr-te","ссылка")</f>
        <v/>
      </c>
      <c r="S971" t="inlineStr"/>
    </row>
    <row r="972">
      <c r="A972" t="inlineStr">
        <is>
          <t>Не определен</t>
        </is>
      </c>
      <c r="B972" t="inlineStr">
        <is>
          <t>Лиговский пр-кт, 46, 2</t>
        </is>
      </c>
      <c r="C972" t="inlineStr">
        <is>
          <t>sale</t>
        </is>
      </c>
      <c r="D972" t="inlineStr"/>
      <c r="E972" t="inlineStr">
        <is>
          <t>Да</t>
        </is>
      </c>
      <c r="F972" t="inlineStr"/>
      <c r="G972" t="inlineStr"/>
      <c r="H972" t="inlineStr">
        <is>
          <t>900</t>
        </is>
      </c>
      <c r="I972" t="inlineStr"/>
      <c r="J972" t="inlineStr"/>
      <c r="K972" t="inlineStr">
        <is>
          <t>90 000 000</t>
        </is>
      </c>
      <c r="L972" t="inlineStr"/>
      <c r="M972" t="inlineStr"/>
      <c r="N972" t="inlineStr">
        <is>
          <t>Нет у нас</t>
        </is>
      </c>
      <c r="O972" t="inlineStr"/>
      <c r="P972" t="inlineStr"/>
      <c r="Q972" t="inlineStr"/>
      <c r="R972">
        <f>HYPERLINK("https://nordwestinvest.ru/real-estates/pomeshhenie-s-setevym-arendatorom-900m","ссылка")</f>
        <v/>
      </c>
      <c r="S972" t="inlineStr"/>
    </row>
    <row r="973">
      <c r="A973" t="inlineStr">
        <is>
          <t>Не определен</t>
        </is>
      </c>
      <c r="B973" t="inlineStr">
        <is>
          <t>Лиговский пр-кт, 65 А</t>
        </is>
      </c>
      <c r="C973" t="inlineStr">
        <is>
          <t>sale</t>
        </is>
      </c>
      <c r="D973" t="inlineStr"/>
      <c r="E973" t="inlineStr">
        <is>
          <t>Да</t>
        </is>
      </c>
      <c r="F973" t="inlineStr"/>
      <c r="G973" t="inlineStr"/>
      <c r="H973" t="inlineStr">
        <is>
          <t>54.3</t>
        </is>
      </c>
      <c r="I973" t="inlineStr"/>
      <c r="J973" t="inlineStr"/>
      <c r="K973" t="inlineStr">
        <is>
          <t>50 000 000</t>
        </is>
      </c>
      <c r="L973" t="inlineStr"/>
      <c r="M973" t="inlineStr"/>
      <c r="N973" t="inlineStr">
        <is>
          <t>Нет у нас</t>
        </is>
      </c>
      <c r="O973" t="inlineStr"/>
      <c r="P973" t="inlineStr"/>
      <c r="Q973" t="inlineStr"/>
      <c r="R973">
        <f>HYPERLINK("https://nordwestinvest.ru/real-estates/prodaza-pomeshheniia-na-trafike-543m","ссылка")</f>
        <v/>
      </c>
      <c r="S973" t="inlineStr"/>
    </row>
    <row r="974">
      <c r="A974" t="inlineStr">
        <is>
          <t>Не определен</t>
        </is>
      </c>
      <c r="B974" t="inlineStr">
        <is>
          <t>Лидии Зверевой ул, 9к1стр1</t>
        </is>
      </c>
      <c r="C974" t="inlineStr">
        <is>
          <t>sale</t>
        </is>
      </c>
      <c r="D974" t="inlineStr"/>
      <c r="E974" t="inlineStr">
        <is>
          <t>Да</t>
        </is>
      </c>
      <c r="F974" t="inlineStr"/>
      <c r="G974" t="inlineStr"/>
      <c r="H974" t="inlineStr">
        <is>
          <t>80.1</t>
        </is>
      </c>
      <c r="I974" t="inlineStr"/>
      <c r="J974" t="inlineStr"/>
      <c r="K974" t="inlineStr">
        <is>
          <t>13 500 000</t>
        </is>
      </c>
      <c r="L974" t="inlineStr"/>
      <c r="M974" t="inlineStr"/>
      <c r="N974" t="inlineStr">
        <is>
          <t>Нет у нас</t>
        </is>
      </c>
      <c r="O974" t="inlineStr"/>
      <c r="P974" t="inlineStr"/>
      <c r="Q974" t="inlineStr"/>
      <c r="R974">
        <f>HYPERLINK("https://nordwestinvest.ru/real-estates/prodaza-80-m2-s-arendatorom","ссылка")</f>
        <v/>
      </c>
      <c r="S974" t="inlineStr"/>
    </row>
    <row r="975">
      <c r="A975" t="inlineStr">
        <is>
          <t>Не определен</t>
        </is>
      </c>
      <c r="B975" t="inlineStr">
        <is>
          <t>Луначарского пр-кт, 11 к2</t>
        </is>
      </c>
      <c r="C975" t="inlineStr">
        <is>
          <t>sale</t>
        </is>
      </c>
      <c r="D975" t="inlineStr"/>
      <c r="E975" t="inlineStr">
        <is>
          <t>Да</t>
        </is>
      </c>
      <c r="F975" t="inlineStr"/>
      <c r="G975" t="inlineStr"/>
      <c r="H975" t="inlineStr">
        <is>
          <t>982.6</t>
        </is>
      </c>
      <c r="I975" t="inlineStr"/>
      <c r="J975" t="inlineStr"/>
      <c r="K975" t="inlineStr">
        <is>
          <t>159 950 000</t>
        </is>
      </c>
      <c r="L975" t="inlineStr"/>
      <c r="M975" t="inlineStr"/>
      <c r="N975" t="inlineStr">
        <is>
          <t>Корпус/строение не совпало</t>
        </is>
      </c>
      <c r="O975" t="inlineStr"/>
      <c r="P975" t="inlineStr"/>
      <c r="Q975" t="inlineStr"/>
      <c r="R975">
        <f>HYPERLINK("https://nordwestinvest.ru/real-estates/prodaza-pomeshheniia-ploshhadiu-982-m2","ссылка")</f>
        <v/>
      </c>
      <c r="S975" t="inlineStr"/>
    </row>
    <row r="976">
      <c r="A976" t="inlineStr">
        <is>
          <t>Не определен</t>
        </is>
      </c>
      <c r="B976" t="inlineStr">
        <is>
          <t>Луначарского пр-кт, 52к1 А</t>
        </is>
      </c>
      <c r="C976" t="inlineStr">
        <is>
          <t>sale</t>
        </is>
      </c>
      <c r="D976" t="inlineStr"/>
      <c r="E976" t="inlineStr">
        <is>
          <t>Да</t>
        </is>
      </c>
      <c r="F976" t="inlineStr"/>
      <c r="G976" t="inlineStr"/>
      <c r="H976" t="inlineStr">
        <is>
          <t>332.5</t>
        </is>
      </c>
      <c r="I976" t="inlineStr"/>
      <c r="J976" t="inlineStr"/>
      <c r="K976" t="inlineStr">
        <is>
          <t>47 000 000</t>
        </is>
      </c>
      <c r="L976" t="inlineStr"/>
      <c r="M976" t="inlineStr"/>
      <c r="N976" t="inlineStr">
        <is>
          <t>Нет у нас</t>
        </is>
      </c>
      <c r="O976" t="inlineStr"/>
      <c r="P976" t="inlineStr"/>
      <c r="Q976" t="inlineStr"/>
      <c r="R976">
        <f>HYPERLINK("https://nordwestinvest.ru/real-estates/poisk-sobstvennika","ссылка")</f>
        <v/>
      </c>
      <c r="S976" t="inlineStr"/>
    </row>
    <row r="977">
      <c r="A977" t="inlineStr">
        <is>
          <t>Не определен</t>
        </is>
      </c>
      <c r="B977" t="inlineStr">
        <is>
          <t>Малый В.О. пр-кт, 15</t>
        </is>
      </c>
      <c r="C977" t="inlineStr">
        <is>
          <t>sale</t>
        </is>
      </c>
      <c r="D977" t="inlineStr"/>
      <c r="E977" t="inlineStr">
        <is>
          <t>Да</t>
        </is>
      </c>
      <c r="F977" t="inlineStr"/>
      <c r="G977" t="inlineStr"/>
      <c r="H977" t="inlineStr">
        <is>
          <t>61</t>
        </is>
      </c>
      <c r="I977" t="inlineStr"/>
      <c r="J977" t="inlineStr"/>
      <c r="K977" t="inlineStr">
        <is>
          <t>20 800 000</t>
        </is>
      </c>
      <c r="L977" t="inlineStr"/>
      <c r="M977" t="inlineStr"/>
      <c r="N977" t="inlineStr">
        <is>
          <t>Совпало</t>
        </is>
      </c>
      <c r="O977" t="inlineStr"/>
      <c r="P977" t="inlineStr"/>
      <c r="Q977" t="inlineStr"/>
      <c r="R977">
        <f>HYPERLINK("https://nordwestinvest.ru/real-estates/prodaza-kofeini-na-vasilevskom-ostrove-baggins","ссылка")</f>
        <v/>
      </c>
      <c r="S977" t="inlineStr"/>
    </row>
    <row r="978">
      <c r="A978" t="inlineStr">
        <is>
          <t>Не определен</t>
        </is>
      </c>
      <c r="B978" t="inlineStr">
        <is>
          <t>Малый В.О. пр-кт, 52стр1</t>
        </is>
      </c>
      <c r="C978" t="inlineStr">
        <is>
          <t>sale</t>
        </is>
      </c>
      <c r="D978" t="inlineStr"/>
      <c r="E978" t="inlineStr">
        <is>
          <t>Да</t>
        </is>
      </c>
      <c r="F978" t="inlineStr"/>
      <c r="G978" t="inlineStr"/>
      <c r="H978" t="inlineStr">
        <is>
          <t>59.9</t>
        </is>
      </c>
      <c r="I978" t="inlineStr"/>
      <c r="J978" t="inlineStr"/>
      <c r="K978" t="inlineStr">
        <is>
          <t>20 900 000</t>
        </is>
      </c>
      <c r="L978" t="inlineStr"/>
      <c r="M978" t="inlineStr"/>
      <c r="N978" t="inlineStr">
        <is>
          <t>Нет у нас</t>
        </is>
      </c>
      <c r="O978" t="inlineStr"/>
      <c r="P978" t="inlineStr"/>
      <c r="Q978" t="inlineStr"/>
      <c r="R978">
        <f>HYPERLINK("https://nordwestinvest.ru/real-estates/prodaza-psn-s-arendatorom-kofeinia-baggins","ссылка")</f>
        <v/>
      </c>
      <c r="S978" t="inlineStr"/>
    </row>
    <row r="979">
      <c r="A979" t="inlineStr">
        <is>
          <t>Не определен</t>
        </is>
      </c>
      <c r="B979" t="inlineStr">
        <is>
          <t>Малый В.О. пр-кт, 63/14</t>
        </is>
      </c>
      <c r="C979" t="inlineStr">
        <is>
          <t>sale</t>
        </is>
      </c>
      <c r="D979" t="inlineStr"/>
      <c r="E979" t="inlineStr">
        <is>
          <t>Да</t>
        </is>
      </c>
      <c r="F979" t="inlineStr"/>
      <c r="G979" t="inlineStr"/>
      <c r="H979" t="inlineStr">
        <is>
          <t>158.4</t>
        </is>
      </c>
      <c r="I979" t="inlineStr"/>
      <c r="J979" t="inlineStr"/>
      <c r="K979" t="inlineStr">
        <is>
          <t>38 000 000</t>
        </is>
      </c>
      <c r="L979" t="inlineStr"/>
      <c r="M979" t="inlineStr"/>
      <c r="N979" t="inlineStr">
        <is>
          <t>По адресу есть, но площадь другая</t>
        </is>
      </c>
      <c r="O979" t="inlineStr"/>
      <c r="P979" t="inlineStr"/>
      <c r="Q979" t="inlineStr"/>
      <c r="R979">
        <f>HYPERLINK("https://nordwestinvest.ru/real-estates/prodaza-pomeshheniia-v-novom-dome-1584-m2","ссылка")</f>
        <v/>
      </c>
      <c r="S979" t="inlineStr"/>
    </row>
    <row r="980">
      <c r="A980" t="inlineStr">
        <is>
          <t>Не определен</t>
        </is>
      </c>
      <c r="B980" t="inlineStr">
        <is>
          <t>Маршака пр-кт, 10</t>
        </is>
      </c>
      <c r="C980" t="inlineStr">
        <is>
          <t>sale</t>
        </is>
      </c>
      <c r="D980" t="inlineStr"/>
      <c r="E980" t="inlineStr">
        <is>
          <t>Да</t>
        </is>
      </c>
      <c r="F980" t="inlineStr"/>
      <c r="G980" t="inlineStr"/>
      <c r="H980" t="inlineStr">
        <is>
          <t>32.7</t>
        </is>
      </c>
      <c r="I980" t="inlineStr"/>
      <c r="J980" t="inlineStr"/>
      <c r="K980" t="inlineStr">
        <is>
          <t>21 700 000</t>
        </is>
      </c>
      <c r="L980" t="inlineStr"/>
      <c r="M980" t="inlineStr"/>
      <c r="N980" t="inlineStr">
        <is>
          <t>Нет у нас</t>
        </is>
      </c>
      <c r="O980" t="inlineStr"/>
      <c r="P980" t="inlineStr"/>
      <c r="Q980" t="inlineStr"/>
      <c r="R980">
        <f>HYPERLINK("https://nordwestinvest.ru/real-estates/prodaza-32m2-v-tc-s-arendatorami","ссылка")</f>
        <v/>
      </c>
      <c r="S980" t="inlineStr"/>
    </row>
    <row r="981">
      <c r="A981" t="inlineStr">
        <is>
          <t>Не определен</t>
        </is>
      </c>
      <c r="B981" t="inlineStr">
        <is>
          <t>Маршала Жукова пр-кт, 28к1</t>
        </is>
      </c>
      <c r="C981" t="inlineStr">
        <is>
          <t>sale</t>
        </is>
      </c>
      <c r="D981" t="inlineStr"/>
      <c r="E981" t="inlineStr">
        <is>
          <t>Да</t>
        </is>
      </c>
      <c r="F981" t="inlineStr"/>
      <c r="G981" t="inlineStr"/>
      <c r="H981" t="inlineStr">
        <is>
          <t>72.5</t>
        </is>
      </c>
      <c r="I981" t="inlineStr"/>
      <c r="J981" t="inlineStr"/>
      <c r="K981" t="inlineStr">
        <is>
          <t>36 500 000</t>
        </is>
      </c>
      <c r="L981" t="inlineStr"/>
      <c r="M981" t="inlineStr"/>
      <c r="N981" t="inlineStr">
        <is>
          <t>Нет у нас</t>
        </is>
      </c>
      <c r="O981" t="inlineStr"/>
      <c r="P981" t="inlineStr"/>
      <c r="Q981" t="inlineStr"/>
      <c r="R981">
        <f>HYPERLINK("https://nordwestinvest.ru/real-estates/prodaza-pomeshheniia-c-setevoi-pekarnei-s-nds-1","ссылка")</f>
        <v/>
      </c>
      <c r="S981" t="inlineStr"/>
    </row>
    <row r="982">
      <c r="A982" t="inlineStr">
        <is>
          <t>Не определен</t>
        </is>
      </c>
      <c r="B982" t="inlineStr">
        <is>
          <t>Марьино тер</t>
        </is>
      </c>
      <c r="C982" t="inlineStr">
        <is>
          <t>sale</t>
        </is>
      </c>
      <c r="D982" t="inlineStr">
        <is>
          <t>Да</t>
        </is>
      </c>
      <c r="E982" t="inlineStr"/>
      <c r="F982" t="inlineStr"/>
      <c r="G982" t="inlineStr">
        <is>
          <t>13700</t>
        </is>
      </c>
      <c r="H982" t="inlineStr"/>
      <c r="I982" t="inlineStr"/>
      <c r="J982" t="inlineStr">
        <is>
          <t>42 000 000</t>
        </is>
      </c>
      <c r="K982" t="inlineStr"/>
      <c r="L982" t="inlineStr"/>
      <c r="M982" t="inlineStr">
        <is>
          <t>Нет у нас</t>
        </is>
      </c>
      <c r="N982" t="inlineStr"/>
      <c r="O982" t="inlineStr"/>
      <c r="P982" t="inlineStr"/>
      <c r="Q982">
        <f>HYPERLINK("https://knru.ru/catalog/marino-ter/","ссылка")</f>
        <v/>
      </c>
      <c r="R982" t="inlineStr"/>
      <c r="S982" t="inlineStr"/>
    </row>
    <row r="983">
      <c r="A983" t="inlineStr">
        <is>
          <t>Не определен</t>
        </is>
      </c>
      <c r="B983" t="inlineStr">
        <is>
          <t>Марьино тер</t>
        </is>
      </c>
      <c r="C983" t="inlineStr">
        <is>
          <t>sale</t>
        </is>
      </c>
      <c r="D983" t="inlineStr">
        <is>
          <t>Да</t>
        </is>
      </c>
      <c r="E983" t="inlineStr"/>
      <c r="F983" t="inlineStr"/>
      <c r="G983" t="inlineStr">
        <is>
          <t>19900</t>
        </is>
      </c>
      <c r="H983" t="inlineStr"/>
      <c r="I983" t="inlineStr"/>
      <c r="J983" t="inlineStr">
        <is>
          <t>59 700 000</t>
        </is>
      </c>
      <c r="K983" t="inlineStr"/>
      <c r="L983" t="inlineStr"/>
      <c r="M983" t="inlineStr">
        <is>
          <t>Нет у нас</t>
        </is>
      </c>
      <c r="N983" t="inlineStr"/>
      <c r="O983" t="inlineStr"/>
      <c r="P983" t="inlineStr"/>
      <c r="Q983">
        <f>HYPERLINK("https://knru.ru/catalog/marino-ter-553356/","ссылка")</f>
        <v/>
      </c>
      <c r="R983" t="inlineStr"/>
      <c r="S983" t="inlineStr"/>
    </row>
    <row r="984">
      <c r="A984" t="inlineStr">
        <is>
          <t>Не определен</t>
        </is>
      </c>
      <c r="B984" t="inlineStr">
        <is>
          <t>Металлистов пр-кт</t>
        </is>
      </c>
      <c r="C984" t="inlineStr">
        <is>
          <t>sale</t>
        </is>
      </c>
      <c r="D984" t="inlineStr">
        <is>
          <t>Да</t>
        </is>
      </c>
      <c r="E984" t="inlineStr"/>
      <c r="F984" t="inlineStr"/>
      <c r="G984" t="inlineStr">
        <is>
          <t>6000</t>
        </is>
      </c>
      <c r="H984" t="inlineStr"/>
      <c r="I984" t="inlineStr"/>
      <c r="J984" t="inlineStr">
        <is>
          <t>230 000 000</t>
        </is>
      </c>
      <c r="K984" t="inlineStr"/>
      <c r="L984" t="inlineStr"/>
      <c r="M984" t="inlineStr">
        <is>
          <t>Нет у нас</t>
        </is>
      </c>
      <c r="N984" t="inlineStr"/>
      <c r="O984" t="inlineStr"/>
      <c r="P984" t="inlineStr"/>
      <c r="Q984">
        <f>HYPERLINK("https://knru.ru/catalog/metallistov-pr-kt/","ссылка")</f>
        <v/>
      </c>
      <c r="R984" t="inlineStr"/>
      <c r="S984" t="inlineStr"/>
    </row>
    <row r="985">
      <c r="A985" t="inlineStr">
        <is>
          <t>Не определен</t>
        </is>
      </c>
      <c r="B985" t="inlineStr">
        <is>
          <t>Михаила Дудина, 15к1</t>
        </is>
      </c>
      <c r="C985" t="inlineStr">
        <is>
          <t>sale</t>
        </is>
      </c>
      <c r="D985" t="inlineStr"/>
      <c r="E985" t="inlineStr">
        <is>
          <t>Да</t>
        </is>
      </c>
      <c r="F985" t="inlineStr"/>
      <c r="G985" t="inlineStr"/>
      <c r="H985" t="inlineStr">
        <is>
          <t>2900</t>
        </is>
      </c>
      <c r="I985" t="inlineStr"/>
      <c r="J985" t="inlineStr"/>
      <c r="K985" t="inlineStr">
        <is>
          <t>3 000 000 000</t>
        </is>
      </c>
      <c r="L985" t="inlineStr"/>
      <c r="M985" t="inlineStr"/>
      <c r="N985" t="inlineStr">
        <is>
          <t>По адресу есть, но площадь другая</t>
        </is>
      </c>
      <c r="O985" t="inlineStr"/>
      <c r="P985" t="inlineStr"/>
      <c r="Q985" t="inlineStr"/>
      <c r="R985">
        <f>HYPERLINK("https://nordwestinvest.ru/real-estates/prodaza-zemelnogo-ucastka-pod-stroitelstvo","ссылка")</f>
        <v/>
      </c>
      <c r="S985" t="inlineStr"/>
    </row>
    <row r="986">
      <c r="A986" t="inlineStr">
        <is>
          <t>Не определен</t>
        </is>
      </c>
      <c r="B986" t="inlineStr">
        <is>
          <t>Москва г, Перовский проезд, 54</t>
        </is>
      </c>
      <c r="C986" t="inlineStr">
        <is>
          <t>sale</t>
        </is>
      </c>
      <c r="D986" t="inlineStr"/>
      <c r="E986" t="inlineStr">
        <is>
          <t>Да</t>
        </is>
      </c>
      <c r="F986" t="inlineStr"/>
      <c r="G986" t="inlineStr"/>
      <c r="H986" t="inlineStr">
        <is>
          <t>34564</t>
        </is>
      </c>
      <c r="I986" t="inlineStr"/>
      <c r="J986" t="inlineStr"/>
      <c r="K986" t="inlineStr">
        <is>
          <t>900 000 000</t>
        </is>
      </c>
      <c r="L986" t="inlineStr"/>
      <c r="M986" t="inlineStr"/>
      <c r="N986" t="inlineStr">
        <is>
          <t>Нет у нас</t>
        </is>
      </c>
      <c r="O986" t="inlineStr"/>
      <c r="P986" t="inlineStr"/>
      <c r="Q986" t="inlineStr"/>
      <c r="R986">
        <f>HYPERLINK("https://nordwestinvest.ru/real-estates/g-moskva","ссылка")</f>
        <v/>
      </c>
      <c r="S986" t="inlineStr"/>
    </row>
    <row r="987">
      <c r="A987" t="inlineStr">
        <is>
          <t>Не определен</t>
        </is>
      </c>
      <c r="B987" t="inlineStr">
        <is>
          <t>Московская обл, Голицыно г, Коммунистический пр-кт, -</t>
        </is>
      </c>
      <c r="C987" t="inlineStr">
        <is>
          <t>sale</t>
        </is>
      </c>
      <c r="D987" t="inlineStr"/>
      <c r="E987" t="inlineStr">
        <is>
          <t>Да</t>
        </is>
      </c>
      <c r="F987" t="inlineStr"/>
      <c r="G987" t="inlineStr"/>
      <c r="H987" t="inlineStr">
        <is>
          <t>4460</t>
        </is>
      </c>
      <c r="I987" t="inlineStr"/>
      <c r="J987" t="inlineStr"/>
      <c r="K987" t="inlineStr">
        <is>
          <t>12 000 000</t>
        </is>
      </c>
      <c r="L987" t="inlineStr"/>
      <c r="M987" t="inlineStr"/>
      <c r="N987" t="inlineStr">
        <is>
          <t>Нет у нас</t>
        </is>
      </c>
      <c r="O987" t="inlineStr"/>
      <c r="P987" t="inlineStr"/>
      <c r="Q987" t="inlineStr"/>
      <c r="R987">
        <f>HYPERLINK("https://nordwestinvest.ru/real-estates/prodaza-zemelnogo-ucastka-s-magnit-v-dgolicyno","ссылка")</f>
        <v/>
      </c>
      <c r="S987" t="inlineStr"/>
    </row>
    <row r="988">
      <c r="A988" t="inlineStr">
        <is>
          <t>Не определен</t>
        </is>
      </c>
      <c r="B988" t="inlineStr">
        <is>
          <t>Московская обл, Подольск г, Большая Серпуховская ул, 19</t>
        </is>
      </c>
      <c r="C988" t="inlineStr">
        <is>
          <t>sale</t>
        </is>
      </c>
      <c r="D988" t="inlineStr"/>
      <c r="E988" t="inlineStr">
        <is>
          <t>Да</t>
        </is>
      </c>
      <c r="F988" t="inlineStr"/>
      <c r="G988" t="inlineStr"/>
      <c r="H988" t="inlineStr">
        <is>
          <t>6345</t>
        </is>
      </c>
      <c r="I988" t="inlineStr"/>
      <c r="J988" t="inlineStr"/>
      <c r="K988" t="inlineStr">
        <is>
          <t>1 480 906 200</t>
        </is>
      </c>
      <c r="L988" t="inlineStr"/>
      <c r="M988" t="inlineStr"/>
      <c r="N988" t="inlineStr">
        <is>
          <t>Нет у нас</t>
        </is>
      </c>
      <c r="O988" t="inlineStr"/>
      <c r="P988" t="inlineStr"/>
      <c r="Q988" t="inlineStr"/>
      <c r="R988">
        <f>HYPERLINK("https://nordwestinvest.ru/real-estates/prodaza-tc-v-g-podolsk","ссылка")</f>
        <v/>
      </c>
      <c r="S988" t="inlineStr"/>
    </row>
    <row r="989">
      <c r="A989" t="inlineStr">
        <is>
          <t>Не определен</t>
        </is>
      </c>
      <c r="B989" t="inlineStr">
        <is>
          <t>Муринская дор, 4к1</t>
        </is>
      </c>
      <c r="C989" t="inlineStr">
        <is>
          <t>sale</t>
        </is>
      </c>
      <c r="D989" t="inlineStr"/>
      <c r="E989" t="inlineStr">
        <is>
          <t>Да</t>
        </is>
      </c>
      <c r="F989" t="inlineStr"/>
      <c r="G989" t="inlineStr"/>
      <c r="H989" t="inlineStr">
        <is>
          <t>229</t>
        </is>
      </c>
      <c r="I989" t="inlineStr"/>
      <c r="J989" t="inlineStr"/>
      <c r="K989" t="inlineStr">
        <is>
          <t>92 500 000</t>
        </is>
      </c>
      <c r="L989" t="inlineStr"/>
      <c r="M989" t="inlineStr"/>
      <c r="N989" t="inlineStr">
        <is>
          <t>Нет у нас</t>
        </is>
      </c>
      <c r="O989" t="inlineStr"/>
      <c r="P989" t="inlineStr"/>
      <c r="Q989" t="inlineStr"/>
      <c r="R989">
        <f>HYPERLINK("https://nordwestinvest.ru/real-estates/pomeshhenie-s-magnitom-i-pvz-wb-v-novom-zk","ссылка")</f>
        <v/>
      </c>
      <c r="S989" t="inlineStr"/>
    </row>
    <row r="990">
      <c r="A990" t="inlineStr">
        <is>
          <t>Не определен</t>
        </is>
      </c>
      <c r="B990" t="inlineStr">
        <is>
          <t>Мурманское шоссе 12-й км, 2А</t>
        </is>
      </c>
      <c r="C990" t="inlineStr">
        <is>
          <t>sale</t>
        </is>
      </c>
      <c r="D990" t="inlineStr">
        <is>
          <t>Да</t>
        </is>
      </c>
      <c r="E990" t="inlineStr"/>
      <c r="F990" t="inlineStr"/>
      <c r="G990" t="inlineStr">
        <is>
          <t>2880</t>
        </is>
      </c>
      <c r="H990" t="inlineStr"/>
      <c r="I990" t="inlineStr"/>
      <c r="J990" t="inlineStr">
        <is>
          <t>285 120 000</t>
        </is>
      </c>
      <c r="K990" t="inlineStr"/>
      <c r="L990" t="inlineStr"/>
      <c r="M990" t="inlineStr">
        <is>
          <t>Нет у нас</t>
        </is>
      </c>
      <c r="N990" t="inlineStr"/>
      <c r="O990" t="inlineStr"/>
      <c r="P990" t="inlineStr"/>
      <c r="Q990">
        <f>HYPERLINK("https://knru.ru/catalog/murmanskoe-shosse-12-y-km-2a-102148619/","ссылка")</f>
        <v/>
      </c>
      <c r="R990" t="inlineStr"/>
      <c r="S990" t="inlineStr"/>
    </row>
    <row r="991">
      <c r="A991" t="inlineStr">
        <is>
          <t>Не определен</t>
        </is>
      </c>
      <c r="B991" t="inlineStr">
        <is>
          <t>Мурманское шоссе 12-й км, 2А</t>
        </is>
      </c>
      <c r="C991" t="inlineStr">
        <is>
          <t>sale</t>
        </is>
      </c>
      <c r="D991" t="inlineStr">
        <is>
          <t>Да</t>
        </is>
      </c>
      <c r="E991" t="inlineStr"/>
      <c r="F991" t="inlineStr"/>
      <c r="G991" t="inlineStr">
        <is>
          <t>1440</t>
        </is>
      </c>
      <c r="H991" t="inlineStr"/>
      <c r="I991" t="inlineStr"/>
      <c r="J991" t="inlineStr">
        <is>
          <t>142 560 000</t>
        </is>
      </c>
      <c r="K991" t="inlineStr"/>
      <c r="L991" t="inlineStr"/>
      <c r="M991" t="inlineStr">
        <is>
          <t>Нет у нас</t>
        </is>
      </c>
      <c r="N991" t="inlineStr"/>
      <c r="O991" t="inlineStr"/>
      <c r="P991" t="inlineStr"/>
      <c r="Q991">
        <f>HYPERLINK("https://knru.ru/catalog/murmanskoe-shosse-12-y-km-2a-770059651/","ссылка")</f>
        <v/>
      </c>
      <c r="R991" t="inlineStr"/>
      <c r="S991" t="inlineStr"/>
    </row>
    <row r="992">
      <c r="A992" t="inlineStr">
        <is>
          <t>Не определен</t>
        </is>
      </c>
      <c r="B992" t="inlineStr">
        <is>
          <t>Мурманское шоссе, 12-й километр, с1</t>
        </is>
      </c>
      <c r="C992" t="inlineStr">
        <is>
          <t>sale</t>
        </is>
      </c>
      <c r="D992" t="inlineStr">
        <is>
          <t>Да</t>
        </is>
      </c>
      <c r="E992" t="inlineStr"/>
      <c r="F992" t="inlineStr"/>
      <c r="G992" t="inlineStr">
        <is>
          <t>1404</t>
        </is>
      </c>
      <c r="H992" t="inlineStr"/>
      <c r="I992" t="inlineStr"/>
      <c r="J992" t="inlineStr">
        <is>
          <t>140 000</t>
        </is>
      </c>
      <c r="K992" t="inlineStr"/>
      <c r="L992" t="inlineStr"/>
      <c r="M992" t="inlineStr">
        <is>
          <t>Нет у нас</t>
        </is>
      </c>
      <c r="N992" t="inlineStr"/>
      <c r="O992" t="inlineStr"/>
      <c r="P992" t="inlineStr"/>
      <c r="Q992">
        <f>HYPERLINK("https://knru.ru/catalog/murmanskoe-shosse-12-y-kilometr-s1/","ссылка")</f>
        <v/>
      </c>
      <c r="R992" t="inlineStr"/>
      <c r="S992" t="inlineStr"/>
    </row>
    <row r="993">
      <c r="A993" t="inlineStr">
        <is>
          <t>Не определен</t>
        </is>
      </c>
      <c r="B993" t="inlineStr">
        <is>
          <t>Народного Ополчения пр-кт, 229 А</t>
        </is>
      </c>
      <c r="C993" t="inlineStr">
        <is>
          <t>sale</t>
        </is>
      </c>
      <c r="D993" t="inlineStr">
        <is>
          <t>Да</t>
        </is>
      </c>
      <c r="E993" t="inlineStr"/>
      <c r="F993" t="inlineStr"/>
      <c r="G993" t="inlineStr">
        <is>
          <t>570000</t>
        </is>
      </c>
      <c r="H993" t="inlineStr"/>
      <c r="I993" t="inlineStr"/>
      <c r="J993" t="inlineStr">
        <is>
          <t>47 000 000</t>
        </is>
      </c>
      <c r="K993" t="inlineStr"/>
      <c r="L993" t="inlineStr"/>
      <c r="M993" t="inlineStr">
        <is>
          <t>Нет у нас</t>
        </is>
      </c>
      <c r="N993" t="inlineStr"/>
      <c r="O993" t="inlineStr"/>
      <c r="P993" t="inlineStr"/>
      <c r="Q993">
        <f>HYPERLINK("https://knru.ru/catalog/narodnogo-opolcheniya-pr-kt-229-a/","ссылка")</f>
        <v/>
      </c>
      <c r="R993" t="inlineStr"/>
      <c r="S993" t="inlineStr"/>
    </row>
    <row r="994">
      <c r="A994" t="inlineStr">
        <is>
          <t>Не определен</t>
        </is>
      </c>
      <c r="B994" t="inlineStr">
        <is>
          <t>Народного Ополчения пр-кт, 9</t>
        </is>
      </c>
      <c r="C994" t="inlineStr">
        <is>
          <t>sale</t>
        </is>
      </c>
      <c r="D994" t="inlineStr"/>
      <c r="E994" t="inlineStr">
        <is>
          <t>Да</t>
        </is>
      </c>
      <c r="F994" t="inlineStr"/>
      <c r="G994" t="inlineStr"/>
      <c r="H994" t="inlineStr">
        <is>
          <t>1302</t>
        </is>
      </c>
      <c r="I994" t="inlineStr"/>
      <c r="J994" t="inlineStr"/>
      <c r="K994" t="inlineStr">
        <is>
          <t>19 000 000</t>
        </is>
      </c>
      <c r="L994" t="inlineStr"/>
      <c r="M994" t="inlineStr"/>
      <c r="N994" t="inlineStr">
        <is>
          <t>Нет у нас</t>
        </is>
      </c>
      <c r="O994" t="inlineStr"/>
      <c r="P994" t="inlineStr"/>
      <c r="Q994" t="inlineStr"/>
      <c r="R994">
        <f>HYPERLINK("https://nordwestinvest.ru/real-estates/prodaza-zu-pod-stroitelstvo-magazina","ссылка")</f>
        <v/>
      </c>
      <c r="S994" t="inlineStr"/>
    </row>
    <row r="995">
      <c r="A995" t="inlineStr">
        <is>
          <t>Не определен</t>
        </is>
      </c>
      <c r="B995" t="inlineStr">
        <is>
          <t>Наставников пр-кт, 25к1 А</t>
        </is>
      </c>
      <c r="C995" t="inlineStr">
        <is>
          <t>sale</t>
        </is>
      </c>
      <c r="D995" t="inlineStr"/>
      <c r="E995" t="inlineStr">
        <is>
          <t>Да</t>
        </is>
      </c>
      <c r="F995" t="inlineStr"/>
      <c r="G995" t="inlineStr"/>
      <c r="H995" t="inlineStr">
        <is>
          <t>50</t>
        </is>
      </c>
      <c r="I995" t="inlineStr"/>
      <c r="J995" t="inlineStr"/>
      <c r="K995" t="inlineStr">
        <is>
          <t>18 500 000</t>
        </is>
      </c>
      <c r="L995" t="inlineStr"/>
      <c r="M995" t="inlineStr"/>
      <c r="N995" t="inlineStr">
        <is>
          <t>Нет у нас</t>
        </is>
      </c>
      <c r="O995" t="inlineStr"/>
      <c r="P995" t="inlineStr"/>
      <c r="Q995" t="inlineStr"/>
      <c r="R995">
        <f>HYPERLINK("https://nordwestinvest.ru/real-estates/prodaza-pomeshheniia-na-xorosem-trafike-s-arendatorom","ссылка")</f>
        <v/>
      </c>
      <c r="S995" t="inlineStr"/>
    </row>
    <row r="996">
      <c r="A996" t="inlineStr">
        <is>
          <t>Не определен</t>
        </is>
      </c>
      <c r="B996" t="inlineStr">
        <is>
          <t>Науки пр-кт, 47к2 А</t>
        </is>
      </c>
      <c r="C996" t="inlineStr">
        <is>
          <t>sale</t>
        </is>
      </c>
      <c r="D996" t="inlineStr"/>
      <c r="E996" t="inlineStr">
        <is>
          <t>Да</t>
        </is>
      </c>
      <c r="F996" t="inlineStr"/>
      <c r="G996" t="inlineStr"/>
      <c r="H996" t="inlineStr">
        <is>
          <t>549</t>
        </is>
      </c>
      <c r="I996" t="inlineStr"/>
      <c r="J996" t="inlineStr"/>
      <c r="K996" t="inlineStr">
        <is>
          <t>97 900 000</t>
        </is>
      </c>
      <c r="L996" t="inlineStr"/>
      <c r="M996" t="inlineStr"/>
      <c r="N996" t="inlineStr">
        <is>
          <t>Нет у нас</t>
        </is>
      </c>
      <c r="O996" t="inlineStr"/>
      <c r="P996" t="inlineStr"/>
      <c r="Q996" t="inlineStr"/>
      <c r="R996">
        <f>HYPERLINK("https://nordwestinvest.ru/real-estates/prodaza-549-m2-s-remontom","ссылка")</f>
        <v/>
      </c>
      <c r="S996" t="inlineStr"/>
    </row>
    <row r="997">
      <c r="A997" t="inlineStr">
        <is>
          <t>Не определен</t>
        </is>
      </c>
      <c r="B997" t="inlineStr">
        <is>
          <t>Невский 48 Пассаж</t>
        </is>
      </c>
      <c r="C997" t="inlineStr">
        <is>
          <t>rent</t>
        </is>
      </c>
      <c r="D997" t="inlineStr"/>
      <c r="E997" t="inlineStr"/>
      <c r="F997" t="inlineStr">
        <is>
          <t>Да</t>
        </is>
      </c>
      <c r="G997" t="inlineStr"/>
      <c r="H997" t="inlineStr"/>
      <c r="I997" t="inlineStr">
        <is>
          <t>100</t>
        </is>
      </c>
      <c r="J997" t="inlineStr"/>
      <c r="K997" t="inlineStr"/>
      <c r="L997" t="inlineStr"/>
      <c r="M997" t="inlineStr"/>
      <c r="N997" t="inlineStr"/>
      <c r="O997" t="inlineStr">
        <is>
          <t>Нет у нас</t>
        </is>
      </c>
      <c r="P997" t="inlineStr"/>
      <c r="Q997" t="inlineStr"/>
      <c r="R997" t="inlineStr"/>
      <c r="S997">
        <f>HYPERLINK("https://rest2rent.yucrm.ru/s/n6pn6tx1","ссылка")</f>
        <v/>
      </c>
    </row>
    <row r="998">
      <c r="A998" t="inlineStr">
        <is>
          <t>Не определен</t>
        </is>
      </c>
      <c r="B998" t="inlineStr">
        <is>
          <t>Невский пр-кт, 132 А</t>
        </is>
      </c>
      <c r="C998" t="inlineStr">
        <is>
          <t>sale</t>
        </is>
      </c>
      <c r="D998" t="inlineStr"/>
      <c r="E998" t="inlineStr">
        <is>
          <t>Да</t>
        </is>
      </c>
      <c r="F998" t="inlineStr"/>
      <c r="G998" t="inlineStr"/>
      <c r="H998" t="inlineStr">
        <is>
          <t>322</t>
        </is>
      </c>
      <c r="I998" t="inlineStr"/>
      <c r="J998" t="inlineStr"/>
      <c r="K998" t="inlineStr">
        <is>
          <t>139 900 000</t>
        </is>
      </c>
      <c r="L998" t="inlineStr"/>
      <c r="M998" t="inlineStr"/>
      <c r="N998" t="inlineStr">
        <is>
          <t>Нет у нас</t>
        </is>
      </c>
      <c r="O998" t="inlineStr"/>
      <c r="P998" t="inlineStr"/>
      <c r="Q998" t="inlineStr"/>
      <c r="R998">
        <f>HYPERLINK("https://nordwestinvest.ru/real-estates/prodaza-322-m2-na-nevskom-s-arendatorom","ссылка")</f>
        <v/>
      </c>
      <c r="S998" t="inlineStr"/>
    </row>
    <row r="999">
      <c r="A999" t="inlineStr">
        <is>
          <t>Не определен</t>
        </is>
      </c>
      <c r="B999" t="inlineStr">
        <is>
          <t>Невский пр-кт, 180/2 А</t>
        </is>
      </c>
      <c r="C999" t="inlineStr">
        <is>
          <t>sale</t>
        </is>
      </c>
      <c r="D999" t="inlineStr"/>
      <c r="E999" t="inlineStr">
        <is>
          <t>Да</t>
        </is>
      </c>
      <c r="F999" t="inlineStr"/>
      <c r="G999" t="inlineStr"/>
      <c r="H999" t="inlineStr">
        <is>
          <t>110</t>
        </is>
      </c>
      <c r="I999" t="inlineStr"/>
      <c r="J999" t="inlineStr"/>
      <c r="K999" t="inlineStr">
        <is>
          <t>50 490 000</t>
        </is>
      </c>
      <c r="L999" t="inlineStr"/>
      <c r="M999" t="inlineStr"/>
      <c r="N999" t="inlineStr">
        <is>
          <t>Нет у нас</t>
        </is>
      </c>
      <c r="O999" t="inlineStr"/>
      <c r="P999" t="inlineStr"/>
      <c r="Q999" t="inlineStr"/>
      <c r="R999">
        <f>HYPERLINK("https://nordwestinvest.ru/real-estates/prodaza-pomeshheniia-na-nevskom-pr-te-u-metro","ссылка")</f>
        <v/>
      </c>
      <c r="S999" t="inlineStr"/>
    </row>
    <row r="1000">
      <c r="A1000" t="inlineStr">
        <is>
          <t>Не определен</t>
        </is>
      </c>
      <c r="B1000" t="inlineStr">
        <is>
          <t>Нижегородская обл, Нижний Новгород г, Левобережная ул, 1</t>
        </is>
      </c>
      <c r="C1000" t="inlineStr">
        <is>
          <t>sale</t>
        </is>
      </c>
      <c r="D1000" t="inlineStr"/>
      <c r="E1000" t="inlineStr">
        <is>
          <t>Да</t>
        </is>
      </c>
      <c r="F1000" t="inlineStr"/>
      <c r="G1000" t="inlineStr"/>
      <c r="H1000" t="inlineStr">
        <is>
          <t>46000</t>
        </is>
      </c>
      <c r="I1000" t="inlineStr"/>
      <c r="J1000" t="inlineStr"/>
      <c r="K1000" t="inlineStr">
        <is>
          <t>7 526 000 200</t>
        </is>
      </c>
      <c r="L1000" t="inlineStr"/>
      <c r="M1000" t="inlineStr"/>
      <c r="N1000" t="inlineStr">
        <is>
          <t>Нет у нас</t>
        </is>
      </c>
      <c r="O1000" t="inlineStr"/>
      <c r="P1000" t="inlineStr"/>
      <c r="Q1000" t="inlineStr"/>
      <c r="R1000">
        <f>HYPERLINK("https://nordwestinvest.ru/real-estates/niznii-novgorod","ссылка")</f>
        <v/>
      </c>
      <c r="S1000" t="inlineStr"/>
    </row>
    <row r="1001">
      <c r="A1001" t="inlineStr">
        <is>
          <t>Не определен</t>
        </is>
      </c>
      <c r="B1001" t="inlineStr">
        <is>
          <t>Ново-кировское шоссе, -</t>
        </is>
      </c>
      <c r="C1001" t="inlineStr">
        <is>
          <t>sale</t>
        </is>
      </c>
      <c r="D1001" t="inlineStr"/>
      <c r="E1001" t="inlineStr">
        <is>
          <t>Да</t>
        </is>
      </c>
      <c r="F1001" t="inlineStr"/>
      <c r="G1001" t="inlineStr"/>
      <c r="H1001" t="inlineStr">
        <is>
          <t>20000</t>
        </is>
      </c>
      <c r="I1001" t="inlineStr"/>
      <c r="J1001" t="inlineStr"/>
      <c r="K1001" t="inlineStr">
        <is>
          <t>100 000 000</t>
        </is>
      </c>
      <c r="L1001" t="inlineStr"/>
      <c r="M1001" t="inlineStr"/>
      <c r="N1001" t="inlineStr">
        <is>
          <t>Нет у нас</t>
        </is>
      </c>
      <c r="O1001" t="inlineStr"/>
      <c r="P1001" t="inlineStr"/>
      <c r="Q1001" t="inlineStr"/>
      <c r="R1001">
        <f>HYPERLINK("https://nordwestinvest.ru/real-estates/prodaza-vydelennyx-2-ga-promnaznaceniia","ссылка")</f>
        <v/>
      </c>
      <c r="S1001" t="inlineStr"/>
    </row>
    <row r="1002">
      <c r="A1002" t="inlineStr">
        <is>
          <t>Не определен</t>
        </is>
      </c>
      <c r="B1002" t="inlineStr">
        <is>
          <t>Новосаратовка дер.</t>
        </is>
      </c>
      <c r="C1002" t="inlineStr">
        <is>
          <t>sale</t>
        </is>
      </c>
      <c r="D1002" t="inlineStr">
        <is>
          <t>Да</t>
        </is>
      </c>
      <c r="E1002" t="inlineStr"/>
      <c r="F1002" t="inlineStr"/>
      <c r="G1002" t="inlineStr">
        <is>
          <t>128.8</t>
        </is>
      </c>
      <c r="H1002" t="inlineStr"/>
      <c r="I1002" t="inlineStr"/>
      <c r="J1002" t="inlineStr">
        <is>
          <t>27 611 227</t>
        </is>
      </c>
      <c r="K1002" t="inlineStr"/>
      <c r="L1002" t="inlineStr"/>
      <c r="M1002" t="inlineStr">
        <is>
          <t>Нет у нас</t>
        </is>
      </c>
      <c r="N1002" t="inlineStr"/>
      <c r="O1002" t="inlineStr"/>
      <c r="P1002" t="inlineStr"/>
      <c r="Q1002">
        <f>HYPERLINK("https://knru.ru/catalog/novosaratovka-der-2007276624/","ссылка")</f>
        <v/>
      </c>
      <c r="R1002" t="inlineStr"/>
      <c r="S1002" t="inlineStr"/>
    </row>
    <row r="1003">
      <c r="A1003" t="inlineStr">
        <is>
          <t>Не определен</t>
        </is>
      </c>
      <c r="B1003" t="inlineStr">
        <is>
          <t>Новосаратовка дер.</t>
        </is>
      </c>
      <c r="C1003" t="inlineStr">
        <is>
          <t>sale</t>
        </is>
      </c>
      <c r="D1003" t="inlineStr">
        <is>
          <t>Да</t>
        </is>
      </c>
      <c r="E1003" t="inlineStr"/>
      <c r="F1003" t="inlineStr"/>
      <c r="G1003" t="inlineStr">
        <is>
          <t>220.1</t>
        </is>
      </c>
      <c r="H1003" t="inlineStr"/>
      <c r="I1003" t="inlineStr"/>
      <c r="J1003" t="inlineStr">
        <is>
          <t>46 407 726</t>
        </is>
      </c>
      <c r="K1003" t="inlineStr"/>
      <c r="L1003" t="inlineStr"/>
      <c r="M1003" t="inlineStr">
        <is>
          <t>Нет у нас</t>
        </is>
      </c>
      <c r="N1003" t="inlineStr"/>
      <c r="O1003" t="inlineStr"/>
      <c r="P1003" t="inlineStr"/>
      <c r="Q1003">
        <f>HYPERLINK("https://knru.ru/catalog/novosaratovka-der-853113999/","ссылка")</f>
        <v/>
      </c>
      <c r="R1003" t="inlineStr"/>
      <c r="S1003" t="inlineStr"/>
    </row>
    <row r="1004">
      <c r="A1004" t="inlineStr">
        <is>
          <t>Не определен</t>
        </is>
      </c>
      <c r="B1004" t="inlineStr">
        <is>
          <t>Новосаратовка дер.</t>
        </is>
      </c>
      <c r="C1004" t="inlineStr">
        <is>
          <t>sale</t>
        </is>
      </c>
      <c r="D1004" t="inlineStr">
        <is>
          <t>Да</t>
        </is>
      </c>
      <c r="E1004" t="inlineStr"/>
      <c r="F1004" t="inlineStr"/>
      <c r="G1004" t="inlineStr">
        <is>
          <t>360</t>
        </is>
      </c>
      <c r="H1004" t="inlineStr"/>
      <c r="I1004" t="inlineStr"/>
      <c r="J1004" t="inlineStr">
        <is>
          <t>147 450 456</t>
        </is>
      </c>
      <c r="K1004" t="inlineStr"/>
      <c r="L1004" t="inlineStr"/>
      <c r="M1004" t="inlineStr">
        <is>
          <t>Нет у нас</t>
        </is>
      </c>
      <c r="N1004" t="inlineStr"/>
      <c r="O1004" t="inlineStr"/>
      <c r="P1004" t="inlineStr"/>
      <c r="Q1004">
        <f>HYPERLINK("https://knru.ru/catalog/novosaratovka-der-1848170969/","ссылка")</f>
        <v/>
      </c>
      <c r="R1004" t="inlineStr"/>
      <c r="S1004" t="inlineStr"/>
    </row>
    <row r="1005">
      <c r="A1005" t="inlineStr">
        <is>
          <t>Не определен</t>
        </is>
      </c>
      <c r="B1005" t="inlineStr">
        <is>
          <t>Новосаратовка дер.</t>
        </is>
      </c>
      <c r="C1005" t="inlineStr">
        <is>
          <t>sale</t>
        </is>
      </c>
      <c r="D1005" t="inlineStr">
        <is>
          <t>Да</t>
        </is>
      </c>
      <c r="E1005" t="inlineStr"/>
      <c r="F1005" t="inlineStr"/>
      <c r="G1005" t="inlineStr">
        <is>
          <t>75.2</t>
        </is>
      </c>
      <c r="H1005" t="inlineStr"/>
      <c r="I1005" t="inlineStr"/>
      <c r="J1005" t="inlineStr">
        <is>
          <t>17 975 542</t>
        </is>
      </c>
      <c r="K1005" t="inlineStr"/>
      <c r="L1005" t="inlineStr"/>
      <c r="M1005" t="inlineStr">
        <is>
          <t>Нет у нас</t>
        </is>
      </c>
      <c r="N1005" t="inlineStr"/>
      <c r="O1005" t="inlineStr"/>
      <c r="P1005" t="inlineStr"/>
      <c r="Q1005">
        <f>HYPERLINK("https://knru.ru/catalog/novosaratovka-der/","ссылка")</f>
        <v/>
      </c>
      <c r="R1005" t="inlineStr"/>
      <c r="S1005" t="inlineStr"/>
    </row>
    <row r="1006">
      <c r="A1006" t="inlineStr">
        <is>
          <t>Не определен</t>
        </is>
      </c>
      <c r="B1006" t="inlineStr">
        <is>
          <t>Новоселье п.</t>
        </is>
      </c>
      <c r="C1006" t="inlineStr">
        <is>
          <t>sale</t>
        </is>
      </c>
      <c r="D1006" t="inlineStr">
        <is>
          <t>Да</t>
        </is>
      </c>
      <c r="E1006" t="inlineStr"/>
      <c r="F1006" t="inlineStr"/>
      <c r="G1006" t="inlineStr">
        <is>
          <t>99.8</t>
        </is>
      </c>
      <c r="H1006" t="inlineStr"/>
      <c r="I1006" t="inlineStr"/>
      <c r="J1006" t="inlineStr">
        <is>
          <t>24 960 000</t>
        </is>
      </c>
      <c r="K1006" t="inlineStr"/>
      <c r="L1006" t="inlineStr"/>
      <c r="M1006" t="inlineStr">
        <is>
          <t>Нет у нас</t>
        </is>
      </c>
      <c r="N1006" t="inlineStr"/>
      <c r="O1006" t="inlineStr"/>
      <c r="P1006" t="inlineStr"/>
      <c r="Q1006">
        <f>HYPERLINK("https://knru.ru/catalog/novosele-p-1000425339/","ссылка")</f>
        <v/>
      </c>
      <c r="R1006" t="inlineStr"/>
      <c r="S1006" t="inlineStr"/>
    </row>
    <row r="1007">
      <c r="A1007" t="inlineStr">
        <is>
          <t>Не определен</t>
        </is>
      </c>
      <c r="B1007" t="inlineStr">
        <is>
          <t>Новоселье п.</t>
        </is>
      </c>
      <c r="C1007" t="inlineStr">
        <is>
          <t>sale</t>
        </is>
      </c>
      <c r="D1007" t="inlineStr">
        <is>
          <t>Да</t>
        </is>
      </c>
      <c r="E1007" t="inlineStr"/>
      <c r="F1007" t="inlineStr"/>
      <c r="G1007" t="inlineStr">
        <is>
          <t>72.9</t>
        </is>
      </c>
      <c r="H1007" t="inlineStr"/>
      <c r="I1007" t="inlineStr"/>
      <c r="J1007" t="inlineStr">
        <is>
          <t>14 582 000</t>
        </is>
      </c>
      <c r="K1007" t="inlineStr"/>
      <c r="L1007" t="inlineStr"/>
      <c r="M1007" t="inlineStr">
        <is>
          <t>Нет у нас</t>
        </is>
      </c>
      <c r="N1007" t="inlineStr"/>
      <c r="O1007" t="inlineStr"/>
      <c r="P1007" t="inlineStr"/>
      <c r="Q1007">
        <f>HYPERLINK("https://knru.ru/catalog/novosele-p-2069245488/","ссылка")</f>
        <v/>
      </c>
      <c r="R1007" t="inlineStr"/>
      <c r="S1007" t="inlineStr"/>
    </row>
    <row r="1008">
      <c r="A1008" t="inlineStr">
        <is>
          <t>Не определен</t>
        </is>
      </c>
      <c r="B1008" t="inlineStr">
        <is>
          <t>Новоселье п.</t>
        </is>
      </c>
      <c r="C1008" t="inlineStr">
        <is>
          <t>sale</t>
        </is>
      </c>
      <c r="D1008" t="inlineStr">
        <is>
          <t>Да</t>
        </is>
      </c>
      <c r="E1008" t="inlineStr"/>
      <c r="F1008" t="inlineStr"/>
      <c r="G1008" t="inlineStr">
        <is>
          <t>67.1</t>
        </is>
      </c>
      <c r="H1008" t="inlineStr"/>
      <c r="I1008" t="inlineStr"/>
      <c r="J1008" t="inlineStr">
        <is>
          <t>13 412 000</t>
        </is>
      </c>
      <c r="K1008" t="inlineStr"/>
      <c r="L1008" t="inlineStr"/>
      <c r="M1008" t="inlineStr">
        <is>
          <t>Нет у нас</t>
        </is>
      </c>
      <c r="N1008" t="inlineStr"/>
      <c r="O1008" t="inlineStr"/>
      <c r="P1008" t="inlineStr"/>
      <c r="Q1008">
        <f>HYPERLINK("https://knru.ru/catalog/novosele-p/","ссылка")</f>
        <v/>
      </c>
      <c r="R1008" t="inlineStr"/>
      <c r="S1008" t="inlineStr"/>
    </row>
    <row r="1009">
      <c r="A1009" t="inlineStr">
        <is>
          <t>Не определен</t>
        </is>
      </c>
      <c r="B1009" t="inlineStr">
        <is>
          <t>Обводного канала наб, 118а Х</t>
        </is>
      </c>
      <c r="C1009" t="inlineStr">
        <is>
          <t>sale</t>
        </is>
      </c>
      <c r="D1009" t="inlineStr"/>
      <c r="E1009" t="inlineStr">
        <is>
          <t>Да</t>
        </is>
      </c>
      <c r="F1009" t="inlineStr"/>
      <c r="G1009" t="inlineStr"/>
      <c r="H1009" t="inlineStr">
        <is>
          <t>7200</t>
        </is>
      </c>
      <c r="I1009" t="inlineStr"/>
      <c r="J1009" t="inlineStr"/>
      <c r="K1009" t="inlineStr">
        <is>
          <t>750 000 000</t>
        </is>
      </c>
      <c r="L1009" t="inlineStr"/>
      <c r="M1009" t="inlineStr"/>
      <c r="N1009" t="inlineStr">
        <is>
          <t>Нет у нас</t>
        </is>
      </c>
      <c r="O1009" t="inlineStr"/>
      <c r="P1009" t="inlineStr"/>
      <c r="Q1009" t="inlineStr"/>
      <c r="R1009">
        <f>HYPERLINK("https://nordwestinvest.ru/real-estates/prodaza-bc-s-arendatorami-2","ссылка")</f>
        <v/>
      </c>
      <c r="S1009" t="inlineStr"/>
    </row>
    <row r="1010">
      <c r="A1010" t="inlineStr">
        <is>
          <t>Не определен</t>
        </is>
      </c>
      <c r="B1010" t="inlineStr">
        <is>
          <t>Обуховской Обороны пр-кт, 243 А</t>
        </is>
      </c>
      <c r="C1010" t="inlineStr">
        <is>
          <t>sale</t>
        </is>
      </c>
      <c r="D1010" t="inlineStr"/>
      <c r="E1010" t="inlineStr">
        <is>
          <t>Да</t>
        </is>
      </c>
      <c r="F1010" t="inlineStr"/>
      <c r="G1010" t="inlineStr"/>
      <c r="H1010" t="inlineStr">
        <is>
          <t>112</t>
        </is>
      </c>
      <c r="I1010" t="inlineStr"/>
      <c r="J1010" t="inlineStr"/>
      <c r="K1010" t="inlineStr">
        <is>
          <t>27 000 000</t>
        </is>
      </c>
      <c r="L1010" t="inlineStr"/>
      <c r="M1010" t="inlineStr"/>
      <c r="N1010" t="inlineStr">
        <is>
          <t>Нет у нас</t>
        </is>
      </c>
      <c r="O1010" t="inlineStr"/>
      <c r="P1010" t="inlineStr"/>
      <c r="Q1010" t="inlineStr"/>
      <c r="R1010">
        <f>HYPERLINK("https://nordwestinvest.ru/real-estates/pomeshhenie-s-wildberries-112-m2","ссылка")</f>
        <v/>
      </c>
      <c r="S1010" t="inlineStr"/>
    </row>
    <row r="1011">
      <c r="A1011" t="inlineStr">
        <is>
          <t>Не определен</t>
        </is>
      </c>
      <c r="B1011" t="inlineStr">
        <is>
          <t>Парашютная ул, 51стр1</t>
        </is>
      </c>
      <c r="C1011" t="inlineStr">
        <is>
          <t>sale</t>
        </is>
      </c>
      <c r="D1011" t="inlineStr">
        <is>
          <t>Да</t>
        </is>
      </c>
      <c r="E1011" t="inlineStr"/>
      <c r="F1011" t="inlineStr"/>
      <c r="G1011" t="inlineStr">
        <is>
          <t>160</t>
        </is>
      </c>
      <c r="H1011" t="inlineStr"/>
      <c r="I1011" t="inlineStr"/>
      <c r="J1011" t="inlineStr">
        <is>
          <t>52 000 000</t>
        </is>
      </c>
      <c r="K1011" t="inlineStr"/>
      <c r="L1011" t="inlineStr"/>
      <c r="M1011" t="inlineStr">
        <is>
          <t>Нет у нас</t>
        </is>
      </c>
      <c r="N1011" t="inlineStr"/>
      <c r="O1011" t="inlineStr"/>
      <c r="P1011" t="inlineStr"/>
      <c r="Q1011">
        <f>HYPERLINK("https://knru.ru/catalog/parashyutnaya-ul-51str1-557857/","ссылка")</f>
        <v/>
      </c>
      <c r="R1011" t="inlineStr"/>
      <c r="S1011" t="inlineStr"/>
    </row>
    <row r="1012">
      <c r="A1012" t="inlineStr">
        <is>
          <t>Не определен</t>
        </is>
      </c>
      <c r="B1012" t="inlineStr">
        <is>
          <t>Парашютная ул, 51стр1</t>
        </is>
      </c>
      <c r="C1012" t="inlineStr">
        <is>
          <t>sale</t>
        </is>
      </c>
      <c r="D1012" t="inlineStr">
        <is>
          <t>Да</t>
        </is>
      </c>
      <c r="E1012" t="inlineStr"/>
      <c r="F1012" t="inlineStr"/>
      <c r="G1012" t="inlineStr">
        <is>
          <t>1461</t>
        </is>
      </c>
      <c r="H1012" t="inlineStr"/>
      <c r="I1012" t="inlineStr"/>
      <c r="J1012" t="inlineStr">
        <is>
          <t>420 000 000</t>
        </is>
      </c>
      <c r="K1012" t="inlineStr"/>
      <c r="L1012" t="inlineStr"/>
      <c r="M1012" t="inlineStr">
        <is>
          <t>Нет у нас</t>
        </is>
      </c>
      <c r="N1012" t="inlineStr"/>
      <c r="O1012" t="inlineStr"/>
      <c r="P1012" t="inlineStr"/>
      <c r="Q1012">
        <f>HYPERLINK("https://knru.ru/catalog/parashyutnaya-ul-51str1-557850/","ссылка")</f>
        <v/>
      </c>
      <c r="R1012" t="inlineStr"/>
      <c r="S1012" t="inlineStr"/>
    </row>
    <row r="1013">
      <c r="A1013" t="inlineStr">
        <is>
          <t>Не определен</t>
        </is>
      </c>
      <c r="B1013" t="inlineStr">
        <is>
          <t>Парашютная ул, 51стр1</t>
        </is>
      </c>
      <c r="C1013" t="inlineStr">
        <is>
          <t>sale</t>
        </is>
      </c>
      <c r="D1013" t="inlineStr">
        <is>
          <t>Да</t>
        </is>
      </c>
      <c r="E1013" t="inlineStr"/>
      <c r="F1013" t="inlineStr"/>
      <c r="G1013" t="inlineStr">
        <is>
          <t>600</t>
        </is>
      </c>
      <c r="H1013" t="inlineStr"/>
      <c r="I1013" t="inlineStr"/>
      <c r="J1013" t="inlineStr">
        <is>
          <t>170 400 000</t>
        </is>
      </c>
      <c r="K1013" t="inlineStr"/>
      <c r="L1013" t="inlineStr"/>
      <c r="M1013" t="inlineStr">
        <is>
          <t>Нет у нас</t>
        </is>
      </c>
      <c r="N1013" t="inlineStr"/>
      <c r="O1013" t="inlineStr"/>
      <c r="P1013" t="inlineStr"/>
      <c r="Q1013">
        <f>HYPERLINK("https://knru.ru/catalog/parashyutnaya-ul-51str1-557846/","ссылка")</f>
        <v/>
      </c>
      <c r="R1013" t="inlineStr"/>
      <c r="S1013" t="inlineStr"/>
    </row>
    <row r="1014">
      <c r="A1014" t="inlineStr">
        <is>
          <t>Не определен</t>
        </is>
      </c>
      <c r="B1014" t="inlineStr">
        <is>
          <t>Парголово п, Николая Рубцова ул, 9</t>
        </is>
      </c>
      <c r="C1014" t="inlineStr">
        <is>
          <t>sale</t>
        </is>
      </c>
      <c r="D1014" t="inlineStr"/>
      <c r="E1014" t="inlineStr">
        <is>
          <t>Да</t>
        </is>
      </c>
      <c r="F1014" t="inlineStr"/>
      <c r="G1014" t="inlineStr"/>
      <c r="H1014" t="inlineStr">
        <is>
          <t>118.9</t>
        </is>
      </c>
      <c r="I1014" t="inlineStr"/>
      <c r="J1014" t="inlineStr"/>
      <c r="K1014" t="inlineStr">
        <is>
          <t>53 500 000</t>
        </is>
      </c>
      <c r="L1014" t="inlineStr"/>
      <c r="M1014" t="inlineStr"/>
      <c r="N1014" t="inlineStr">
        <is>
          <t>По адресу есть, но площадь другая</t>
        </is>
      </c>
      <c r="O1014" t="inlineStr"/>
      <c r="P1014" t="inlineStr"/>
      <c r="Q1014" t="inlineStr"/>
      <c r="R1014">
        <f>HYPERLINK("https://nordwestinvest.ru/real-estates/pomeshhenie-s-setevym-arendatorom-grafit","ссылка")</f>
        <v/>
      </c>
      <c r="S1014" t="inlineStr"/>
    </row>
    <row r="1015">
      <c r="A1015" t="inlineStr">
        <is>
          <t>Не определен</t>
        </is>
      </c>
      <c r="B1015" t="inlineStr">
        <is>
          <t>Парголово п, Ольгинская (Торфяное тер.) дор, 3/20стр1</t>
        </is>
      </c>
      <c r="C1015" t="inlineStr">
        <is>
          <t>sale</t>
        </is>
      </c>
      <c r="D1015" t="inlineStr"/>
      <c r="E1015" t="inlineStr">
        <is>
          <t>Да</t>
        </is>
      </c>
      <c r="F1015" t="inlineStr"/>
      <c r="G1015" t="inlineStr"/>
      <c r="H1015" t="inlineStr">
        <is>
          <t>548.6</t>
        </is>
      </c>
      <c r="I1015" t="inlineStr"/>
      <c r="J1015" t="inlineStr"/>
      <c r="K1015" t="inlineStr">
        <is>
          <t>60 000 000</t>
        </is>
      </c>
      <c r="L1015" t="inlineStr"/>
      <c r="M1015" t="inlineStr"/>
      <c r="N1015" t="inlineStr">
        <is>
          <t>Нет у нас</t>
        </is>
      </c>
      <c r="O1015" t="inlineStr"/>
      <c r="P1015" t="inlineStr"/>
      <c r="Q1015" t="inlineStr"/>
      <c r="R1015">
        <f>HYPERLINK("https://nordwestinvest.ru/real-estates/prodaza-pomeshhenie-s-arendatorom-3-etaz","ссылка")</f>
        <v/>
      </c>
      <c r="S1015" t="inlineStr"/>
    </row>
    <row r="1016">
      <c r="A1016" t="inlineStr">
        <is>
          <t>Не определен</t>
        </is>
      </c>
      <c r="B1016" t="inlineStr">
        <is>
          <t>Парголово п, Тихоокеанская ул, 1к2стр1</t>
        </is>
      </c>
      <c r="C1016" t="inlineStr">
        <is>
          <t>sale</t>
        </is>
      </c>
      <c r="D1016" t="inlineStr"/>
      <c r="E1016" t="inlineStr">
        <is>
          <t>Да</t>
        </is>
      </c>
      <c r="F1016" t="inlineStr"/>
      <c r="G1016" t="inlineStr"/>
      <c r="H1016" t="inlineStr">
        <is>
          <t>1267.9</t>
        </is>
      </c>
      <c r="I1016" t="inlineStr"/>
      <c r="J1016" t="inlineStr"/>
      <c r="K1016" t="inlineStr">
        <is>
          <t>235 000 000</t>
        </is>
      </c>
      <c r="L1016" t="inlineStr"/>
      <c r="M1016" t="inlineStr"/>
      <c r="N1016" t="inlineStr">
        <is>
          <t>Нет у нас</t>
        </is>
      </c>
      <c r="O1016" t="inlineStr"/>
      <c r="P1016" t="inlineStr"/>
      <c r="Q1016" t="inlineStr"/>
      <c r="R1016">
        <f>HYPERLINK("https://nordwestinvest.ru/real-estates/prodaza-pervogo-etaza-v-deistvuiushhem-tc-1268kvm","ссылка")</f>
        <v/>
      </c>
      <c r="S1016" t="inlineStr"/>
    </row>
    <row r="1017">
      <c r="A1017" t="inlineStr">
        <is>
          <t>Не определен</t>
        </is>
      </c>
      <c r="B1017" t="inlineStr">
        <is>
          <t>Парковая ул., д. дом 6 корпус 4</t>
        </is>
      </c>
      <c r="C1017" t="inlineStr">
        <is>
          <t>sale</t>
        </is>
      </c>
      <c r="D1017" t="inlineStr">
        <is>
          <t>Да</t>
        </is>
      </c>
      <c r="E1017" t="inlineStr"/>
      <c r="F1017" t="inlineStr"/>
      <c r="G1017" t="inlineStr">
        <is>
          <t>70.1</t>
        </is>
      </c>
      <c r="H1017" t="inlineStr"/>
      <c r="I1017" t="inlineStr"/>
      <c r="J1017" t="inlineStr">
        <is>
          <t>15 422 000</t>
        </is>
      </c>
      <c r="K1017" t="inlineStr"/>
      <c r="L1017" t="inlineStr"/>
      <c r="M1017" t="inlineStr">
        <is>
          <t>Нет у нас</t>
        </is>
      </c>
      <c r="N1017" t="inlineStr"/>
      <c r="O1017" t="inlineStr"/>
      <c r="P1017" t="inlineStr"/>
      <c r="Q1017">
        <f>HYPERLINK("https://knru.ru/catalog/parkovaya-ul-d-dom-6-korpus-4/","ссылка")</f>
        <v/>
      </c>
      <c r="R1017" t="inlineStr"/>
      <c r="S1017" t="inlineStr"/>
    </row>
    <row r="1018">
      <c r="A1018" t="inlineStr">
        <is>
          <t>Не определен</t>
        </is>
      </c>
      <c r="B1018" t="inlineStr">
        <is>
          <t>Партизана Германа ул, 8к1</t>
        </is>
      </c>
      <c r="C1018" t="inlineStr">
        <is>
          <t>sale</t>
        </is>
      </c>
      <c r="D1018" t="inlineStr"/>
      <c r="E1018" t="inlineStr">
        <is>
          <t>Да</t>
        </is>
      </c>
      <c r="F1018" t="inlineStr"/>
      <c r="G1018" t="inlineStr"/>
      <c r="H1018" t="inlineStr">
        <is>
          <t>950</t>
        </is>
      </c>
      <c r="I1018" t="inlineStr"/>
      <c r="J1018" t="inlineStr"/>
      <c r="K1018" t="inlineStr">
        <is>
          <t>93 000 000</t>
        </is>
      </c>
      <c r="L1018" t="inlineStr"/>
      <c r="M1018" t="inlineStr"/>
      <c r="N1018" t="inlineStr">
        <is>
          <t>Совпало</t>
        </is>
      </c>
      <c r="O1018" t="inlineStr"/>
      <c r="P1018" t="inlineStr"/>
      <c r="Q1018" t="inlineStr"/>
      <c r="R1018">
        <f>HYPERLINK("https://nordwestinvest.ru/real-estates/prodaza-zdaniia-950-m2-s-zu","ссылка")</f>
        <v/>
      </c>
      <c r="S1018" t="inlineStr"/>
    </row>
    <row r="1019">
      <c r="A1019" t="inlineStr">
        <is>
          <t>Не определен</t>
        </is>
      </c>
      <c r="B1019" t="inlineStr">
        <is>
          <t>Пейзажная ул, 28к1стр1</t>
        </is>
      </c>
      <c r="C1019" t="inlineStr">
        <is>
          <t>sale</t>
        </is>
      </c>
      <c r="D1019" t="inlineStr"/>
      <c r="E1019" t="inlineStr">
        <is>
          <t>Да</t>
        </is>
      </c>
      <c r="F1019" t="inlineStr"/>
      <c r="G1019" t="inlineStr"/>
      <c r="H1019" t="inlineStr">
        <is>
          <t>643</t>
        </is>
      </c>
      <c r="I1019" t="inlineStr"/>
      <c r="J1019" t="inlineStr"/>
      <c r="K1019" t="inlineStr">
        <is>
          <t>170 000 000</t>
        </is>
      </c>
      <c r="L1019" t="inlineStr"/>
      <c r="M1019" t="inlineStr"/>
      <c r="N1019" t="inlineStr">
        <is>
          <t>Нет у нас</t>
        </is>
      </c>
      <c r="O1019" t="inlineStr"/>
      <c r="P1019" t="inlineStr"/>
      <c r="Q1019" t="inlineStr"/>
      <c r="R1019">
        <f>HYPERLINK("https://nordwestinvest.ru/real-estates/prodaza-parkinga-na-peizaznoi-2","ссылка")</f>
        <v/>
      </c>
      <c r="S1019" t="inlineStr"/>
    </row>
    <row r="1020">
      <c r="A1020" t="inlineStr">
        <is>
          <t>Не определен</t>
        </is>
      </c>
      <c r="B1020" t="inlineStr">
        <is>
          <t>Пейзажная ул, 28к1стр1</t>
        </is>
      </c>
      <c r="C1020" t="inlineStr">
        <is>
          <t>sale</t>
        </is>
      </c>
      <c r="D1020" t="inlineStr"/>
      <c r="E1020" t="inlineStr">
        <is>
          <t>Да</t>
        </is>
      </c>
      <c r="F1020" t="inlineStr"/>
      <c r="G1020" t="inlineStr"/>
      <c r="H1020" t="inlineStr">
        <is>
          <t>5636.2</t>
        </is>
      </c>
      <c r="I1020" t="inlineStr"/>
      <c r="J1020" t="inlineStr"/>
      <c r="K1020" t="inlineStr">
        <is>
          <t>290 000 000</t>
        </is>
      </c>
      <c r="L1020" t="inlineStr"/>
      <c r="M1020" t="inlineStr"/>
      <c r="N1020" t="inlineStr">
        <is>
          <t>Нет у нас</t>
        </is>
      </c>
      <c r="O1020" t="inlineStr"/>
      <c r="P1020" t="inlineStr"/>
      <c r="Q1020" t="inlineStr"/>
      <c r="R1020">
        <f>HYPERLINK("https://nordwestinvest.ru/real-estates/prodaza-parkinga-na-peizaznoi-1","ссылка")</f>
        <v/>
      </c>
      <c r="S1020" t="inlineStr"/>
    </row>
    <row r="1021">
      <c r="A1021" t="inlineStr">
        <is>
          <t>Не определен</t>
        </is>
      </c>
      <c r="B1021" t="inlineStr">
        <is>
          <t>Петергоф г, Гостилицкая ул, 4</t>
        </is>
      </c>
      <c r="C1021" t="inlineStr">
        <is>
          <t>sale</t>
        </is>
      </c>
      <c r="D1021" t="inlineStr"/>
      <c r="E1021" t="inlineStr">
        <is>
          <t>Да</t>
        </is>
      </c>
      <c r="F1021" t="inlineStr"/>
      <c r="G1021" t="inlineStr"/>
      <c r="H1021" t="inlineStr">
        <is>
          <t>1496</t>
        </is>
      </c>
      <c r="I1021" t="inlineStr"/>
      <c r="J1021" t="inlineStr"/>
      <c r="K1021" t="inlineStr">
        <is>
          <t>210 000 000</t>
        </is>
      </c>
      <c r="L1021" t="inlineStr"/>
      <c r="M1021" t="inlineStr"/>
      <c r="N1021" t="inlineStr">
        <is>
          <t>Нет у нас</t>
        </is>
      </c>
      <c r="O1021" t="inlineStr"/>
      <c r="P1021" t="inlineStr"/>
      <c r="Q1021" t="inlineStr"/>
      <c r="R1021">
        <f>HYPERLINK("https://nordwestinvest.ru/real-estates/prodaza-zdaniia-1","ссылка")</f>
        <v/>
      </c>
      <c r="S1021" t="inlineStr"/>
    </row>
    <row r="1022">
      <c r="A1022" t="inlineStr">
        <is>
          <t>Не определен</t>
        </is>
      </c>
      <c r="B1022" t="inlineStr">
        <is>
          <t>Петергоф г, Шахматова ул, 14</t>
        </is>
      </c>
      <c r="C1022" t="inlineStr">
        <is>
          <t>sale</t>
        </is>
      </c>
      <c r="D1022" t="inlineStr"/>
      <c r="E1022" t="inlineStr">
        <is>
          <t>Да</t>
        </is>
      </c>
      <c r="F1022" t="inlineStr"/>
      <c r="G1022" t="inlineStr"/>
      <c r="H1022" t="inlineStr">
        <is>
          <t>176625</t>
        </is>
      </c>
      <c r="I1022" t="inlineStr"/>
      <c r="J1022" t="inlineStr"/>
      <c r="K1022" t="inlineStr">
        <is>
          <t>1 000 000 000</t>
        </is>
      </c>
      <c r="L1022" t="inlineStr"/>
      <c r="M1022" t="inlineStr"/>
      <c r="N1022" t="inlineStr">
        <is>
          <t>Нет у нас</t>
        </is>
      </c>
      <c r="O1022" t="inlineStr"/>
      <c r="P1022" t="inlineStr"/>
      <c r="Q1022" t="inlineStr"/>
      <c r="R1022">
        <f>HYPERLINK("https://nordwestinvest.ru/real-estates/petergof","ссылка")</f>
        <v/>
      </c>
      <c r="S1022" t="inlineStr"/>
    </row>
    <row r="1023">
      <c r="A1023" t="inlineStr">
        <is>
          <t>Не определен</t>
        </is>
      </c>
      <c r="B1023" t="inlineStr">
        <is>
          <t>Пискарёвский пр-кт, 10</t>
        </is>
      </c>
      <c r="C1023" t="inlineStr">
        <is>
          <t>sale</t>
        </is>
      </c>
      <c r="D1023" t="inlineStr"/>
      <c r="E1023" t="inlineStr">
        <is>
          <t>Да</t>
        </is>
      </c>
      <c r="F1023" t="inlineStr"/>
      <c r="G1023" t="inlineStr"/>
      <c r="H1023" t="inlineStr">
        <is>
          <t>165</t>
        </is>
      </c>
      <c r="I1023" t="inlineStr"/>
      <c r="J1023" t="inlineStr"/>
      <c r="K1023" t="inlineStr">
        <is>
          <t>33 000 000</t>
        </is>
      </c>
      <c r="L1023" t="inlineStr"/>
      <c r="M1023" t="inlineStr"/>
      <c r="N1023" t="inlineStr">
        <is>
          <t>По адресу есть, но площадь другая</t>
        </is>
      </c>
      <c r="O1023" t="inlineStr"/>
      <c r="P1023" t="inlineStr"/>
      <c r="Q1023" t="inlineStr"/>
      <c r="R1023">
        <f>HYPERLINK("https://nordwestinvest.ru/real-estates/prodaza-vin-lab-165-m2","ссылка")</f>
        <v/>
      </c>
      <c r="S1023" t="inlineStr"/>
    </row>
    <row r="1024">
      <c r="A1024" t="inlineStr">
        <is>
          <t>Не определен</t>
        </is>
      </c>
      <c r="B1024" t="inlineStr">
        <is>
          <t>Покровская дорога ул, 9</t>
        </is>
      </c>
      <c r="C1024" t="inlineStr">
        <is>
          <t>sale</t>
        </is>
      </c>
      <c r="D1024" t="inlineStr">
        <is>
          <t>Да</t>
        </is>
      </c>
      <c r="E1024" t="inlineStr"/>
      <c r="F1024" t="inlineStr"/>
      <c r="G1024" t="inlineStr">
        <is>
          <t>57100</t>
        </is>
      </c>
      <c r="H1024" t="inlineStr"/>
      <c r="I1024" t="inlineStr"/>
      <c r="J1024" t="inlineStr">
        <is>
          <t>410 000 000</t>
        </is>
      </c>
      <c r="K1024" t="inlineStr"/>
      <c r="L1024" t="inlineStr"/>
      <c r="M1024" t="inlineStr">
        <is>
          <t>Нет у нас</t>
        </is>
      </c>
      <c r="N1024" t="inlineStr"/>
      <c r="O1024" t="inlineStr"/>
      <c r="P1024" t="inlineStr"/>
      <c r="Q1024">
        <f>HYPERLINK("https://knru.ru/catalog/pokrovskaya-doroga-ul-9-560150/","ссылка")</f>
        <v/>
      </c>
      <c r="R1024" t="inlineStr"/>
      <c r="S1024" t="inlineStr"/>
    </row>
    <row r="1025">
      <c r="A1025" t="inlineStr">
        <is>
          <t>Не определен</t>
        </is>
      </c>
      <c r="B1025" t="inlineStr">
        <is>
          <t>Покровская дорога ул, 9</t>
        </is>
      </c>
      <c r="C1025" t="inlineStr">
        <is>
          <t>sale</t>
        </is>
      </c>
      <c r="D1025" t="inlineStr">
        <is>
          <t>Да</t>
        </is>
      </c>
      <c r="E1025" t="inlineStr"/>
      <c r="F1025" t="inlineStr"/>
      <c r="G1025" t="inlineStr">
        <is>
          <t>4400</t>
        </is>
      </c>
      <c r="H1025" t="inlineStr"/>
      <c r="I1025" t="inlineStr"/>
      <c r="J1025" t="inlineStr">
        <is>
          <t>22 000 000</t>
        </is>
      </c>
      <c r="K1025" t="inlineStr"/>
      <c r="L1025" t="inlineStr"/>
      <c r="M1025" t="inlineStr">
        <is>
          <t>Нет у нас</t>
        </is>
      </c>
      <c r="N1025" t="inlineStr"/>
      <c r="O1025" t="inlineStr"/>
      <c r="P1025" t="inlineStr"/>
      <c r="Q1025">
        <f>HYPERLINK("https://knru.ru/catalog/pokrovskaya-doroga-ul-9-553020/","ссылка")</f>
        <v/>
      </c>
      <c r="R1025" t="inlineStr"/>
      <c r="S1025" t="inlineStr"/>
    </row>
    <row r="1026">
      <c r="A1026" t="inlineStr">
        <is>
          <t>Не определен</t>
        </is>
      </c>
      <c r="B1026" t="inlineStr">
        <is>
          <t>Покровская дорога ул, 9</t>
        </is>
      </c>
      <c r="C1026" t="inlineStr">
        <is>
          <t>sale</t>
        </is>
      </c>
      <c r="D1026" t="inlineStr">
        <is>
          <t>Да</t>
        </is>
      </c>
      <c r="E1026" t="inlineStr"/>
      <c r="F1026" t="inlineStr"/>
      <c r="G1026" t="inlineStr">
        <is>
          <t>13200</t>
        </is>
      </c>
      <c r="H1026" t="inlineStr"/>
      <c r="I1026" t="inlineStr"/>
      <c r="J1026" t="inlineStr">
        <is>
          <t>58 000 000</t>
        </is>
      </c>
      <c r="K1026" t="inlineStr"/>
      <c r="L1026" t="inlineStr"/>
      <c r="M1026" t="inlineStr">
        <is>
          <t>Нет у нас</t>
        </is>
      </c>
      <c r="N1026" t="inlineStr"/>
      <c r="O1026" t="inlineStr"/>
      <c r="P1026" t="inlineStr"/>
      <c r="Q1026">
        <f>HYPERLINK("https://knru.ru/catalog/pokrovskaya-doroga-ul-9-553019/","ссылка")</f>
        <v/>
      </c>
      <c r="R1026" t="inlineStr"/>
      <c r="S1026" t="inlineStr"/>
    </row>
    <row r="1027">
      <c r="A1027" t="inlineStr">
        <is>
          <t>Не определен</t>
        </is>
      </c>
      <c r="B1027" t="inlineStr">
        <is>
          <t>Покровская дорога ул, 9</t>
        </is>
      </c>
      <c r="C1027" t="inlineStr">
        <is>
          <t>sale</t>
        </is>
      </c>
      <c r="D1027" t="inlineStr">
        <is>
          <t>Да</t>
        </is>
      </c>
      <c r="E1027" t="inlineStr"/>
      <c r="F1027" t="inlineStr"/>
      <c r="G1027" t="inlineStr">
        <is>
          <t>14500</t>
        </is>
      </c>
      <c r="H1027" t="inlineStr"/>
      <c r="I1027" t="inlineStr"/>
      <c r="J1027" t="inlineStr">
        <is>
          <t>51 000 000</t>
        </is>
      </c>
      <c r="K1027" t="inlineStr"/>
      <c r="L1027" t="inlineStr"/>
      <c r="M1027" t="inlineStr">
        <is>
          <t>Нет у нас</t>
        </is>
      </c>
      <c r="N1027" t="inlineStr"/>
      <c r="O1027" t="inlineStr"/>
      <c r="P1027" t="inlineStr"/>
      <c r="Q1027">
        <f>HYPERLINK("https://knru.ru/catalog/pokrovskaya-doroga-ul-9-553018/","ссылка")</f>
        <v/>
      </c>
      <c r="R1027" t="inlineStr"/>
      <c r="S1027" t="inlineStr"/>
    </row>
    <row r="1028">
      <c r="A1028" t="inlineStr">
        <is>
          <t>Не определен</t>
        </is>
      </c>
      <c r="B1028" t="inlineStr">
        <is>
          <t>Полюстровский пр-кт, 64литераД</t>
        </is>
      </c>
      <c r="C1028" t="inlineStr">
        <is>
          <t>sale</t>
        </is>
      </c>
      <c r="D1028" t="inlineStr"/>
      <c r="E1028" t="inlineStr">
        <is>
          <t>Да</t>
        </is>
      </c>
      <c r="F1028" t="inlineStr"/>
      <c r="G1028" t="inlineStr"/>
      <c r="H1028" t="inlineStr">
        <is>
          <t>5800</t>
        </is>
      </c>
      <c r="I1028" t="inlineStr"/>
      <c r="J1028" t="inlineStr"/>
      <c r="K1028" t="inlineStr">
        <is>
          <t>300 000 000</t>
        </is>
      </c>
      <c r="L1028" t="inlineStr"/>
      <c r="M1028" t="inlineStr"/>
      <c r="N1028" t="inlineStr">
        <is>
          <t>Нет у нас</t>
        </is>
      </c>
      <c r="O1028" t="inlineStr"/>
      <c r="P1028" t="inlineStr"/>
      <c r="Q1028" t="inlineStr"/>
      <c r="R1028">
        <f>HYPERLINK("https://nordwestinvest.ru/real-estates/zu-58-sotok-pod-postroiku-4","ссылка")</f>
        <v/>
      </c>
      <c r="S1028" t="inlineStr"/>
    </row>
    <row r="1029">
      <c r="A1029" t="inlineStr">
        <is>
          <t>Не определен</t>
        </is>
      </c>
      <c r="B1029" t="inlineStr">
        <is>
          <t>Понтонный п, Пролетарской Победы ул, 7</t>
        </is>
      </c>
      <c r="C1029" t="inlineStr">
        <is>
          <t>sale</t>
        </is>
      </c>
      <c r="D1029" t="inlineStr"/>
      <c r="E1029" t="inlineStr">
        <is>
          <t>Да</t>
        </is>
      </c>
      <c r="F1029" t="inlineStr"/>
      <c r="G1029" t="inlineStr"/>
      <c r="H1029" t="inlineStr">
        <is>
          <t>7017</t>
        </is>
      </c>
      <c r="I1029" t="inlineStr"/>
      <c r="J1029" t="inlineStr"/>
      <c r="K1029" t="inlineStr">
        <is>
          <t>150 000 000</t>
        </is>
      </c>
      <c r="L1029" t="inlineStr"/>
      <c r="M1029" t="inlineStr"/>
      <c r="N1029" t="inlineStr">
        <is>
          <t>Нет у нас</t>
        </is>
      </c>
      <c r="O1029" t="inlineStr"/>
      <c r="P1029" t="inlineStr"/>
      <c r="Q1029" t="inlineStr"/>
      <c r="R1029">
        <f>HYPERLINK("https://nordwestinvest.ru/real-estates/prodaza-zemelnogo-ucastka-v-pontonnom","ссылка")</f>
        <v/>
      </c>
      <c r="S1029" t="inlineStr"/>
    </row>
    <row r="1030">
      <c r="A1030" t="inlineStr">
        <is>
          <t>Не определен</t>
        </is>
      </c>
      <c r="B1030" t="inlineStr">
        <is>
          <t>Почтовый проезд, 14</t>
        </is>
      </c>
      <c r="C1030" t="inlineStr">
        <is>
          <t>sale</t>
        </is>
      </c>
      <c r="D1030" t="inlineStr">
        <is>
          <t>Да</t>
        </is>
      </c>
      <c r="E1030" t="inlineStr"/>
      <c r="F1030" t="inlineStr"/>
      <c r="G1030" t="inlineStr">
        <is>
          <t>1440</t>
        </is>
      </c>
      <c r="H1030" t="inlineStr"/>
      <c r="I1030" t="inlineStr"/>
      <c r="J1030" t="inlineStr">
        <is>
          <t>100 000 000</t>
        </is>
      </c>
      <c r="K1030" t="inlineStr"/>
      <c r="L1030" t="inlineStr"/>
      <c r="M1030" t="inlineStr">
        <is>
          <t>Нет у нас</t>
        </is>
      </c>
      <c r="N1030" t="inlineStr"/>
      <c r="O1030" t="inlineStr"/>
      <c r="P1030" t="inlineStr"/>
      <c r="Q1030">
        <f>HYPERLINK("https://knru.ru/catalog/pochtovyj-proezd-14/","ссылка")</f>
        <v/>
      </c>
      <c r="R1030" t="inlineStr"/>
      <c r="S1030" t="inlineStr"/>
    </row>
    <row r="1031">
      <c r="A1031" t="inlineStr">
        <is>
          <t>Не определен</t>
        </is>
      </c>
      <c r="B1031" t="inlineStr">
        <is>
          <t>Почтовый проезд, 24</t>
        </is>
      </c>
      <c r="C1031" t="inlineStr">
        <is>
          <t>sale</t>
        </is>
      </c>
      <c r="D1031" t="inlineStr">
        <is>
          <t>Да</t>
        </is>
      </c>
      <c r="E1031" t="inlineStr"/>
      <c r="F1031" t="inlineStr"/>
      <c r="G1031" t="inlineStr">
        <is>
          <t>1260</t>
        </is>
      </c>
      <c r="H1031" t="inlineStr"/>
      <c r="I1031" t="inlineStr"/>
      <c r="J1031" t="inlineStr">
        <is>
          <t>50 000 000</t>
        </is>
      </c>
      <c r="K1031" t="inlineStr"/>
      <c r="L1031" t="inlineStr"/>
      <c r="M1031" t="inlineStr">
        <is>
          <t>Нет у нас</t>
        </is>
      </c>
      <c r="N1031" t="inlineStr"/>
      <c r="O1031" t="inlineStr"/>
      <c r="P1031" t="inlineStr"/>
      <c r="Q1031">
        <f>HYPERLINK("https://knru.ru/catalog/pochtovyj-proezd-24/","ссылка")</f>
        <v/>
      </c>
      <c r="R1031" t="inlineStr"/>
      <c r="S1031" t="inlineStr"/>
    </row>
    <row r="1032">
      <c r="A1032" t="inlineStr">
        <is>
          <t>Не определен</t>
        </is>
      </c>
      <c r="B1032" t="inlineStr">
        <is>
          <t>Пр.зона Горелово кв-л2 тер, Волхонское ш, 2</t>
        </is>
      </c>
      <c r="C1032" t="inlineStr">
        <is>
          <t>sale</t>
        </is>
      </c>
      <c r="D1032" t="inlineStr">
        <is>
          <t>Да</t>
        </is>
      </c>
      <c r="E1032" t="inlineStr"/>
      <c r="F1032" t="inlineStr"/>
      <c r="G1032" t="inlineStr">
        <is>
          <t>5000</t>
        </is>
      </c>
      <c r="H1032" t="inlineStr"/>
      <c r="I1032" t="inlineStr"/>
      <c r="J1032" t="inlineStr">
        <is>
          <t>22 000 000</t>
        </is>
      </c>
      <c r="K1032" t="inlineStr"/>
      <c r="L1032" t="inlineStr"/>
      <c r="M1032" t="inlineStr">
        <is>
          <t>Нет у нас</t>
        </is>
      </c>
      <c r="N1032" t="inlineStr"/>
      <c r="O1032" t="inlineStr"/>
      <c r="P1032" t="inlineStr"/>
      <c r="Q1032">
        <f>HYPERLINK("https://knru.ru/catalog/pr-zona-gorelovo-kv-l2-ter-volxonskoe-sh-2/","ссылка")</f>
        <v/>
      </c>
      <c r="R1032" t="inlineStr"/>
      <c r="S1032" t="inlineStr"/>
    </row>
    <row r="1033">
      <c r="A1033" t="inlineStr">
        <is>
          <t>Не определен</t>
        </is>
      </c>
      <c r="B1033" t="inlineStr">
        <is>
          <t>Предприятия Ручьи тер, 1</t>
        </is>
      </c>
      <c r="C1033" t="inlineStr">
        <is>
          <t>sale</t>
        </is>
      </c>
      <c r="D1033" t="inlineStr">
        <is>
          <t>Да</t>
        </is>
      </c>
      <c r="E1033" t="inlineStr"/>
      <c r="F1033" t="inlineStr"/>
      <c r="G1033" t="inlineStr">
        <is>
          <t>15000</t>
        </is>
      </c>
      <c r="H1033" t="inlineStr"/>
      <c r="I1033" t="inlineStr"/>
      <c r="J1033" t="inlineStr">
        <is>
          <t>66 000 000</t>
        </is>
      </c>
      <c r="K1033" t="inlineStr"/>
      <c r="L1033" t="inlineStr"/>
      <c r="M1033" t="inlineStr">
        <is>
          <t>Нет у нас</t>
        </is>
      </c>
      <c r="N1033" t="inlineStr"/>
      <c r="O1033" t="inlineStr"/>
      <c r="P1033" t="inlineStr"/>
      <c r="Q1033">
        <f>HYPERLINK("https://knru.ru/catalog/predpriyatiya-ruchi-ter-1/","ссылка")</f>
        <v/>
      </c>
      <c r="R1033" t="inlineStr"/>
      <c r="S1033" t="inlineStr"/>
    </row>
    <row r="1034">
      <c r="A1034" t="inlineStr">
        <is>
          <t>Не определен</t>
        </is>
      </c>
      <c r="B1034" t="inlineStr">
        <is>
          <t>Пригородный тер</t>
        </is>
      </c>
      <c r="C1034" t="inlineStr">
        <is>
          <t>sale</t>
        </is>
      </c>
      <c r="D1034" t="inlineStr">
        <is>
          <t>Да</t>
        </is>
      </c>
      <c r="E1034" t="inlineStr"/>
      <c r="F1034" t="inlineStr"/>
      <c r="G1034" t="inlineStr">
        <is>
          <t>69000</t>
        </is>
      </c>
      <c r="H1034" t="inlineStr"/>
      <c r="I1034" t="inlineStr"/>
      <c r="J1034" t="inlineStr">
        <is>
          <t>500 000 000</t>
        </is>
      </c>
      <c r="K1034" t="inlineStr"/>
      <c r="L1034" t="inlineStr"/>
      <c r="M1034" t="inlineStr">
        <is>
          <t>Нет у нас</t>
        </is>
      </c>
      <c r="N1034" t="inlineStr"/>
      <c r="O1034" t="inlineStr"/>
      <c r="P1034" t="inlineStr"/>
      <c r="Q1034">
        <f>HYPERLINK("https://knru.ru/catalog/prigorodnyj-ter/","ссылка")</f>
        <v/>
      </c>
      <c r="R1034" t="inlineStr"/>
      <c r="S1034" t="inlineStr"/>
    </row>
    <row r="1035">
      <c r="A1035" t="inlineStr">
        <is>
          <t>Не определен</t>
        </is>
      </c>
      <c r="B1035" t="inlineStr">
        <is>
          <t>Пригородный тер, 35</t>
        </is>
      </c>
      <c r="C1035" t="inlineStr">
        <is>
          <t>sale</t>
        </is>
      </c>
      <c r="D1035" t="inlineStr">
        <is>
          <t>Да</t>
        </is>
      </c>
      <c r="E1035" t="inlineStr"/>
      <c r="F1035" t="inlineStr"/>
      <c r="G1035" t="inlineStr">
        <is>
          <t>15000</t>
        </is>
      </c>
      <c r="H1035" t="inlineStr"/>
      <c r="I1035" t="inlineStr"/>
      <c r="J1035" t="inlineStr">
        <is>
          <t>250 000 000</t>
        </is>
      </c>
      <c r="K1035" t="inlineStr"/>
      <c r="L1035" t="inlineStr"/>
      <c r="M1035" t="inlineStr">
        <is>
          <t>Нет у нас</t>
        </is>
      </c>
      <c r="N1035" t="inlineStr"/>
      <c r="O1035" t="inlineStr"/>
      <c r="P1035" t="inlineStr"/>
      <c r="Q1035">
        <f>HYPERLINK("https://knru.ru/catalog/prigorodnyj-ter-35/","ссылка")</f>
        <v/>
      </c>
      <c r="R1035" t="inlineStr"/>
      <c r="S1035" t="inlineStr"/>
    </row>
    <row r="1036">
      <c r="A1036" t="inlineStr">
        <is>
          <t>Не определен</t>
        </is>
      </c>
      <c r="B1036" t="inlineStr">
        <is>
          <t>Приморский пр-кт, 54к1 А</t>
        </is>
      </c>
      <c r="C1036" t="inlineStr">
        <is>
          <t>sale</t>
        </is>
      </c>
      <c r="D1036" t="inlineStr"/>
      <c r="E1036" t="inlineStr">
        <is>
          <t>Да</t>
        </is>
      </c>
      <c r="F1036" t="inlineStr"/>
      <c r="G1036" t="inlineStr"/>
      <c r="H1036" t="inlineStr">
        <is>
          <t>17000</t>
        </is>
      </c>
      <c r="I1036" t="inlineStr"/>
      <c r="J1036" t="inlineStr"/>
      <c r="K1036" t="inlineStr">
        <is>
          <t>1 500 000 000</t>
        </is>
      </c>
      <c r="L1036" t="inlineStr"/>
      <c r="M1036" t="inlineStr"/>
      <c r="N1036" t="inlineStr">
        <is>
          <t>Нет у нас</t>
        </is>
      </c>
      <c r="O1036" t="inlineStr"/>
      <c r="P1036" t="inlineStr"/>
      <c r="Q1036" t="inlineStr"/>
      <c r="R1036">
        <f>HYPERLINK("https://nordwestinvest.ru/real-estates/prodaza-bc","ссылка")</f>
        <v/>
      </c>
      <c r="S1036" t="inlineStr"/>
    </row>
    <row r="1037">
      <c r="A1037" t="inlineStr">
        <is>
          <t>Не определен</t>
        </is>
      </c>
      <c r="B1037" t="inlineStr">
        <is>
          <t>Приютинская ул</t>
        </is>
      </c>
      <c r="C1037" t="inlineStr">
        <is>
          <t>sale</t>
        </is>
      </c>
      <c r="D1037" t="inlineStr">
        <is>
          <t>Да</t>
        </is>
      </c>
      <c r="E1037" t="inlineStr"/>
      <c r="F1037" t="inlineStr"/>
      <c r="G1037" t="inlineStr">
        <is>
          <t>2429</t>
        </is>
      </c>
      <c r="H1037" t="inlineStr"/>
      <c r="I1037" t="inlineStr"/>
      <c r="J1037" t="inlineStr">
        <is>
          <t>65 000 000</t>
        </is>
      </c>
      <c r="K1037" t="inlineStr"/>
      <c r="L1037" t="inlineStr"/>
      <c r="M1037" t="inlineStr">
        <is>
          <t>Нет у нас</t>
        </is>
      </c>
      <c r="N1037" t="inlineStr"/>
      <c r="O1037" t="inlineStr"/>
      <c r="P1037" t="inlineStr"/>
      <c r="Q1037">
        <f>HYPERLINK("https://knru.ru/catalog/priyutinskaya-ul-553475/","ссылка")</f>
        <v/>
      </c>
      <c r="R1037" t="inlineStr"/>
      <c r="S1037" t="inlineStr"/>
    </row>
    <row r="1038">
      <c r="A1038" t="inlineStr">
        <is>
          <t>Не определен</t>
        </is>
      </c>
      <c r="B1038" t="inlineStr">
        <is>
          <t>Приютинская ул</t>
        </is>
      </c>
      <c r="C1038" t="inlineStr">
        <is>
          <t>sale</t>
        </is>
      </c>
      <c r="D1038" t="inlineStr">
        <is>
          <t>Да</t>
        </is>
      </c>
      <c r="E1038" t="inlineStr"/>
      <c r="F1038" t="inlineStr"/>
      <c r="G1038" t="inlineStr">
        <is>
          <t>872</t>
        </is>
      </c>
      <c r="H1038" t="inlineStr"/>
      <c r="I1038" t="inlineStr"/>
      <c r="J1038" t="inlineStr">
        <is>
          <t>22 500 000</t>
        </is>
      </c>
      <c r="K1038" t="inlineStr"/>
      <c r="L1038" t="inlineStr"/>
      <c r="M1038" t="inlineStr">
        <is>
          <t>Нет у нас</t>
        </is>
      </c>
      <c r="N1038" t="inlineStr"/>
      <c r="O1038" t="inlineStr"/>
      <c r="P1038" t="inlineStr"/>
      <c r="Q1038">
        <f>HYPERLINK("https://knru.ru/catalog/priyutinskaya-ul/","ссылка")</f>
        <v/>
      </c>
      <c r="R1038" t="inlineStr"/>
      <c r="S1038" t="inlineStr"/>
    </row>
    <row r="1039">
      <c r="A1039" t="inlineStr">
        <is>
          <t>Не определен</t>
        </is>
      </c>
      <c r="B1039" t="inlineStr">
        <is>
          <t>Приютинская ул, 13</t>
        </is>
      </c>
      <c r="C1039" t="inlineStr">
        <is>
          <t>sale</t>
        </is>
      </c>
      <c r="D1039" t="inlineStr">
        <is>
          <t>Да</t>
        </is>
      </c>
      <c r="E1039" t="inlineStr"/>
      <c r="F1039" t="inlineStr"/>
      <c r="G1039" t="inlineStr">
        <is>
          <t>3301</t>
        </is>
      </c>
      <c r="H1039" t="inlineStr"/>
      <c r="I1039" t="inlineStr"/>
      <c r="J1039" t="inlineStr">
        <is>
          <t>95 000 000</t>
        </is>
      </c>
      <c r="K1039" t="inlineStr"/>
      <c r="L1039" t="inlineStr"/>
      <c r="M1039" t="inlineStr">
        <is>
          <t>Нет у нас</t>
        </is>
      </c>
      <c r="N1039" t="inlineStr"/>
      <c r="O1039" t="inlineStr"/>
      <c r="P1039" t="inlineStr"/>
      <c r="Q1039">
        <f>HYPERLINK("https://knru.ru/catalog/priyutinskaya-ul-13/","ссылка")</f>
        <v/>
      </c>
      <c r="R1039" t="inlineStr"/>
      <c r="S1039" t="inlineStr"/>
    </row>
    <row r="1040">
      <c r="A1040" t="inlineStr">
        <is>
          <t>Не определен</t>
        </is>
      </c>
      <c r="B1040" t="inlineStr">
        <is>
          <t>Промзона Мягловская тер., Круговая ул, 13</t>
        </is>
      </c>
      <c r="C1040" t="inlineStr">
        <is>
          <t>sale</t>
        </is>
      </c>
      <c r="D1040" t="inlineStr">
        <is>
          <t>Да</t>
        </is>
      </c>
      <c r="E1040" t="inlineStr"/>
      <c r="F1040" t="inlineStr"/>
      <c r="G1040" t="inlineStr">
        <is>
          <t>1440</t>
        </is>
      </c>
      <c r="H1040" t="inlineStr"/>
      <c r="I1040" t="inlineStr"/>
      <c r="J1040" t="inlineStr">
        <is>
          <t>115 000 000</t>
        </is>
      </c>
      <c r="K1040" t="inlineStr"/>
      <c r="L1040" t="inlineStr"/>
      <c r="M1040" t="inlineStr">
        <is>
          <t>Нет у нас</t>
        </is>
      </c>
      <c r="N1040" t="inlineStr"/>
      <c r="O1040" t="inlineStr"/>
      <c r="P1040" t="inlineStr"/>
      <c r="Q1040">
        <f>HYPERLINK("https://knru.ru/catalog/promzona-myaglovskaya-ter-krugovaya-ul-13-559974/","ссылка")</f>
        <v/>
      </c>
      <c r="R1040" t="inlineStr"/>
      <c r="S1040" t="inlineStr"/>
    </row>
    <row r="1041">
      <c r="A1041" t="inlineStr">
        <is>
          <t>Не определен</t>
        </is>
      </c>
      <c r="B1041" t="inlineStr">
        <is>
          <t>Промзона Мягловская тер., Круговая ул, 13</t>
        </is>
      </c>
      <c r="C1041" t="inlineStr">
        <is>
          <t>sale</t>
        </is>
      </c>
      <c r="D1041" t="inlineStr">
        <is>
          <t>Да</t>
        </is>
      </c>
      <c r="E1041" t="inlineStr"/>
      <c r="F1041" t="inlineStr"/>
      <c r="G1041" t="inlineStr">
        <is>
          <t>440</t>
        </is>
      </c>
      <c r="H1041" t="inlineStr"/>
      <c r="I1041" t="inlineStr"/>
      <c r="J1041" t="inlineStr">
        <is>
          <t>28 000 000</t>
        </is>
      </c>
      <c r="K1041" t="inlineStr"/>
      <c r="L1041" t="inlineStr"/>
      <c r="M1041" t="inlineStr">
        <is>
          <t>Нет у нас</t>
        </is>
      </c>
      <c r="N1041" t="inlineStr"/>
      <c r="O1041" t="inlineStr"/>
      <c r="P1041" t="inlineStr"/>
      <c r="Q1041">
        <f>HYPERLINK("https://knru.ru/catalog/promzona-myaglovskaya-ter-krugovaya-ul-13-558482/","ссылка")</f>
        <v/>
      </c>
      <c r="R1041" t="inlineStr"/>
      <c r="S1041" t="inlineStr"/>
    </row>
    <row r="1042">
      <c r="A1042" t="inlineStr">
        <is>
          <t>Не определен</t>
        </is>
      </c>
      <c r="B1042" t="inlineStr">
        <is>
          <t>Промзона Мягловская тер., Круговая ул, 13</t>
        </is>
      </c>
      <c r="C1042" t="inlineStr">
        <is>
          <t>sale</t>
        </is>
      </c>
      <c r="D1042" t="inlineStr">
        <is>
          <t>Да</t>
        </is>
      </c>
      <c r="E1042" t="inlineStr"/>
      <c r="F1042" t="inlineStr"/>
      <c r="G1042" t="inlineStr">
        <is>
          <t>2628</t>
        </is>
      </c>
      <c r="H1042" t="inlineStr"/>
      <c r="I1042" t="inlineStr"/>
      <c r="J1042" t="inlineStr">
        <is>
          <t>200 000 000</t>
        </is>
      </c>
      <c r="K1042" t="inlineStr"/>
      <c r="L1042" t="inlineStr"/>
      <c r="M1042" t="inlineStr">
        <is>
          <t>Нет у нас</t>
        </is>
      </c>
      <c r="N1042" t="inlineStr"/>
      <c r="O1042" t="inlineStr"/>
      <c r="P1042" t="inlineStr"/>
      <c r="Q1042">
        <f>HYPERLINK("https://knru.ru/catalog/promzona-myaglovskaya-ter-krugovaya-ul-13/","ссылка")</f>
        <v/>
      </c>
      <c r="R1042" t="inlineStr"/>
      <c r="S1042" t="inlineStr"/>
    </row>
    <row r="1043">
      <c r="A1043" t="inlineStr">
        <is>
          <t>Не определен</t>
        </is>
      </c>
      <c r="B1043" t="inlineStr">
        <is>
          <t>Промзона Мягловская тер., Круговая ул, 16</t>
        </is>
      </c>
      <c r="C1043" t="inlineStr">
        <is>
          <t>sale</t>
        </is>
      </c>
      <c r="D1043" t="inlineStr">
        <is>
          <t>Да</t>
        </is>
      </c>
      <c r="E1043" t="inlineStr"/>
      <c r="F1043" t="inlineStr"/>
      <c r="G1043" t="inlineStr">
        <is>
          <t>1440</t>
        </is>
      </c>
      <c r="H1043" t="inlineStr"/>
      <c r="I1043" t="inlineStr"/>
      <c r="J1043" t="inlineStr">
        <is>
          <t>69 000 000</t>
        </is>
      </c>
      <c r="K1043" t="inlineStr"/>
      <c r="L1043" t="inlineStr"/>
      <c r="M1043" t="inlineStr">
        <is>
          <t>Нет у нас</t>
        </is>
      </c>
      <c r="N1043" t="inlineStr"/>
      <c r="O1043" t="inlineStr"/>
      <c r="P1043" t="inlineStr"/>
      <c r="Q1043">
        <f>HYPERLINK("https://knru.ru/catalog/promzona-myaglovskaya-ter-krugovaya-ul-16-557598/","ссылка")</f>
        <v/>
      </c>
      <c r="R1043" t="inlineStr"/>
      <c r="S1043" t="inlineStr"/>
    </row>
    <row r="1044">
      <c r="A1044" t="inlineStr">
        <is>
          <t>Не определен</t>
        </is>
      </c>
      <c r="B1044" t="inlineStr">
        <is>
          <t>Промзона Мягловская тер., Круговая ул, 16</t>
        </is>
      </c>
      <c r="C1044" t="inlineStr">
        <is>
          <t>sale</t>
        </is>
      </c>
      <c r="D1044" t="inlineStr">
        <is>
          <t>Да</t>
        </is>
      </c>
      <c r="E1044" t="inlineStr"/>
      <c r="F1044" t="inlineStr"/>
      <c r="G1044" t="inlineStr">
        <is>
          <t>2448</t>
        </is>
      </c>
      <c r="H1044" t="inlineStr"/>
      <c r="I1044" t="inlineStr"/>
      <c r="J1044" t="inlineStr">
        <is>
          <t>200 000 000</t>
        </is>
      </c>
      <c r="K1044" t="inlineStr"/>
      <c r="L1044" t="inlineStr"/>
      <c r="M1044" t="inlineStr">
        <is>
          <t>Нет у нас</t>
        </is>
      </c>
      <c r="N1044" t="inlineStr"/>
      <c r="O1044" t="inlineStr"/>
      <c r="P1044" t="inlineStr"/>
      <c r="Q1044">
        <f>HYPERLINK("https://knru.ru/catalog/promzona-myaglovskaya-ter-krugovaya-ul-16-556979/","ссылка")</f>
        <v/>
      </c>
      <c r="R1044" t="inlineStr"/>
      <c r="S1044" t="inlineStr"/>
    </row>
    <row r="1045">
      <c r="A1045" t="inlineStr">
        <is>
          <t>Не определен</t>
        </is>
      </c>
      <c r="B1045" t="inlineStr">
        <is>
          <t>Промзона Мягловская тер., Круговая ул, 16</t>
        </is>
      </c>
      <c r="C1045" t="inlineStr">
        <is>
          <t>sale</t>
        </is>
      </c>
      <c r="D1045" t="inlineStr">
        <is>
          <t>Да</t>
        </is>
      </c>
      <c r="E1045" t="inlineStr"/>
      <c r="F1045" t="inlineStr"/>
      <c r="G1045" t="inlineStr">
        <is>
          <t>1000</t>
        </is>
      </c>
      <c r="H1045" t="inlineStr"/>
      <c r="I1045" t="inlineStr"/>
      <c r="J1045" t="inlineStr">
        <is>
          <t>80 640 000</t>
        </is>
      </c>
      <c r="K1045" t="inlineStr"/>
      <c r="L1045" t="inlineStr"/>
      <c r="M1045" t="inlineStr">
        <is>
          <t>Нет у нас</t>
        </is>
      </c>
      <c r="N1045" t="inlineStr"/>
      <c r="O1045" t="inlineStr"/>
      <c r="P1045" t="inlineStr"/>
      <c r="Q1045">
        <f>HYPERLINK("https://knru.ru/catalog/promzona-myaglovskaya-ter-krugovaya-ul-16/","ссылка")</f>
        <v/>
      </c>
      <c r="R1045" t="inlineStr"/>
      <c r="S1045" t="inlineStr"/>
    </row>
    <row r="1046">
      <c r="A1046" t="inlineStr">
        <is>
          <t>Не определен</t>
        </is>
      </c>
      <c r="B1046" t="inlineStr">
        <is>
          <t>Промзона Мягловская тер., Круговая ул, 16</t>
        </is>
      </c>
      <c r="C1046" t="inlineStr">
        <is>
          <t>sale</t>
        </is>
      </c>
      <c r="D1046" t="inlineStr">
        <is>
          <t>Да</t>
        </is>
      </c>
      <c r="E1046" t="inlineStr"/>
      <c r="F1046" t="inlineStr"/>
      <c r="G1046" t="inlineStr">
        <is>
          <t>1416</t>
        </is>
      </c>
      <c r="H1046" t="inlineStr"/>
      <c r="I1046" t="inlineStr"/>
      <c r="J1046" t="inlineStr">
        <is>
          <t>113 280 000</t>
        </is>
      </c>
      <c r="K1046" t="inlineStr"/>
      <c r="L1046" t="inlineStr"/>
      <c r="M1046" t="inlineStr">
        <is>
          <t>Нет у нас</t>
        </is>
      </c>
      <c r="N1046" t="inlineStr"/>
      <c r="O1046" t="inlineStr"/>
      <c r="P1046" t="inlineStr"/>
      <c r="Q1046">
        <f>HYPERLINK("https://knru.ru/catalog/promzona-myaglovskaya-ter-krugovaya-ul-16-552207/","ссылка")</f>
        <v/>
      </c>
      <c r="R1046" t="inlineStr"/>
      <c r="S1046" t="inlineStr"/>
    </row>
    <row r="1047">
      <c r="A1047" t="inlineStr">
        <is>
          <t>Не определен</t>
        </is>
      </c>
      <c r="B1047" t="inlineStr">
        <is>
          <t>Псковская обл, Остров г, 25 Октября ул, 35</t>
        </is>
      </c>
      <c r="C1047" t="inlineStr">
        <is>
          <t>sale</t>
        </is>
      </c>
      <c r="D1047" t="inlineStr"/>
      <c r="E1047" t="inlineStr">
        <is>
          <t>Да</t>
        </is>
      </c>
      <c r="F1047" t="inlineStr"/>
      <c r="G1047" t="inlineStr"/>
      <c r="H1047" t="inlineStr">
        <is>
          <t>214.2</t>
        </is>
      </c>
      <c r="I1047" t="inlineStr"/>
      <c r="J1047" t="inlineStr"/>
      <c r="K1047" t="inlineStr">
        <is>
          <t>2 250 000</t>
        </is>
      </c>
      <c r="L1047" t="inlineStr"/>
      <c r="M1047" t="inlineStr"/>
      <c r="N1047" t="inlineStr">
        <is>
          <t>Нет у нас</t>
        </is>
      </c>
      <c r="O1047" t="inlineStr"/>
      <c r="P1047" t="inlineStr"/>
      <c r="Q1047" t="inlineStr"/>
      <c r="R1047">
        <f>HYPERLINK("https://nordwestinvest.ru/real-estates/prodaza-pomeshheniia-v-pskovskaia-obl","ссылка")</f>
        <v/>
      </c>
      <c r="S1047" t="inlineStr"/>
    </row>
    <row r="1048">
      <c r="A1048" t="inlineStr">
        <is>
          <t>Не определен</t>
        </is>
      </c>
      <c r="B1048" t="inlineStr">
        <is>
          <t>Пушкин г, Гусарская ул, 4 АИ</t>
        </is>
      </c>
      <c r="C1048" t="inlineStr">
        <is>
          <t>sale</t>
        </is>
      </c>
      <c r="D1048" t="inlineStr"/>
      <c r="E1048" t="inlineStr">
        <is>
          <t>Да</t>
        </is>
      </c>
      <c r="F1048" t="inlineStr"/>
      <c r="G1048" t="inlineStr"/>
      <c r="H1048" t="inlineStr">
        <is>
          <t>210</t>
        </is>
      </c>
      <c r="I1048" t="inlineStr"/>
      <c r="J1048" t="inlineStr"/>
      <c r="K1048" t="inlineStr">
        <is>
          <t>65 900 000</t>
        </is>
      </c>
      <c r="L1048" t="inlineStr"/>
      <c r="M1048" t="inlineStr"/>
      <c r="N1048" t="inlineStr">
        <is>
          <t>Нет у нас</t>
        </is>
      </c>
      <c r="O1048" t="inlineStr"/>
      <c r="P1048" t="inlineStr"/>
      <c r="Q1048" t="inlineStr"/>
      <c r="R1048">
        <f>HYPERLINK("https://nordwestinvest.ru/real-estates/kofeiniamagazin-okupaemost-8vitriny-210-m2-3","ссылка")</f>
        <v/>
      </c>
      <c r="S1048" t="inlineStr"/>
    </row>
    <row r="1049">
      <c r="A1049" t="inlineStr">
        <is>
          <t>Не определен</t>
        </is>
      </c>
      <c r="B1049" t="inlineStr">
        <is>
          <t>Раздольная, 25</t>
        </is>
      </c>
      <c r="C1049" t="inlineStr">
        <is>
          <t>sale</t>
        </is>
      </c>
      <c r="D1049" t="inlineStr">
        <is>
          <t>Да</t>
        </is>
      </c>
      <c r="E1049" t="inlineStr"/>
      <c r="F1049" t="inlineStr"/>
      <c r="G1049" t="inlineStr">
        <is>
          <t>576</t>
        </is>
      </c>
      <c r="H1049" t="inlineStr"/>
      <c r="I1049" t="inlineStr"/>
      <c r="J1049" t="inlineStr">
        <is>
          <t>42 000 000</t>
        </is>
      </c>
      <c r="K1049" t="inlineStr"/>
      <c r="L1049" t="inlineStr"/>
      <c r="M1049" t="inlineStr">
        <is>
          <t>Нет у нас</t>
        </is>
      </c>
      <c r="N1049" t="inlineStr"/>
      <c r="O1049" t="inlineStr"/>
      <c r="P1049" t="inlineStr"/>
      <c r="Q1049">
        <f>HYPERLINK("https://knru.ru/catalog/razdolnaya-25/","ссылка")</f>
        <v/>
      </c>
      <c r="R1049" t="inlineStr"/>
      <c r="S1049" t="inlineStr"/>
    </row>
    <row r="1050">
      <c r="A1050" t="inlineStr">
        <is>
          <t>Не определен</t>
        </is>
      </c>
      <c r="B1050" t="inlineStr">
        <is>
          <t>Разметелевская ул, 11</t>
        </is>
      </c>
      <c r="C1050" t="inlineStr">
        <is>
          <t>sale</t>
        </is>
      </c>
      <c r="D1050" t="inlineStr">
        <is>
          <t>Да</t>
        </is>
      </c>
      <c r="E1050" t="inlineStr"/>
      <c r="F1050" t="inlineStr"/>
      <c r="G1050" t="inlineStr">
        <is>
          <t>10000</t>
        </is>
      </c>
      <c r="H1050" t="inlineStr"/>
      <c r="I1050" t="inlineStr"/>
      <c r="J1050" t="inlineStr">
        <is>
          <t>16 000 000</t>
        </is>
      </c>
      <c r="K1050" t="inlineStr"/>
      <c r="L1050" t="inlineStr"/>
      <c r="M1050" t="inlineStr">
        <is>
          <t>Нет у нас</t>
        </is>
      </c>
      <c r="N1050" t="inlineStr"/>
      <c r="O1050" t="inlineStr"/>
      <c r="P1050" t="inlineStr"/>
      <c r="Q1050">
        <f>HYPERLINK("https://knru.ru/catalog/razmetelevskaya-ul-11-557990/","ссылка")</f>
        <v/>
      </c>
      <c r="R1050" t="inlineStr"/>
      <c r="S1050" t="inlineStr"/>
    </row>
    <row r="1051">
      <c r="A1051" t="inlineStr">
        <is>
          <t>Не определен</t>
        </is>
      </c>
      <c r="B1051" t="inlineStr">
        <is>
          <t>Разметелевская ул, 11</t>
        </is>
      </c>
      <c r="C1051" t="inlineStr">
        <is>
          <t>sale</t>
        </is>
      </c>
      <c r="D1051" t="inlineStr">
        <is>
          <t>Да</t>
        </is>
      </c>
      <c r="E1051" t="inlineStr"/>
      <c r="F1051" t="inlineStr"/>
      <c r="G1051" t="inlineStr">
        <is>
          <t>800</t>
        </is>
      </c>
      <c r="H1051" t="inlineStr"/>
      <c r="I1051" t="inlineStr"/>
      <c r="J1051" t="inlineStr">
        <is>
          <t>48 000 000</t>
        </is>
      </c>
      <c r="K1051" t="inlineStr"/>
      <c r="L1051" t="inlineStr"/>
      <c r="M1051" t="inlineStr">
        <is>
          <t>Нет у нас</t>
        </is>
      </c>
      <c r="N1051" t="inlineStr"/>
      <c r="O1051" t="inlineStr"/>
      <c r="P1051" t="inlineStr"/>
      <c r="Q1051">
        <f>HYPERLINK("https://knru.ru/catalog/razmetelevskaya-ul-11/","ссылка")</f>
        <v/>
      </c>
      <c r="R1051" t="inlineStr"/>
      <c r="S1051" t="inlineStr"/>
    </row>
    <row r="1052">
      <c r="A1052" t="inlineStr">
        <is>
          <t>Не определен</t>
        </is>
      </c>
      <c r="B1052" t="inlineStr">
        <is>
          <t>Репино п, -, -</t>
        </is>
      </c>
      <c r="C1052" t="inlineStr">
        <is>
          <t>sale</t>
        </is>
      </c>
      <c r="D1052" t="inlineStr"/>
      <c r="E1052" t="inlineStr">
        <is>
          <t>Да</t>
        </is>
      </c>
      <c r="F1052" t="inlineStr"/>
      <c r="G1052" t="inlineStr"/>
      <c r="H1052" t="inlineStr">
        <is>
          <t>20000</t>
        </is>
      </c>
      <c r="I1052" t="inlineStr"/>
      <c r="J1052" t="inlineStr"/>
      <c r="K1052" t="inlineStr">
        <is>
          <t>155 000 000</t>
        </is>
      </c>
      <c r="L1052" t="inlineStr"/>
      <c r="M1052" t="inlineStr"/>
      <c r="N1052" t="inlineStr">
        <is>
          <t>Нет у нас</t>
        </is>
      </c>
      <c r="O1052" t="inlineStr"/>
      <c r="P1052" t="inlineStr"/>
      <c r="Q1052" t="inlineStr"/>
      <c r="R1052">
        <f>HYPERLINK("https://nordwestinvest.ru/real-estates/prodaza-2-ga-lesa-v-repino","ссылка")</f>
        <v/>
      </c>
      <c r="S1052" t="inlineStr"/>
    </row>
    <row r="1053">
      <c r="A1053" t="inlineStr">
        <is>
          <t>Не определен</t>
        </is>
      </c>
      <c r="B1053" t="inlineStr">
        <is>
          <t>Рижский пр-кт, 62 М</t>
        </is>
      </c>
      <c r="C1053" t="inlineStr">
        <is>
          <t>sale</t>
        </is>
      </c>
      <c r="D1053" t="inlineStr"/>
      <c r="E1053" t="inlineStr">
        <is>
          <t>Да</t>
        </is>
      </c>
      <c r="F1053" t="inlineStr"/>
      <c r="G1053" t="inlineStr"/>
      <c r="H1053" t="inlineStr">
        <is>
          <t>65</t>
        </is>
      </c>
      <c r="I1053" t="inlineStr"/>
      <c r="J1053" t="inlineStr"/>
      <c r="K1053" t="inlineStr">
        <is>
          <t>9 300 000</t>
        </is>
      </c>
      <c r="L1053" t="inlineStr"/>
      <c r="M1053" t="inlineStr"/>
      <c r="N1053" t="inlineStr">
        <is>
          <t>Нет у нас</t>
        </is>
      </c>
      <c r="O1053" t="inlineStr"/>
      <c r="P1053" t="inlineStr"/>
      <c r="Q1053" t="inlineStr"/>
      <c r="R1053">
        <f>HYPERLINK("https://nordwestinvest.ru/real-estates/prodaza-65-m2-s-arendatorom","ссылка")</f>
        <v/>
      </c>
      <c r="S1053" t="inlineStr"/>
    </row>
    <row r="1054">
      <c r="A1054" t="inlineStr">
        <is>
          <t>Не определен</t>
        </is>
      </c>
      <c r="B1054" t="inlineStr">
        <is>
          <t>Римского-Корсакова пр-кт, 49</t>
        </is>
      </c>
      <c r="C1054" t="inlineStr">
        <is>
          <t>sale</t>
        </is>
      </c>
      <c r="D1054" t="inlineStr"/>
      <c r="E1054" t="inlineStr">
        <is>
          <t>Да</t>
        </is>
      </c>
      <c r="F1054" t="inlineStr"/>
      <c r="G1054" t="inlineStr"/>
      <c r="H1054" t="inlineStr">
        <is>
          <t>150.8</t>
        </is>
      </c>
      <c r="I1054" t="inlineStr"/>
      <c r="J1054" t="inlineStr"/>
      <c r="K1054" t="inlineStr">
        <is>
          <t>35 000 000</t>
        </is>
      </c>
      <c r="L1054" t="inlineStr"/>
      <c r="M1054" t="inlineStr"/>
      <c r="N1054" t="inlineStr">
        <is>
          <t>Совпало</t>
        </is>
      </c>
      <c r="O1054" t="inlineStr"/>
      <c r="P1054" t="inlineStr"/>
      <c r="Q1054" t="inlineStr"/>
      <c r="R1054">
        <f>HYPERLINK("https://nordwestinvest.ru/real-estates/cito-gvrito","ссылка")</f>
        <v/>
      </c>
      <c r="S1054" t="inlineStr"/>
    </row>
    <row r="1055">
      <c r="A1055" t="inlineStr">
        <is>
          <t>Не определен</t>
        </is>
      </c>
      <c r="B1055" t="inlineStr">
        <is>
          <t>Рубежное шос., д. 14</t>
        </is>
      </c>
      <c r="C1055" t="inlineStr">
        <is>
          <t>sale</t>
        </is>
      </c>
      <c r="D1055" t="inlineStr">
        <is>
          <t>Да</t>
        </is>
      </c>
      <c r="E1055" t="inlineStr"/>
      <c r="F1055" t="inlineStr"/>
      <c r="G1055" t="inlineStr">
        <is>
          <t>81.3</t>
        </is>
      </c>
      <c r="H1055" t="inlineStr"/>
      <c r="I1055" t="inlineStr"/>
      <c r="J1055" t="inlineStr">
        <is>
          <t>14 056 770</t>
        </is>
      </c>
      <c r="K1055" t="inlineStr"/>
      <c r="L1055" t="inlineStr"/>
      <c r="M1055" t="inlineStr">
        <is>
          <t>Нет у нас</t>
        </is>
      </c>
      <c r="N1055" t="inlineStr"/>
      <c r="O1055" t="inlineStr"/>
      <c r="P1055" t="inlineStr"/>
      <c r="Q1055">
        <f>HYPERLINK("https://knru.ru/catalog/rubezhnoe-shos-d-14/","ссылка")</f>
        <v/>
      </c>
      <c r="R1055" t="inlineStr"/>
      <c r="S1055" t="inlineStr"/>
    </row>
    <row r="1056">
      <c r="A1056" t="inlineStr">
        <is>
          <t>Не определен</t>
        </is>
      </c>
      <c r="B1056" t="inlineStr">
        <is>
          <t>Рязанская обл, Калиновка с, -, -</t>
        </is>
      </c>
      <c r="C1056" t="inlineStr">
        <is>
          <t>sale</t>
        </is>
      </c>
      <c r="D1056" t="inlineStr"/>
      <c r="E1056" t="inlineStr">
        <is>
          <t>Да</t>
        </is>
      </c>
      <c r="F1056" t="inlineStr"/>
      <c r="G1056" t="inlineStr"/>
      <c r="H1056" t="inlineStr">
        <is>
          <t>14693499</t>
        </is>
      </c>
      <c r="I1056" t="inlineStr"/>
      <c r="J1056" t="inlineStr"/>
      <c r="K1056" t="inlineStr">
        <is>
          <t>130 000 000</t>
        </is>
      </c>
      <c r="L1056" t="inlineStr"/>
      <c r="M1056" t="inlineStr"/>
      <c r="N1056" t="inlineStr">
        <is>
          <t>Нет у нас</t>
        </is>
      </c>
      <c r="O1056" t="inlineStr"/>
      <c r="P1056" t="inlineStr"/>
      <c r="Q1056" t="inlineStr"/>
      <c r="R1056">
        <f>HYPERLINK("https://nordwestinvest.ru/real-estates/prodaza-zemelnogo-ucastka-16","ссылка")</f>
        <v/>
      </c>
      <c r="S1056" t="inlineStr"/>
    </row>
    <row r="1057">
      <c r="A1057" t="inlineStr">
        <is>
          <t>Не определен</t>
        </is>
      </c>
      <c r="B1057" t="inlineStr">
        <is>
          <t>Севастьянова ул., д. дом 34корпус1</t>
        </is>
      </c>
      <c r="C1057" t="inlineStr">
        <is>
          <t>sale</t>
        </is>
      </c>
      <c r="D1057" t="inlineStr">
        <is>
          <t>Да</t>
        </is>
      </c>
      <c r="E1057" t="inlineStr"/>
      <c r="F1057" t="inlineStr"/>
      <c r="G1057" t="inlineStr">
        <is>
          <t>120.3</t>
        </is>
      </c>
      <c r="H1057" t="inlineStr"/>
      <c r="I1057" t="inlineStr"/>
      <c r="J1057" t="inlineStr">
        <is>
          <t>19 616 055</t>
        </is>
      </c>
      <c r="K1057" t="inlineStr"/>
      <c r="L1057" t="inlineStr"/>
      <c r="M1057" t="inlineStr">
        <is>
          <t>Нет у нас</t>
        </is>
      </c>
      <c r="N1057" t="inlineStr"/>
      <c r="O1057" t="inlineStr"/>
      <c r="P1057" t="inlineStr"/>
      <c r="Q1057">
        <f>HYPERLINK("https://knru.ru/catalog/sevastyanova-ul-d-dom-34korpus1/","ссылка")</f>
        <v/>
      </c>
      <c r="R1057" t="inlineStr"/>
      <c r="S1057" t="inlineStr"/>
    </row>
    <row r="1058">
      <c r="A1058" t="inlineStr">
        <is>
          <t>Не определен</t>
        </is>
      </c>
      <c r="B1058" t="inlineStr">
        <is>
          <t>Седова ул, 77/28 А</t>
        </is>
      </c>
      <c r="C1058" t="inlineStr">
        <is>
          <t>sale</t>
        </is>
      </c>
      <c r="D1058" t="inlineStr"/>
      <c r="E1058" t="inlineStr">
        <is>
          <t>Да</t>
        </is>
      </c>
      <c r="F1058" t="inlineStr"/>
      <c r="G1058" t="inlineStr"/>
      <c r="H1058" t="inlineStr">
        <is>
          <t>57.3</t>
        </is>
      </c>
      <c r="I1058" t="inlineStr"/>
      <c r="J1058" t="inlineStr"/>
      <c r="K1058" t="inlineStr">
        <is>
          <t>19 990 000</t>
        </is>
      </c>
      <c r="L1058" t="inlineStr"/>
      <c r="M1058" t="inlineStr"/>
      <c r="N1058" t="inlineStr">
        <is>
          <t>Нет у нас</t>
        </is>
      </c>
      <c r="O1058" t="inlineStr"/>
      <c r="P1058" t="inlineStr"/>
      <c r="Q1058" t="inlineStr"/>
      <c r="R1058">
        <f>HYPERLINK("https://nordwestinvest.ru/real-estates/prodaza-pomeshheniia-s-arendatorom-susivok","ссылка")</f>
        <v/>
      </c>
      <c r="S1058" t="inlineStr"/>
    </row>
    <row r="1059">
      <c r="A1059" t="inlineStr">
        <is>
          <t>Не определен</t>
        </is>
      </c>
      <c r="B1059" t="inlineStr">
        <is>
          <t>Сестрорецк г, Приморское ш, 186 А</t>
        </is>
      </c>
      <c r="C1059" t="inlineStr">
        <is>
          <t>sale</t>
        </is>
      </c>
      <c r="D1059" t="inlineStr"/>
      <c r="E1059" t="inlineStr">
        <is>
          <t>Да</t>
        </is>
      </c>
      <c r="F1059" t="inlineStr"/>
      <c r="G1059" t="inlineStr"/>
      <c r="H1059" t="inlineStr">
        <is>
          <t>5000</t>
        </is>
      </c>
      <c r="I1059" t="inlineStr"/>
      <c r="J1059" t="inlineStr"/>
      <c r="K1059" t="inlineStr">
        <is>
          <t>45 000 000</t>
        </is>
      </c>
      <c r="L1059" t="inlineStr"/>
      <c r="M1059" t="inlineStr"/>
      <c r="N1059" t="inlineStr">
        <is>
          <t>Нет у нас</t>
        </is>
      </c>
      <c r="O1059" t="inlineStr"/>
      <c r="P1059" t="inlineStr"/>
      <c r="Q1059" t="inlineStr"/>
      <c r="R1059">
        <f>HYPERLINK("https://nordwestinvest.ru/real-estates/perspektivnyi-ucastok-50-sot-izs","ссылка")</f>
        <v/>
      </c>
      <c r="S1059" t="inlineStr"/>
    </row>
    <row r="1060">
      <c r="A1060" t="inlineStr">
        <is>
          <t>Не определен</t>
        </is>
      </c>
      <c r="B1060" t="inlineStr">
        <is>
          <t>Синдинская ул., д. 14 с 1</t>
        </is>
      </c>
      <c r="C1060" t="inlineStr">
        <is>
          <t>sale</t>
        </is>
      </c>
      <c r="D1060" t="inlineStr">
        <is>
          <t>Да</t>
        </is>
      </c>
      <c r="E1060" t="inlineStr"/>
      <c r="F1060" t="inlineStr"/>
      <c r="G1060" t="inlineStr">
        <is>
          <t>85</t>
        </is>
      </c>
      <c r="H1060" t="inlineStr"/>
      <c r="I1060" t="inlineStr"/>
      <c r="J1060" t="inlineStr">
        <is>
          <t>21 302 395</t>
        </is>
      </c>
      <c r="K1060" t="inlineStr"/>
      <c r="L1060" t="inlineStr"/>
      <c r="M1060" t="inlineStr">
        <is>
          <t>Нет у нас</t>
        </is>
      </c>
      <c r="N1060" t="inlineStr"/>
      <c r="O1060" t="inlineStr"/>
      <c r="P1060" t="inlineStr"/>
      <c r="Q1060">
        <f>HYPERLINK("https://knru.ru/catalog/sindinskaya-ul-d-14-s-1-850170536/","ссылка")</f>
        <v/>
      </c>
      <c r="R1060" t="inlineStr"/>
      <c r="S1060" t="inlineStr"/>
    </row>
    <row r="1061">
      <c r="A1061" t="inlineStr">
        <is>
          <t>Не определен</t>
        </is>
      </c>
      <c r="B1061" t="inlineStr">
        <is>
          <t>Синдинская ул., д. 14 с 1</t>
        </is>
      </c>
      <c r="C1061" t="inlineStr">
        <is>
          <t>sale</t>
        </is>
      </c>
      <c r="D1061" t="inlineStr">
        <is>
          <t>Да</t>
        </is>
      </c>
      <c r="E1061" t="inlineStr"/>
      <c r="F1061" t="inlineStr"/>
      <c r="G1061" t="inlineStr">
        <is>
          <t>64.7</t>
        </is>
      </c>
      <c r="H1061" t="inlineStr"/>
      <c r="I1061" t="inlineStr"/>
      <c r="J1061" t="inlineStr">
        <is>
          <t>15 252 451</t>
        </is>
      </c>
      <c r="K1061" t="inlineStr"/>
      <c r="L1061" t="inlineStr"/>
      <c r="M1061" t="inlineStr">
        <is>
          <t>Нет у нас</t>
        </is>
      </c>
      <c r="N1061" t="inlineStr"/>
      <c r="O1061" t="inlineStr"/>
      <c r="P1061" t="inlineStr"/>
      <c r="Q1061">
        <f>HYPERLINK("https://knru.ru/catalog/sindinskaya-ul-d-14-s-1/","ссылка")</f>
        <v/>
      </c>
      <c r="R1061" t="inlineStr"/>
      <c r="S1061" t="inlineStr"/>
    </row>
    <row r="1062">
      <c r="A1062" t="inlineStr">
        <is>
          <t>Не определен</t>
        </is>
      </c>
      <c r="B1062" t="inlineStr">
        <is>
          <t>Скотное дер.</t>
        </is>
      </c>
      <c r="C1062" t="inlineStr">
        <is>
          <t>sale</t>
        </is>
      </c>
      <c r="D1062" t="inlineStr">
        <is>
          <t>Да</t>
        </is>
      </c>
      <c r="E1062" t="inlineStr"/>
      <c r="F1062" t="inlineStr"/>
      <c r="G1062" t="inlineStr">
        <is>
          <t>88.8</t>
        </is>
      </c>
      <c r="H1062" t="inlineStr"/>
      <c r="I1062" t="inlineStr"/>
      <c r="J1062" t="inlineStr">
        <is>
          <t>13 326 000</t>
        </is>
      </c>
      <c r="K1062" t="inlineStr"/>
      <c r="L1062" t="inlineStr"/>
      <c r="M1062" t="inlineStr">
        <is>
          <t>Нет у нас</t>
        </is>
      </c>
      <c r="N1062" t="inlineStr"/>
      <c r="O1062" t="inlineStr"/>
      <c r="P1062" t="inlineStr"/>
      <c r="Q1062">
        <f>HYPERLINK("https://knru.ru/catalog/skotnoe-der-937451214/","ссылка")</f>
        <v/>
      </c>
      <c r="R1062" t="inlineStr"/>
      <c r="S1062" t="inlineStr"/>
    </row>
    <row r="1063">
      <c r="A1063" t="inlineStr">
        <is>
          <t>Не определен</t>
        </is>
      </c>
      <c r="B1063" t="inlineStr">
        <is>
          <t>Скотное дер.</t>
        </is>
      </c>
      <c r="C1063" t="inlineStr">
        <is>
          <t>sale</t>
        </is>
      </c>
      <c r="D1063" t="inlineStr">
        <is>
          <t>Да</t>
        </is>
      </c>
      <c r="E1063" t="inlineStr"/>
      <c r="F1063" t="inlineStr"/>
      <c r="G1063" t="inlineStr">
        <is>
          <t>50.9</t>
        </is>
      </c>
      <c r="H1063" t="inlineStr"/>
      <c r="I1063" t="inlineStr"/>
      <c r="J1063" t="inlineStr">
        <is>
          <t>7 627 500</t>
        </is>
      </c>
      <c r="K1063" t="inlineStr"/>
      <c r="L1063" t="inlineStr"/>
      <c r="M1063" t="inlineStr">
        <is>
          <t>Нет у нас</t>
        </is>
      </c>
      <c r="N1063" t="inlineStr"/>
      <c r="O1063" t="inlineStr"/>
      <c r="P1063" t="inlineStr"/>
      <c r="Q1063">
        <f>HYPERLINK("https://knru.ru/catalog/skotnoe-der-228419543/","ссылка")</f>
        <v/>
      </c>
      <c r="R1063" t="inlineStr"/>
      <c r="S1063" t="inlineStr"/>
    </row>
    <row r="1064">
      <c r="A1064" t="inlineStr">
        <is>
          <t>Не определен</t>
        </is>
      </c>
      <c r="B1064" t="inlineStr">
        <is>
          <t>Скотное дер.</t>
        </is>
      </c>
      <c r="C1064" t="inlineStr">
        <is>
          <t>sale</t>
        </is>
      </c>
      <c r="D1064" t="inlineStr">
        <is>
          <t>Да</t>
        </is>
      </c>
      <c r="E1064" t="inlineStr"/>
      <c r="F1064" t="inlineStr"/>
      <c r="G1064" t="inlineStr">
        <is>
          <t>64.2</t>
        </is>
      </c>
      <c r="H1064" t="inlineStr"/>
      <c r="I1064" t="inlineStr"/>
      <c r="J1064" t="inlineStr">
        <is>
          <t>9 625 500</t>
        </is>
      </c>
      <c r="K1064" t="inlineStr"/>
      <c r="L1064" t="inlineStr"/>
      <c r="M1064" t="inlineStr">
        <is>
          <t>Нет у нас</t>
        </is>
      </c>
      <c r="N1064" t="inlineStr"/>
      <c r="O1064" t="inlineStr"/>
      <c r="P1064" t="inlineStr"/>
      <c r="Q1064">
        <f>HYPERLINK("https://knru.ru/catalog/skotnoe-der-1645303019/","ссылка")</f>
        <v/>
      </c>
      <c r="R1064" t="inlineStr"/>
      <c r="S1064" t="inlineStr"/>
    </row>
    <row r="1065">
      <c r="A1065" t="inlineStr">
        <is>
          <t>Не определен</t>
        </is>
      </c>
      <c r="B1065" t="inlineStr">
        <is>
          <t>Скотное дер.</t>
        </is>
      </c>
      <c r="C1065" t="inlineStr">
        <is>
          <t>sale</t>
        </is>
      </c>
      <c r="D1065" t="inlineStr">
        <is>
          <t>Да</t>
        </is>
      </c>
      <c r="E1065" t="inlineStr"/>
      <c r="F1065" t="inlineStr"/>
      <c r="G1065" t="inlineStr">
        <is>
          <t>43.7</t>
        </is>
      </c>
      <c r="H1065" t="inlineStr"/>
      <c r="I1065" t="inlineStr"/>
      <c r="J1065" t="inlineStr">
        <is>
          <t>7 040 530</t>
        </is>
      </c>
      <c r="K1065" t="inlineStr"/>
      <c r="L1065" t="inlineStr"/>
      <c r="M1065" t="inlineStr">
        <is>
          <t>Нет у нас</t>
        </is>
      </c>
      <c r="N1065" t="inlineStr"/>
      <c r="O1065" t="inlineStr"/>
      <c r="P1065" t="inlineStr"/>
      <c r="Q1065">
        <f>HYPERLINK("https://knru.ru/catalog/skotnoe-der-689151577/","ссылка")</f>
        <v/>
      </c>
      <c r="R1065" t="inlineStr"/>
      <c r="S1065" t="inlineStr"/>
    </row>
    <row r="1066">
      <c r="A1066" t="inlineStr">
        <is>
          <t>Не определен</t>
        </is>
      </c>
      <c r="B1066" t="inlineStr">
        <is>
          <t>Скотное дер.</t>
        </is>
      </c>
      <c r="C1066" t="inlineStr">
        <is>
          <t>sale</t>
        </is>
      </c>
      <c r="D1066" t="inlineStr">
        <is>
          <t>Да</t>
        </is>
      </c>
      <c r="E1066" t="inlineStr"/>
      <c r="F1066" t="inlineStr"/>
      <c r="G1066" t="inlineStr">
        <is>
          <t>82.3</t>
        </is>
      </c>
      <c r="H1066" t="inlineStr"/>
      <c r="I1066" t="inlineStr"/>
      <c r="J1066" t="inlineStr">
        <is>
          <t>12 348 000</t>
        </is>
      </c>
      <c r="K1066" t="inlineStr"/>
      <c r="L1066" t="inlineStr"/>
      <c r="M1066" t="inlineStr">
        <is>
          <t>Нет у нас</t>
        </is>
      </c>
      <c r="N1066" t="inlineStr"/>
      <c r="O1066" t="inlineStr"/>
      <c r="P1066" t="inlineStr"/>
      <c r="Q1066">
        <f>HYPERLINK("https://knru.ru/catalog/skotnoe-der-858587370/","ссылка")</f>
        <v/>
      </c>
      <c r="R1066" t="inlineStr"/>
      <c r="S1066" t="inlineStr"/>
    </row>
    <row r="1067">
      <c r="A1067" t="inlineStr">
        <is>
          <t>Не определен</t>
        </is>
      </c>
      <c r="B1067" t="inlineStr">
        <is>
          <t>Старо-Петергофский пр-кт, 41 А</t>
        </is>
      </c>
      <c r="C1067" t="inlineStr">
        <is>
          <t>sale</t>
        </is>
      </c>
      <c r="D1067" t="inlineStr"/>
      <c r="E1067" t="inlineStr">
        <is>
          <t>Да</t>
        </is>
      </c>
      <c r="F1067" t="inlineStr"/>
      <c r="G1067" t="inlineStr"/>
      <c r="H1067" t="inlineStr">
        <is>
          <t>175</t>
        </is>
      </c>
      <c r="I1067" t="inlineStr"/>
      <c r="J1067" t="inlineStr"/>
      <c r="K1067" t="inlineStr">
        <is>
          <t>30 000 000</t>
        </is>
      </c>
      <c r="L1067" t="inlineStr"/>
      <c r="M1067" t="inlineStr"/>
      <c r="N1067" t="inlineStr">
        <is>
          <t>По адресу есть, но площадь другая</t>
        </is>
      </c>
      <c r="O1067" t="inlineStr"/>
      <c r="P1067" t="inlineStr"/>
      <c r="Q1067" t="inlineStr"/>
      <c r="R1067">
        <f>HYPERLINK("https://nordwestinvest.ru/real-estates/prodaza-200-m2-s-arendatorom","ссылка")</f>
        <v/>
      </c>
      <c r="S1067" t="inlineStr"/>
    </row>
    <row r="1068">
      <c r="A1068" t="inlineStr">
        <is>
          <t>Не определен</t>
        </is>
      </c>
      <c r="B1068" t="inlineStr">
        <is>
          <t>Стачек пр-кт, 81к2стр1</t>
        </is>
      </c>
      <c r="C1068" t="inlineStr">
        <is>
          <t>sale</t>
        </is>
      </c>
      <c r="D1068" t="inlineStr"/>
      <c r="E1068" t="inlineStr">
        <is>
          <t>Да</t>
        </is>
      </c>
      <c r="F1068" t="inlineStr"/>
      <c r="G1068" t="inlineStr"/>
      <c r="H1068" t="inlineStr">
        <is>
          <t>865</t>
        </is>
      </c>
      <c r="I1068" t="inlineStr"/>
      <c r="J1068" t="inlineStr"/>
      <c r="K1068" t="inlineStr">
        <is>
          <t>160 000 000</t>
        </is>
      </c>
      <c r="L1068" t="inlineStr"/>
      <c r="M1068" t="inlineStr"/>
      <c r="N1068" t="inlineStr">
        <is>
          <t>Нет у нас</t>
        </is>
      </c>
      <c r="O1068" t="inlineStr"/>
      <c r="P1068" t="inlineStr"/>
      <c r="Q1068" t="inlineStr"/>
      <c r="R1068">
        <f>HYPERLINK("https://nordwestinvest.ru/real-estates/zdanie-s-arendatorami-okupaemost-9-let","ссылка")</f>
        <v/>
      </c>
      <c r="S1068" t="inlineStr"/>
    </row>
    <row r="1069">
      <c r="A1069" t="inlineStr">
        <is>
          <t>Не определен</t>
        </is>
      </c>
      <c r="B1069" t="inlineStr">
        <is>
          <t>Стрельна п, Константина Тимошинина ул, 5</t>
        </is>
      </c>
      <c r="C1069" t="inlineStr">
        <is>
          <t>sale</t>
        </is>
      </c>
      <c r="D1069" t="inlineStr"/>
      <c r="E1069" t="inlineStr">
        <is>
          <t>Да</t>
        </is>
      </c>
      <c r="F1069" t="inlineStr"/>
      <c r="G1069" t="inlineStr"/>
      <c r="H1069" t="inlineStr">
        <is>
          <t>57.9</t>
        </is>
      </c>
      <c r="I1069" t="inlineStr"/>
      <c r="J1069" t="inlineStr"/>
      <c r="K1069" t="inlineStr">
        <is>
          <t>16 300 000</t>
        </is>
      </c>
      <c r="L1069" t="inlineStr"/>
      <c r="M1069" t="inlineStr"/>
      <c r="N1069" t="inlineStr">
        <is>
          <t>Нет у нас</t>
        </is>
      </c>
      <c r="O1069" t="inlineStr"/>
      <c r="P1069" t="inlineStr"/>
      <c r="Q1069" t="inlineStr"/>
      <c r="R1069">
        <f>HYPERLINK("https://nordwestinvest.ru/real-estates/prodaza-pomeshheniia-v-strelna","ссылка")</f>
        <v/>
      </c>
      <c r="S1069" t="inlineStr"/>
    </row>
    <row r="1070">
      <c r="A1070" t="inlineStr">
        <is>
          <t>Не определен</t>
        </is>
      </c>
      <c r="B1070" t="inlineStr">
        <is>
          <t>Суздальское ш, 26к1стр1</t>
        </is>
      </c>
      <c r="C1070" t="inlineStr">
        <is>
          <t>sale</t>
        </is>
      </c>
      <c r="D1070" t="inlineStr">
        <is>
          <t>Да</t>
        </is>
      </c>
      <c r="E1070" t="inlineStr"/>
      <c r="F1070" t="inlineStr"/>
      <c r="G1070" t="inlineStr">
        <is>
          <t>27104</t>
        </is>
      </c>
      <c r="H1070" t="inlineStr"/>
      <c r="I1070" t="inlineStr"/>
      <c r="J1070" t="inlineStr">
        <is>
          <t>3 684 400 000</t>
        </is>
      </c>
      <c r="K1070" t="inlineStr"/>
      <c r="L1070" t="inlineStr"/>
      <c r="M1070" t="inlineStr">
        <is>
          <t>Нет у нас</t>
        </is>
      </c>
      <c r="N1070" t="inlineStr"/>
      <c r="O1070" t="inlineStr"/>
      <c r="P1070" t="inlineStr"/>
      <c r="Q1070">
        <f>HYPERLINK("https://knru.ru/catalog/suzdalskoe-sh-26k1str1/","ссылка")</f>
        <v/>
      </c>
      <c r="R1070" t="inlineStr"/>
      <c r="S1070" t="inlineStr"/>
    </row>
    <row r="1071">
      <c r="A1071" t="inlineStr">
        <is>
          <t>Не определен</t>
        </is>
      </c>
      <c r="B1071" t="inlineStr">
        <is>
          <t>Тамбасова ул, 1к1стр1</t>
        </is>
      </c>
      <c r="C1071" t="inlineStr">
        <is>
          <t>sale</t>
        </is>
      </c>
      <c r="D1071" t="inlineStr">
        <is>
          <t>Да</t>
        </is>
      </c>
      <c r="E1071" t="inlineStr"/>
      <c r="F1071" t="inlineStr"/>
      <c r="G1071" t="inlineStr">
        <is>
          <t>152.8</t>
        </is>
      </c>
      <c r="H1071" t="inlineStr"/>
      <c r="I1071" t="inlineStr"/>
      <c r="J1071" t="inlineStr">
        <is>
          <t>25 212 000</t>
        </is>
      </c>
      <c r="K1071" t="inlineStr"/>
      <c r="L1071" t="inlineStr"/>
      <c r="M1071" t="inlineStr">
        <is>
          <t>Нет у нас</t>
        </is>
      </c>
      <c r="N1071" t="inlineStr"/>
      <c r="O1071" t="inlineStr"/>
      <c r="P1071" t="inlineStr"/>
      <c r="Q1071">
        <f>HYPERLINK("https://knru.ru/catalog/ul-tambasova-d-1-k-1-560480/","ссылка")</f>
        <v/>
      </c>
      <c r="R1071" t="inlineStr"/>
      <c r="S1071" t="inlineStr"/>
    </row>
    <row r="1072">
      <c r="A1072" t="inlineStr">
        <is>
          <t>Не определен</t>
        </is>
      </c>
      <c r="B1072" t="inlineStr">
        <is>
          <t>Территория предприятия Шушары тер, 494</t>
        </is>
      </c>
      <c r="C1072" t="inlineStr">
        <is>
          <t>sale</t>
        </is>
      </c>
      <c r="D1072" t="inlineStr">
        <is>
          <t>Да</t>
        </is>
      </c>
      <c r="E1072" t="inlineStr"/>
      <c r="F1072" t="inlineStr"/>
      <c r="G1072" t="inlineStr">
        <is>
          <t>54183</t>
        </is>
      </c>
      <c r="H1072" t="inlineStr"/>
      <c r="I1072" t="inlineStr"/>
      <c r="J1072" t="inlineStr">
        <is>
          <t>250 000 000</t>
        </is>
      </c>
      <c r="K1072" t="inlineStr"/>
      <c r="L1072" t="inlineStr"/>
      <c r="M1072" t="inlineStr">
        <is>
          <t>Нет у нас</t>
        </is>
      </c>
      <c r="N1072" t="inlineStr"/>
      <c r="O1072" t="inlineStr"/>
      <c r="P1072" t="inlineStr"/>
      <c r="Q1072">
        <f>HYPERLINK("https://knru.ru/catalog/territoriya-predpriyatiya-shushary-ter-494/","ссылка")</f>
        <v/>
      </c>
      <c r="R1072" t="inlineStr"/>
      <c r="S1072" t="inlineStr"/>
    </row>
    <row r="1073">
      <c r="A1073" t="inlineStr">
        <is>
          <t>Не определен</t>
        </is>
      </c>
      <c r="B1073" t="inlineStr">
        <is>
          <t>Троицкий пр-кт, 7</t>
        </is>
      </c>
      <c r="C1073" t="inlineStr">
        <is>
          <t>sale</t>
        </is>
      </c>
      <c r="D1073" t="inlineStr"/>
      <c r="E1073" t="inlineStr">
        <is>
          <t>Да</t>
        </is>
      </c>
      <c r="F1073" t="inlineStr"/>
      <c r="G1073" t="inlineStr"/>
      <c r="H1073" t="inlineStr">
        <is>
          <t>391.4</t>
        </is>
      </c>
      <c r="I1073" t="inlineStr"/>
      <c r="J1073" t="inlineStr"/>
      <c r="K1073" t="inlineStr">
        <is>
          <t>110 000 000</t>
        </is>
      </c>
      <c r="L1073" t="inlineStr"/>
      <c r="M1073" t="inlineStr"/>
      <c r="N1073" t="inlineStr">
        <is>
          <t>У нас аренда, у конкурента продажа</t>
        </is>
      </c>
      <c r="O1073" t="inlineStr"/>
      <c r="P1073" t="inlineStr"/>
      <c r="Q1073" t="inlineStr"/>
      <c r="R1073">
        <f>HYPERLINK("https://nordwestinvest.ru/real-estates/prodaza-pomeshheniia-na-vysokom-trafike-3914-m2","ссылка")</f>
        <v/>
      </c>
      <c r="S1073" t="inlineStr"/>
    </row>
    <row r="1074">
      <c r="A1074" t="inlineStr">
        <is>
          <t>Не определен</t>
        </is>
      </c>
      <c r="B1074" t="inlineStr">
        <is>
          <t>ул Питерская</t>
        </is>
      </c>
      <c r="C1074" t="inlineStr">
        <is>
          <t>sale</t>
        </is>
      </c>
      <c r="D1074" t="inlineStr">
        <is>
          <t>Да</t>
        </is>
      </c>
      <c r="E1074" t="inlineStr"/>
      <c r="F1074" t="inlineStr"/>
      <c r="G1074" t="inlineStr">
        <is>
          <t>131.5</t>
        </is>
      </c>
      <c r="H1074" t="inlineStr"/>
      <c r="I1074" t="inlineStr"/>
      <c r="J1074" t="inlineStr">
        <is>
          <t>24 327 500</t>
        </is>
      </c>
      <c r="K1074" t="inlineStr"/>
      <c r="L1074" t="inlineStr"/>
      <c r="M1074" t="inlineStr">
        <is>
          <t>Нет у нас</t>
        </is>
      </c>
      <c r="N1074" t="inlineStr"/>
      <c r="O1074" t="inlineStr"/>
      <c r="P1074" t="inlineStr"/>
      <c r="Q1074">
        <f>HYPERLINK("https://knru.ru/catalog/novosele-piterskij-pr-556876/","ссылка")</f>
        <v/>
      </c>
      <c r="R1074" t="inlineStr"/>
      <c r="S1074" t="inlineStr"/>
    </row>
    <row r="1075">
      <c r="A1075" t="inlineStr">
        <is>
          <t>Не определен</t>
        </is>
      </c>
      <c r="B1075" t="inlineStr">
        <is>
          <t>ул Питерская</t>
        </is>
      </c>
      <c r="C1075" t="inlineStr">
        <is>
          <t>sale</t>
        </is>
      </c>
      <c r="D1075" t="inlineStr">
        <is>
          <t>Да</t>
        </is>
      </c>
      <c r="E1075" t="inlineStr"/>
      <c r="F1075" t="inlineStr"/>
      <c r="G1075" t="inlineStr">
        <is>
          <t>87.7</t>
        </is>
      </c>
      <c r="H1075" t="inlineStr"/>
      <c r="I1075" t="inlineStr"/>
      <c r="J1075" t="inlineStr">
        <is>
          <t>16 663 000</t>
        </is>
      </c>
      <c r="K1075" t="inlineStr"/>
      <c r="L1075" t="inlineStr"/>
      <c r="M1075" t="inlineStr">
        <is>
          <t>Нет у нас</t>
        </is>
      </c>
      <c r="N1075" t="inlineStr"/>
      <c r="O1075" t="inlineStr"/>
      <c r="P1075" t="inlineStr"/>
      <c r="Q1075">
        <f>HYPERLINK("https://knru.ru/catalog/novosele-piterskij-pr-556874/","ссылка")</f>
        <v/>
      </c>
      <c r="R1075" t="inlineStr"/>
      <c r="S1075" t="inlineStr"/>
    </row>
    <row r="1076">
      <c r="A1076" t="inlineStr">
        <is>
          <t>Не определен</t>
        </is>
      </c>
      <c r="B1076" t="inlineStr">
        <is>
          <t>ул Питерская, 2.1</t>
        </is>
      </c>
      <c r="C1076" t="inlineStr">
        <is>
          <t>sale</t>
        </is>
      </c>
      <c r="D1076" t="inlineStr">
        <is>
          <t>Да</t>
        </is>
      </c>
      <c r="E1076" t="inlineStr"/>
      <c r="F1076" t="inlineStr"/>
      <c r="G1076" t="inlineStr">
        <is>
          <t>127.1</t>
        </is>
      </c>
      <c r="H1076" t="inlineStr"/>
      <c r="I1076" t="inlineStr"/>
      <c r="J1076" t="inlineStr">
        <is>
          <t>30 504 000</t>
        </is>
      </c>
      <c r="K1076" t="inlineStr"/>
      <c r="L1076" t="inlineStr"/>
      <c r="M1076" t="inlineStr">
        <is>
          <t>Нет у нас</t>
        </is>
      </c>
      <c r="N1076" t="inlineStr"/>
      <c r="O1076" t="inlineStr"/>
      <c r="P1076" t="inlineStr"/>
      <c r="Q1076">
        <f>HYPERLINK("https://knru.ru/catalog/novosele-piterskij-pr-561436/","ссылка")</f>
        <v/>
      </c>
      <c r="R1076" t="inlineStr"/>
      <c r="S1076" t="inlineStr"/>
    </row>
    <row r="1077">
      <c r="A1077" t="inlineStr">
        <is>
          <t>Не определен</t>
        </is>
      </c>
      <c r="B1077" t="inlineStr">
        <is>
          <t>ул Питерская, 2.1</t>
        </is>
      </c>
      <c r="C1077" t="inlineStr">
        <is>
          <t>sale</t>
        </is>
      </c>
      <c r="D1077" t="inlineStr">
        <is>
          <t>Да</t>
        </is>
      </c>
      <c r="E1077" t="inlineStr"/>
      <c r="F1077" t="inlineStr"/>
      <c r="G1077" t="inlineStr">
        <is>
          <t>60.7</t>
        </is>
      </c>
      <c r="H1077" t="inlineStr"/>
      <c r="I1077" t="inlineStr"/>
      <c r="J1077" t="inlineStr">
        <is>
          <t>14 600 000</t>
        </is>
      </c>
      <c r="K1077" t="inlineStr"/>
      <c r="L1077" t="inlineStr"/>
      <c r="M1077" t="inlineStr">
        <is>
          <t>Нет у нас</t>
        </is>
      </c>
      <c r="N1077" t="inlineStr"/>
      <c r="O1077" t="inlineStr"/>
      <c r="P1077" t="inlineStr"/>
      <c r="Q1077">
        <f>HYPERLINK("https://knru.ru/catalog/novosele-piterskij-pr-560320/","ссылка")</f>
        <v/>
      </c>
      <c r="R1077" t="inlineStr"/>
      <c r="S1077" t="inlineStr"/>
    </row>
    <row r="1078">
      <c r="A1078" t="inlineStr">
        <is>
          <t>Не определен</t>
        </is>
      </c>
      <c r="B1078" t="inlineStr">
        <is>
          <t>Федоровское зона, 14</t>
        </is>
      </c>
      <c r="C1078" t="inlineStr">
        <is>
          <t>sale</t>
        </is>
      </c>
      <c r="D1078" t="inlineStr">
        <is>
          <t>Да</t>
        </is>
      </c>
      <c r="E1078" t="inlineStr"/>
      <c r="F1078" t="inlineStr"/>
      <c r="G1078" t="inlineStr">
        <is>
          <t>1450</t>
        </is>
      </c>
      <c r="H1078" t="inlineStr"/>
      <c r="I1078" t="inlineStr"/>
      <c r="J1078" t="inlineStr">
        <is>
          <t>75 000 000</t>
        </is>
      </c>
      <c r="K1078" t="inlineStr"/>
      <c r="L1078" t="inlineStr"/>
      <c r="M1078" t="inlineStr">
        <is>
          <t>Нет у нас</t>
        </is>
      </c>
      <c r="N1078" t="inlineStr"/>
      <c r="O1078" t="inlineStr"/>
      <c r="P1078" t="inlineStr"/>
      <c r="Q1078">
        <f>HYPERLINK("https://knru.ru/catalog/fedorovskoe-zona-14/","ссылка")</f>
        <v/>
      </c>
      <c r="R1078" t="inlineStr"/>
      <c r="S1078" t="inlineStr"/>
    </row>
    <row r="1079">
      <c r="A1079" t="inlineStr">
        <is>
          <t>Не определен</t>
        </is>
      </c>
      <c r="B1079" t="inlineStr">
        <is>
          <t>Художников пр-кт, 22к1</t>
        </is>
      </c>
      <c r="C1079" t="inlineStr">
        <is>
          <t>sale</t>
        </is>
      </c>
      <c r="D1079" t="inlineStr"/>
      <c r="E1079" t="inlineStr">
        <is>
          <t>Да</t>
        </is>
      </c>
      <c r="F1079" t="inlineStr"/>
      <c r="G1079" t="inlineStr"/>
      <c r="H1079" t="inlineStr">
        <is>
          <t>1638</t>
        </is>
      </c>
      <c r="I1079" t="inlineStr"/>
      <c r="J1079" t="inlineStr"/>
      <c r="K1079" t="inlineStr">
        <is>
          <t>45 000 000</t>
        </is>
      </c>
      <c r="L1079" t="inlineStr"/>
      <c r="M1079" t="inlineStr"/>
      <c r="N1079" t="inlineStr">
        <is>
          <t>Нет у нас</t>
        </is>
      </c>
      <c r="O1079" t="inlineStr"/>
      <c r="P1079" t="inlineStr"/>
      <c r="Q1079" t="inlineStr"/>
      <c r="R1079">
        <f>HYPERLINK("https://nordwestinvest.ru/real-estates/osz-na-svoem-zu-s-soglasovannymi-arendatorami","ссылка")</f>
        <v/>
      </c>
      <c r="S1079" t="inlineStr"/>
    </row>
    <row r="1080">
      <c r="A1080" t="inlineStr">
        <is>
          <t>Не определен</t>
        </is>
      </c>
      <c r="B1080" t="inlineStr">
        <is>
          <t>Чудновского ул, 6к4б</t>
        </is>
      </c>
      <c r="C1080" t="inlineStr">
        <is>
          <t>sale</t>
        </is>
      </c>
      <c r="D1080" t="inlineStr"/>
      <c r="E1080" t="inlineStr">
        <is>
          <t>Да</t>
        </is>
      </c>
      <c r="F1080" t="inlineStr"/>
      <c r="G1080" t="inlineStr"/>
      <c r="H1080" t="inlineStr">
        <is>
          <t>1360</t>
        </is>
      </c>
      <c r="I1080" t="inlineStr"/>
      <c r="J1080" t="inlineStr"/>
      <c r="K1080" t="inlineStr">
        <is>
          <t>220 000 000</t>
        </is>
      </c>
      <c r="L1080" t="inlineStr"/>
      <c r="M1080" t="inlineStr"/>
      <c r="N1080" t="inlineStr">
        <is>
          <t>Нет у нас</t>
        </is>
      </c>
      <c r="O1080" t="inlineStr"/>
      <c r="P1080" t="inlineStr"/>
      <c r="Q1080" t="inlineStr"/>
      <c r="R1080">
        <f>HYPERLINK("https://nordwestinvest.ru/real-estates/zdanie-s-arendatorami-magnit-i-ozon-fres","ссылка")</f>
        <v/>
      </c>
      <c r="S1080" t="inlineStr"/>
    </row>
    <row r="1081">
      <c r="A1081" t="inlineStr">
        <is>
          <t>Не определен</t>
        </is>
      </c>
      <c r="B1081" t="inlineStr">
        <is>
          <t>Шафировский пр-кт, 17</t>
        </is>
      </c>
      <c r="C1081" t="inlineStr">
        <is>
          <t>sale</t>
        </is>
      </c>
      <c r="D1081" t="inlineStr"/>
      <c r="E1081" t="inlineStr">
        <is>
          <t>Да</t>
        </is>
      </c>
      <c r="F1081" t="inlineStr"/>
      <c r="G1081" t="inlineStr"/>
      <c r="H1081" t="inlineStr">
        <is>
          <t>17225</t>
        </is>
      </c>
      <c r="I1081" t="inlineStr"/>
      <c r="J1081" t="inlineStr"/>
      <c r="K1081" t="inlineStr">
        <is>
          <t>900 000 000</t>
        </is>
      </c>
      <c r="L1081" t="inlineStr"/>
      <c r="M1081" t="inlineStr"/>
      <c r="N1081" t="inlineStr">
        <is>
          <t>По адресу есть, но площадь другая</t>
        </is>
      </c>
      <c r="O1081" t="inlineStr"/>
      <c r="P1081" t="inlineStr"/>
      <c r="Q1081" t="inlineStr"/>
      <c r="R1081">
        <f>HYPERLINK("https://nordwestinvest.ru/real-estates/prodaza-imushhestvennogo-kompleksa-17225-m2","ссылка")</f>
        <v/>
      </c>
      <c r="S1081" t="inlineStr"/>
    </row>
    <row r="1082">
      <c r="A1082" t="inlineStr">
        <is>
          <t>Не определен</t>
        </is>
      </c>
      <c r="B1082" t="inlineStr">
        <is>
          <t>Шафировский пр-кт, 17 Е</t>
        </is>
      </c>
      <c r="C1082" t="inlineStr">
        <is>
          <t>sale</t>
        </is>
      </c>
      <c r="D1082" t="inlineStr"/>
      <c r="E1082" t="inlineStr">
        <is>
          <t>Да</t>
        </is>
      </c>
      <c r="F1082" t="inlineStr"/>
      <c r="G1082" t="inlineStr"/>
      <c r="H1082" t="inlineStr">
        <is>
          <t>3300</t>
        </is>
      </c>
      <c r="I1082" t="inlineStr"/>
      <c r="J1082" t="inlineStr"/>
      <c r="K1082" t="inlineStr">
        <is>
          <t>396 000 000</t>
        </is>
      </c>
      <c r="L1082" t="inlineStr"/>
      <c r="M1082" t="inlineStr"/>
      <c r="N1082" t="inlineStr">
        <is>
          <t>Нет у нас</t>
        </is>
      </c>
      <c r="O1082" t="inlineStr"/>
      <c r="P1082" t="inlineStr"/>
      <c r="Q1082" t="inlineStr"/>
      <c r="R1082">
        <f>HYPERLINK("https://nordwestinvest.ru/real-estates/prodaza-sklada-3300-m2","ссылка")</f>
        <v/>
      </c>
      <c r="S1082" t="inlineStr"/>
    </row>
    <row r="1083">
      <c r="A1083" t="inlineStr">
        <is>
          <t>Не определен</t>
        </is>
      </c>
      <c r="B1083" t="inlineStr">
        <is>
          <t>Шафировский пр-кт, 17к1</t>
        </is>
      </c>
      <c r="C1083" t="inlineStr">
        <is>
          <t>sale</t>
        </is>
      </c>
      <c r="D1083" t="inlineStr"/>
      <c r="E1083" t="inlineStr">
        <is>
          <t>Да</t>
        </is>
      </c>
      <c r="F1083" t="inlineStr"/>
      <c r="G1083" t="inlineStr"/>
      <c r="H1083" t="inlineStr">
        <is>
          <t>4741.6</t>
        </is>
      </c>
      <c r="I1083" t="inlineStr"/>
      <c r="J1083" t="inlineStr"/>
      <c r="K1083" t="inlineStr">
        <is>
          <t>474 000 000</t>
        </is>
      </c>
      <c r="L1083" t="inlineStr"/>
      <c r="M1083" t="inlineStr"/>
      <c r="N1083" t="inlineStr">
        <is>
          <t>По адресу есть, но площадь другая</t>
        </is>
      </c>
      <c r="O1083" t="inlineStr"/>
      <c r="P1083" t="inlineStr"/>
      <c r="Q1083" t="inlineStr"/>
      <c r="R1083">
        <f>HYPERLINK("https://nordwestinvest.ru/real-estates/osz-dlia-gostinicy-4741m-2","ссылка")</f>
        <v/>
      </c>
      <c r="S1083" t="inlineStr"/>
    </row>
    <row r="1084">
      <c r="A1084" t="inlineStr">
        <is>
          <t>Не определен</t>
        </is>
      </c>
      <c r="B1084" t="inlineStr">
        <is>
          <t>Шафировский пр-кт, 28</t>
        </is>
      </c>
      <c r="C1084" t="inlineStr">
        <is>
          <t>sale</t>
        </is>
      </c>
      <c r="D1084" t="inlineStr"/>
      <c r="E1084" t="inlineStr">
        <is>
          <t>Да</t>
        </is>
      </c>
      <c r="F1084" t="inlineStr"/>
      <c r="G1084" t="inlineStr"/>
      <c r="H1084" t="inlineStr">
        <is>
          <t>520</t>
        </is>
      </c>
      <c r="I1084" t="inlineStr"/>
      <c r="J1084" t="inlineStr"/>
      <c r="K1084" t="inlineStr">
        <is>
          <t>15 500 000</t>
        </is>
      </c>
      <c r="L1084" t="inlineStr"/>
      <c r="M1084" t="inlineStr"/>
      <c r="N1084" t="inlineStr">
        <is>
          <t>Нет у нас</t>
        </is>
      </c>
      <c r="O1084" t="inlineStr"/>
      <c r="P1084" t="inlineStr"/>
      <c r="Q1084" t="inlineStr"/>
      <c r="R1084">
        <f>HYPERLINK("https://nordwestinvest.ru/real-estates/prodaza-gotovogo-avtoservisnogo-biznesa-520-m2-1","ссылка")</f>
        <v/>
      </c>
      <c r="S1084" t="inlineStr"/>
    </row>
    <row r="1085">
      <c r="A1085" t="inlineStr">
        <is>
          <t>Не определен</t>
        </is>
      </c>
      <c r="B1085" t="inlineStr">
        <is>
          <t>Шушары п, 3-й Бадаевский проезд, 17а</t>
        </is>
      </c>
      <c r="C1085" t="inlineStr">
        <is>
          <t>sale</t>
        </is>
      </c>
      <c r="D1085" t="inlineStr"/>
      <c r="E1085" t="inlineStr">
        <is>
          <t>Да</t>
        </is>
      </c>
      <c r="F1085" t="inlineStr"/>
      <c r="G1085" t="inlineStr"/>
      <c r="H1085" t="inlineStr">
        <is>
          <t>2012</t>
        </is>
      </c>
      <c r="I1085" t="inlineStr"/>
      <c r="J1085" t="inlineStr"/>
      <c r="K1085" t="inlineStr">
        <is>
          <t>34 000 000</t>
        </is>
      </c>
      <c r="L1085" t="inlineStr"/>
      <c r="M1085" t="inlineStr"/>
      <c r="N1085" t="inlineStr">
        <is>
          <t>Нет у нас</t>
        </is>
      </c>
      <c r="O1085" t="inlineStr"/>
      <c r="P1085" t="inlineStr"/>
      <c r="Q1085" t="inlineStr"/>
      <c r="R1085">
        <f>HYPERLINK("https://nordwestinvest.ru/real-estates/prodaza-novogo-teplogo-sklada-2000-m2","ссылка")</f>
        <v/>
      </c>
      <c r="S1085" t="inlineStr"/>
    </row>
    <row r="1086">
      <c r="A1086" t="inlineStr">
        <is>
          <t>Не определен</t>
        </is>
      </c>
      <c r="B1086" t="inlineStr">
        <is>
          <t>Шушары п, Валдайская ул, 2к2стр1</t>
        </is>
      </c>
      <c r="C1086" t="inlineStr">
        <is>
          <t>sale</t>
        </is>
      </c>
      <c r="D1086" t="inlineStr"/>
      <c r="E1086" t="inlineStr">
        <is>
          <t>Да</t>
        </is>
      </c>
      <c r="F1086" t="inlineStr"/>
      <c r="G1086" t="inlineStr"/>
      <c r="H1086" t="inlineStr">
        <is>
          <t>1267.8</t>
        </is>
      </c>
      <c r="I1086" t="inlineStr"/>
      <c r="J1086" t="inlineStr"/>
      <c r="K1086" t="inlineStr">
        <is>
          <t>190 170 000</t>
        </is>
      </c>
      <c r="L1086" t="inlineStr"/>
      <c r="M1086" t="inlineStr"/>
      <c r="N1086" t="inlineStr">
        <is>
          <t>По адресу есть, но площадь другая</t>
        </is>
      </c>
      <c r="O1086" t="inlineStr"/>
      <c r="P1086" t="inlineStr"/>
      <c r="Q1086" t="inlineStr"/>
      <c r="R1086">
        <f>HYPERLINK("https://nordwestinvest.ru/real-estates/prodaza-psn-1-2678m2","ссылка")</f>
        <v/>
      </c>
      <c r="S1086" t="inlineStr"/>
    </row>
    <row r="1087">
      <c r="A1087" t="inlineStr">
        <is>
          <t>Не определен</t>
        </is>
      </c>
      <c r="B1087" t="inlineStr">
        <is>
          <t>Шушары п, Витебский пр-кт, -</t>
        </is>
      </c>
      <c r="C1087" t="inlineStr">
        <is>
          <t>sale</t>
        </is>
      </c>
      <c r="D1087" t="inlineStr"/>
      <c r="E1087" t="inlineStr">
        <is>
          <t>Да</t>
        </is>
      </c>
      <c r="F1087" t="inlineStr"/>
      <c r="G1087" t="inlineStr"/>
      <c r="H1087" t="inlineStr">
        <is>
          <t>20000</t>
        </is>
      </c>
      <c r="I1087" t="inlineStr"/>
      <c r="J1087" t="inlineStr"/>
      <c r="K1087" t="inlineStr">
        <is>
          <t>130 000 000</t>
        </is>
      </c>
      <c r="L1087" t="inlineStr"/>
      <c r="M1087" t="inlineStr"/>
      <c r="N1087" t="inlineStr">
        <is>
          <t>Нет у нас</t>
        </is>
      </c>
      <c r="O1087" t="inlineStr"/>
      <c r="P1087" t="inlineStr"/>
      <c r="Q1087" t="inlineStr"/>
      <c r="R1087">
        <f>HYPERLINK("https://nordwestinvest.ru/real-estates/prodaza-ucastka-pod-kommerciiu-v-susarax","ссылка")</f>
        <v/>
      </c>
      <c r="S1087" t="inlineStr"/>
    </row>
    <row r="1088">
      <c r="A1088" t="inlineStr">
        <is>
          <t>Не определен</t>
        </is>
      </c>
      <c r="B1088" t="inlineStr">
        <is>
          <t>Шушары п, Колпинское ш, 32</t>
        </is>
      </c>
      <c r="C1088" t="inlineStr">
        <is>
          <t>sale</t>
        </is>
      </c>
      <c r="D1088" t="inlineStr"/>
      <c r="E1088" t="inlineStr">
        <is>
          <t>Да</t>
        </is>
      </c>
      <c r="F1088" t="inlineStr"/>
      <c r="G1088" t="inlineStr"/>
      <c r="H1088" t="inlineStr">
        <is>
          <t>18485</t>
        </is>
      </c>
      <c r="I1088" t="inlineStr"/>
      <c r="J1088" t="inlineStr"/>
      <c r="K1088" t="inlineStr">
        <is>
          <t>1 500 000 000</t>
        </is>
      </c>
      <c r="L1088" t="inlineStr"/>
      <c r="M1088" t="inlineStr"/>
      <c r="N1088" t="inlineStr">
        <is>
          <t>Нет у нас</t>
        </is>
      </c>
      <c r="O1088" t="inlineStr"/>
      <c r="P1088" t="inlineStr"/>
      <c r="Q1088" t="inlineStr"/>
      <c r="R1088">
        <f>HYPERLINK("https://nordwestinvest.ru/real-estates/prodaza-trc-s-arendatorami-lenta-dns-kfs","ссылка")</f>
        <v/>
      </c>
      <c r="S1088" t="inlineStr"/>
    </row>
    <row r="1089">
      <c r="A1089" t="inlineStr">
        <is>
          <t>Не определен</t>
        </is>
      </c>
      <c r="B1089" t="inlineStr">
        <is>
          <t>Шушары п, Муромская (Детскосельский) ул, 5 к 1</t>
        </is>
      </c>
      <c r="C1089" t="inlineStr">
        <is>
          <t>sale</t>
        </is>
      </c>
      <c r="D1089" t="inlineStr"/>
      <c r="E1089" t="inlineStr">
        <is>
          <t>Да</t>
        </is>
      </c>
      <c r="F1089" t="inlineStr"/>
      <c r="G1089" t="inlineStr"/>
      <c r="H1089" t="inlineStr">
        <is>
          <t>36.3</t>
        </is>
      </c>
      <c r="I1089" t="inlineStr"/>
      <c r="J1089" t="inlineStr"/>
      <c r="K1089" t="inlineStr">
        <is>
          <t>3 699 000</t>
        </is>
      </c>
      <c r="L1089" t="inlineStr"/>
      <c r="M1089" t="inlineStr"/>
      <c r="N1089" t="inlineStr">
        <is>
          <t>Нет у нас</t>
        </is>
      </c>
      <c r="O1089" t="inlineStr"/>
      <c r="P1089" t="inlineStr"/>
      <c r="Q1089" t="inlineStr"/>
      <c r="R1089">
        <f>HYPERLINK("https://nordwestinvest.ru/real-estates/pomeshhenie-s-arendatorom-ozon-okupaemost-8-let","ссылка")</f>
        <v/>
      </c>
      <c r="S1089" t="inlineStr"/>
    </row>
    <row r="1090">
      <c r="A1090" t="inlineStr">
        <is>
          <t>Не определен</t>
        </is>
      </c>
      <c r="B1090" t="inlineStr">
        <is>
          <t>Шушары п, Нины Петровой ул, 8к1</t>
        </is>
      </c>
      <c r="C1090" t="inlineStr">
        <is>
          <t>sale</t>
        </is>
      </c>
      <c r="D1090" t="inlineStr"/>
      <c r="E1090" t="inlineStr">
        <is>
          <t>Да</t>
        </is>
      </c>
      <c r="F1090" t="inlineStr"/>
      <c r="G1090" t="inlineStr"/>
      <c r="H1090" t="inlineStr">
        <is>
          <t>152</t>
        </is>
      </c>
      <c r="I1090" t="inlineStr"/>
      <c r="J1090" t="inlineStr"/>
      <c r="K1090" t="inlineStr">
        <is>
          <t>48 600 000</t>
        </is>
      </c>
      <c r="L1090" t="inlineStr"/>
      <c r="M1090" t="inlineStr"/>
      <c r="N1090" t="inlineStr">
        <is>
          <t>Нет у нас</t>
        </is>
      </c>
      <c r="O1090" t="inlineStr"/>
      <c r="P1090" t="inlineStr"/>
      <c r="Q1090" t="inlineStr"/>
      <c r="R1090">
        <f>HYPERLINK("https://nordwestinvest.ru/real-estates/pomeshhenie-s-ulybkoi-radugi","ссылка")</f>
        <v/>
      </c>
      <c r="S1090" t="inlineStr"/>
    </row>
    <row r="1091">
      <c r="A1091" t="inlineStr">
        <is>
          <t>Не определен</t>
        </is>
      </c>
      <c r="B1091" t="inlineStr">
        <is>
          <t>Шушары п, предприятия Шушары тер, 496</t>
        </is>
      </c>
      <c r="C1091" t="inlineStr">
        <is>
          <t>sale</t>
        </is>
      </c>
      <c r="D1091" t="inlineStr"/>
      <c r="E1091" t="inlineStr">
        <is>
          <t>Да</t>
        </is>
      </c>
      <c r="F1091" t="inlineStr"/>
      <c r="G1091" t="inlineStr"/>
      <c r="H1091" t="inlineStr">
        <is>
          <t>113477</t>
        </is>
      </c>
      <c r="I1091" t="inlineStr"/>
      <c r="J1091" t="inlineStr"/>
      <c r="K1091" t="inlineStr">
        <is>
          <t>350 000 000</t>
        </is>
      </c>
      <c r="L1091" t="inlineStr"/>
      <c r="M1091" t="inlineStr"/>
      <c r="N1091" t="inlineStr">
        <is>
          <t>Нет у нас</t>
        </is>
      </c>
      <c r="O1091" t="inlineStr"/>
      <c r="P1091" t="inlineStr"/>
      <c r="Q1091" t="inlineStr"/>
      <c r="R1091">
        <f>HYPERLINK("https://nordwestinvest.ru/real-estates/prodaza-zemelnogo-ucastka-1","ссылка")</f>
        <v/>
      </c>
      <c r="S1091" t="inlineStr"/>
    </row>
    <row r="1092">
      <c r="A1092" t="inlineStr">
        <is>
          <t>Не определен</t>
        </is>
      </c>
      <c r="B1092" t="inlineStr">
        <is>
          <t>Электросила N1 тер. СНТ, Лиговская ул</t>
        </is>
      </c>
      <c r="C1092" t="inlineStr">
        <is>
          <t>sale</t>
        </is>
      </c>
      <c r="D1092" t="inlineStr">
        <is>
          <t>Да</t>
        </is>
      </c>
      <c r="E1092" t="inlineStr"/>
      <c r="F1092" t="inlineStr"/>
      <c r="G1092" t="inlineStr">
        <is>
          <t>1543</t>
        </is>
      </c>
      <c r="H1092" t="inlineStr"/>
      <c r="I1092" t="inlineStr"/>
      <c r="J1092" t="inlineStr">
        <is>
          <t>1 500 000</t>
        </is>
      </c>
      <c r="K1092" t="inlineStr"/>
      <c r="L1092" t="inlineStr"/>
      <c r="M1092" t="inlineStr">
        <is>
          <t>Нет у нас</t>
        </is>
      </c>
      <c r="N1092" t="inlineStr"/>
      <c r="O1092" t="inlineStr"/>
      <c r="P1092" t="inlineStr"/>
      <c r="Q1092">
        <f>HYPERLINK("https://knru.ru/catalog/elektrosila-n1-ter-snt-ligovskaya-ul-558696/","ссылка")</f>
        <v/>
      </c>
      <c r="R1092" t="inlineStr"/>
      <c r="S1092" t="inlineStr"/>
    </row>
    <row r="1093">
      <c r="A1093" t="inlineStr">
        <is>
          <t>Не определен</t>
        </is>
      </c>
      <c r="B1093" t="inlineStr">
        <is>
          <t>Электросила N1 тер. СНТ, Лиговская ул</t>
        </is>
      </c>
      <c r="C1093" t="inlineStr">
        <is>
          <t>sale</t>
        </is>
      </c>
      <c r="D1093" t="inlineStr">
        <is>
          <t>Да</t>
        </is>
      </c>
      <c r="E1093" t="inlineStr"/>
      <c r="F1093" t="inlineStr"/>
      <c r="G1093" t="inlineStr">
        <is>
          <t>6411</t>
        </is>
      </c>
      <c r="H1093" t="inlineStr"/>
      <c r="I1093" t="inlineStr"/>
      <c r="J1093" t="inlineStr">
        <is>
          <t>1 000 000 000</t>
        </is>
      </c>
      <c r="K1093" t="inlineStr"/>
      <c r="L1093" t="inlineStr"/>
      <c r="M1093" t="inlineStr">
        <is>
          <t>Нет у нас</t>
        </is>
      </c>
      <c r="N1093" t="inlineStr"/>
      <c r="O1093" t="inlineStr"/>
      <c r="P1093" t="inlineStr"/>
      <c r="Q1093">
        <f>HYPERLINK("https://knru.ru/catalog/elektrosila-n1-ter-snt-ligovskaya-ul/","ссылка")</f>
        <v/>
      </c>
      <c r="R1093" t="inlineStr"/>
      <c r="S1093" t="inlineStr"/>
    </row>
    <row r="1094">
      <c r="A1094" t="inlineStr">
        <is>
          <t>Не определен</t>
        </is>
      </c>
      <c r="B1094" t="inlineStr">
        <is>
          <t>Южное ш, 57к2 А</t>
        </is>
      </c>
      <c r="C1094" t="inlineStr">
        <is>
          <t>sale</t>
        </is>
      </c>
      <c r="D1094" t="inlineStr"/>
      <c r="E1094" t="inlineStr">
        <is>
          <t>Да</t>
        </is>
      </c>
      <c r="F1094" t="inlineStr"/>
      <c r="G1094" t="inlineStr"/>
      <c r="H1094" t="inlineStr">
        <is>
          <t>84.6</t>
        </is>
      </c>
      <c r="I1094" t="inlineStr"/>
      <c r="J1094" t="inlineStr"/>
      <c r="K1094" t="inlineStr">
        <is>
          <t>29 800 000</t>
        </is>
      </c>
      <c r="L1094" t="inlineStr"/>
      <c r="M1094" t="inlineStr"/>
      <c r="N1094" t="inlineStr">
        <is>
          <t>Нет у нас</t>
        </is>
      </c>
      <c r="O1094" t="inlineStr"/>
      <c r="P1094" t="inlineStr"/>
      <c r="Q1094" t="inlineStr"/>
      <c r="R1094">
        <f>HYPERLINK("https://nordwestinvest.ru/real-estates/pomeshhenie-s-krasnoe-i-beloe-846-m2-v-zk","ссылка")</f>
        <v/>
      </c>
      <c r="S1094" t="inlineStr"/>
    </row>
    <row r="1095">
      <c r="A1095" t="inlineStr">
        <is>
          <t>Не определен</t>
        </is>
      </c>
      <c r="B1095" t="inlineStr">
        <is>
          <t>Янино-1 уч-к</t>
        </is>
      </c>
      <c r="C1095" t="inlineStr">
        <is>
          <t>sale</t>
        </is>
      </c>
      <c r="D1095" t="inlineStr">
        <is>
          <t>Да</t>
        </is>
      </c>
      <c r="E1095" t="inlineStr"/>
      <c r="F1095" t="inlineStr"/>
      <c r="G1095" t="inlineStr">
        <is>
          <t>88.3</t>
        </is>
      </c>
      <c r="H1095" t="inlineStr"/>
      <c r="I1095" t="inlineStr"/>
      <c r="J1095" t="inlineStr">
        <is>
          <t>15 830 397</t>
        </is>
      </c>
      <c r="K1095" t="inlineStr"/>
      <c r="L1095" t="inlineStr"/>
      <c r="M1095" t="inlineStr">
        <is>
          <t>Нет у нас</t>
        </is>
      </c>
      <c r="N1095" t="inlineStr"/>
      <c r="O1095" t="inlineStr"/>
      <c r="P1095" t="inlineStr"/>
      <c r="Q1095">
        <f>HYPERLINK("https://knru.ru/catalog/yanino-1-uch-k-999756178/","ссылка")</f>
        <v/>
      </c>
      <c r="R1095" t="inlineStr"/>
      <c r="S1095" t="inlineStr"/>
    </row>
    <row r="1096">
      <c r="A1096" t="inlineStr">
        <is>
          <t>Не определен</t>
        </is>
      </c>
      <c r="B1096" t="inlineStr">
        <is>
          <t>Янино-1 уч-к</t>
        </is>
      </c>
      <c r="C1096" t="inlineStr">
        <is>
          <t>sale</t>
        </is>
      </c>
      <c r="D1096" t="inlineStr">
        <is>
          <t>Да</t>
        </is>
      </c>
      <c r="E1096" t="inlineStr"/>
      <c r="F1096" t="inlineStr"/>
      <c r="G1096" t="inlineStr">
        <is>
          <t>64.1</t>
        </is>
      </c>
      <c r="H1096" t="inlineStr"/>
      <c r="I1096" t="inlineStr"/>
      <c r="J1096" t="inlineStr">
        <is>
          <t>12 629 166</t>
        </is>
      </c>
      <c r="K1096" t="inlineStr"/>
      <c r="L1096" t="inlineStr"/>
      <c r="M1096" t="inlineStr">
        <is>
          <t>Нет у нас</t>
        </is>
      </c>
      <c r="N1096" t="inlineStr"/>
      <c r="O1096" t="inlineStr"/>
      <c r="P1096" t="inlineStr"/>
      <c r="Q1096">
        <f>HYPERLINK("https://knru.ru/catalog/yanino-1-uch-k/","ссылка")</f>
        <v/>
      </c>
      <c r="R1096" t="inlineStr"/>
      <c r="S1096" t="inlineStr"/>
    </row>
    <row r="1097">
      <c r="A1097" t="inlineStr">
        <is>
          <t>Не определен</t>
        </is>
      </c>
      <c r="B1097" t="inlineStr">
        <is>
          <t>Ярославская обл, Ярославль г, Балашова ул, 12</t>
        </is>
      </c>
      <c r="C1097" t="inlineStr">
        <is>
          <t>sale</t>
        </is>
      </c>
      <c r="D1097" t="inlineStr"/>
      <c r="E1097" t="inlineStr">
        <is>
          <t>Да</t>
        </is>
      </c>
      <c r="F1097" t="inlineStr"/>
      <c r="G1097" t="inlineStr"/>
      <c r="H1097" t="inlineStr">
        <is>
          <t>30937</t>
        </is>
      </c>
      <c r="I1097" t="inlineStr"/>
      <c r="J1097" t="inlineStr"/>
      <c r="K1097" t="inlineStr">
        <is>
          <t>387 000 000</t>
        </is>
      </c>
      <c r="L1097" t="inlineStr"/>
      <c r="M1097" t="inlineStr"/>
      <c r="N1097" t="inlineStr">
        <is>
          <t>Нет у нас</t>
        </is>
      </c>
      <c r="O1097" t="inlineStr"/>
      <c r="P1097" t="inlineStr"/>
      <c r="Q1097" t="inlineStr"/>
      <c r="R1097">
        <f>HYPERLINK("https://nordwestinvest.ru/real-estates/iaroslavl","ссылка")</f>
        <v/>
      </c>
      <c r="S1097" t="inlineStr"/>
    </row>
    <row r="1098">
      <c r="A1098" t="inlineStr">
        <is>
          <t>Невский</t>
        </is>
      </c>
      <c r="B1098" t="inlineStr">
        <is>
          <t>Бабушкина ул, 1</t>
        </is>
      </c>
      <c r="C1098" t="inlineStr">
        <is>
          <t>sale</t>
        </is>
      </c>
      <c r="D1098" t="inlineStr"/>
      <c r="E1098" t="inlineStr">
        <is>
          <t>Да</t>
        </is>
      </c>
      <c r="F1098" t="inlineStr"/>
      <c r="G1098" t="inlineStr"/>
      <c r="H1098" t="inlineStr">
        <is>
          <t>6900</t>
        </is>
      </c>
      <c r="I1098" t="inlineStr"/>
      <c r="J1098" t="inlineStr"/>
      <c r="K1098" t="inlineStr">
        <is>
          <t>300 000 000</t>
        </is>
      </c>
      <c r="L1098" t="inlineStr"/>
      <c r="M1098" t="inlineStr"/>
      <c r="N1098" t="inlineStr">
        <is>
          <t>Нет у нас</t>
        </is>
      </c>
      <c r="O1098" t="inlineStr"/>
      <c r="P1098" t="inlineStr"/>
      <c r="Q1098" t="inlineStr"/>
      <c r="R1098">
        <f>HYPERLINK("https://nordwestinvest.ru/real-estates/prodaza-osz-6900-m2-1","ссылка")</f>
        <v/>
      </c>
      <c r="S1098" t="inlineStr"/>
    </row>
    <row r="1099">
      <c r="A1099" t="inlineStr">
        <is>
          <t>Невский</t>
        </is>
      </c>
      <c r="B1099" t="inlineStr">
        <is>
          <t>Бабушкина ул, 52</t>
        </is>
      </c>
      <c r="C1099" t="inlineStr">
        <is>
          <t>sale</t>
        </is>
      </c>
      <c r="D1099" t="inlineStr">
        <is>
          <t>Да</t>
        </is>
      </c>
      <c r="E1099" t="inlineStr"/>
      <c r="F1099" t="inlineStr"/>
      <c r="G1099" t="inlineStr">
        <is>
          <t>200</t>
        </is>
      </c>
      <c r="H1099" t="inlineStr"/>
      <c r="I1099" t="inlineStr"/>
      <c r="J1099" t="inlineStr">
        <is>
          <t>25 000 000</t>
        </is>
      </c>
      <c r="K1099" t="inlineStr"/>
      <c r="L1099" t="inlineStr"/>
      <c r="M1099" t="inlineStr">
        <is>
          <t>Совпало</t>
        </is>
      </c>
      <c r="N1099" t="inlineStr"/>
      <c r="O1099" t="inlineStr"/>
      <c r="P1099" t="inlineStr"/>
      <c r="Q1099">
        <f>HYPERLINK("https://knru.ru/catalog/babushkina-ul-52/","ссылка")</f>
        <v/>
      </c>
      <c r="R1099" t="inlineStr"/>
      <c r="S1099" t="inlineStr"/>
    </row>
    <row r="1100">
      <c r="A1100" t="inlineStr">
        <is>
          <t>Невский</t>
        </is>
      </c>
      <c r="B1100" t="inlineStr">
        <is>
          <t>Бабушкина, 48</t>
        </is>
      </c>
      <c r="C1100" t="inlineStr">
        <is>
          <t>sale</t>
        </is>
      </c>
      <c r="D1100" t="inlineStr">
        <is>
          <t>Да</t>
        </is>
      </c>
      <c r="E1100" t="inlineStr"/>
      <c r="F1100" t="inlineStr"/>
      <c r="G1100" t="inlineStr">
        <is>
          <t>59</t>
        </is>
      </c>
      <c r="H1100" t="inlineStr"/>
      <c r="I1100" t="inlineStr"/>
      <c r="J1100" t="inlineStr">
        <is>
          <t>14 500 000</t>
        </is>
      </c>
      <c r="K1100" t="inlineStr"/>
      <c r="L1100" t="inlineStr"/>
      <c r="M1100" t="inlineStr">
        <is>
          <t>По адресу есть, но площадь другая</t>
        </is>
      </c>
      <c r="N1100" t="inlineStr"/>
      <c r="O1100" t="inlineStr"/>
      <c r="P1100" t="inlineStr"/>
      <c r="Q1100">
        <f>HYPERLINK("https://knru.ru/catalog/babushkina-ul-d-48/","ссылка")</f>
        <v/>
      </c>
      <c r="R1100" t="inlineStr"/>
      <c r="S1100" t="inlineStr"/>
    </row>
    <row r="1101">
      <c r="A1101" t="inlineStr">
        <is>
          <t>Невский</t>
        </is>
      </c>
      <c r="B1101" t="inlineStr">
        <is>
          <t>Большевиков пр-кт, 27 А</t>
        </is>
      </c>
      <c r="C1101" t="inlineStr">
        <is>
          <t>sale</t>
        </is>
      </c>
      <c r="D1101" t="inlineStr">
        <is>
          <t>Да</t>
        </is>
      </c>
      <c r="E1101" t="inlineStr"/>
      <c r="F1101" t="inlineStr"/>
      <c r="G1101" t="inlineStr">
        <is>
          <t>2755.9</t>
        </is>
      </c>
      <c r="H1101" t="inlineStr"/>
      <c r="I1101" t="inlineStr"/>
      <c r="J1101" t="inlineStr">
        <is>
          <t>297 000 000</t>
        </is>
      </c>
      <c r="K1101" t="inlineStr"/>
      <c r="L1101" t="inlineStr"/>
      <c r="M1101" t="inlineStr">
        <is>
          <t>Нет у нас</t>
        </is>
      </c>
      <c r="N1101" t="inlineStr"/>
      <c r="O1101" t="inlineStr"/>
      <c r="P1101" t="inlineStr"/>
      <c r="Q1101">
        <f>HYPERLINK("https://knru.ru/catalog/pr-bolshevikov-d-27/","ссылка")</f>
        <v/>
      </c>
      <c r="R1101" t="inlineStr"/>
      <c r="S1101" t="inlineStr"/>
    </row>
    <row r="1102">
      <c r="A1102" t="inlineStr">
        <is>
          <t>Невский</t>
        </is>
      </c>
      <c r="B1102" t="inlineStr">
        <is>
          <t>Большевиков пр-кт, 54к1</t>
        </is>
      </c>
      <c r="C1102" t="inlineStr">
        <is>
          <t>sale</t>
        </is>
      </c>
      <c r="D1102" t="inlineStr"/>
      <c r="E1102" t="inlineStr">
        <is>
          <t>Да</t>
        </is>
      </c>
      <c r="F1102" t="inlineStr"/>
      <c r="G1102" t="inlineStr"/>
      <c r="H1102" t="inlineStr">
        <is>
          <t>5402</t>
        </is>
      </c>
      <c r="I1102" t="inlineStr"/>
      <c r="J1102" t="inlineStr"/>
      <c r="K1102" t="inlineStr">
        <is>
          <t>400 000 000</t>
        </is>
      </c>
      <c r="L1102" t="inlineStr"/>
      <c r="M1102" t="inlineStr"/>
      <c r="N1102" t="inlineStr">
        <is>
          <t>Нет у нас</t>
        </is>
      </c>
      <c r="O1102" t="inlineStr"/>
      <c r="P1102" t="inlineStr"/>
      <c r="Q1102" t="inlineStr"/>
      <c r="R1102">
        <f>HYPERLINK("https://nordwestinvest.ru/real-estates/prodaza-gostinicy-belye-noci-v-nevskom-r-ne","ссылка")</f>
        <v/>
      </c>
      <c r="S1102" t="inlineStr"/>
    </row>
    <row r="1103">
      <c r="A1103" t="inlineStr">
        <is>
          <t>Невский</t>
        </is>
      </c>
      <c r="B1103" t="inlineStr">
        <is>
          <t>Большевиков пр-кт, 9к1</t>
        </is>
      </c>
      <c r="C1103" t="inlineStr">
        <is>
          <t>sale</t>
        </is>
      </c>
      <c r="D1103" t="inlineStr">
        <is>
          <t>Да</t>
        </is>
      </c>
      <c r="E1103" t="inlineStr"/>
      <c r="F1103" t="inlineStr"/>
      <c r="G1103" t="inlineStr">
        <is>
          <t>172</t>
        </is>
      </c>
      <c r="H1103" t="inlineStr"/>
      <c r="I1103" t="inlineStr"/>
      <c r="J1103" t="inlineStr">
        <is>
          <t>77 600 000</t>
        </is>
      </c>
      <c r="K1103" t="inlineStr"/>
      <c r="L1103" t="inlineStr"/>
      <c r="M1103" t="inlineStr">
        <is>
          <t>У нас аренда, у конкурента продажа</t>
        </is>
      </c>
      <c r="N1103" t="inlineStr"/>
      <c r="O1103" t="inlineStr"/>
      <c r="P1103" t="inlineStr"/>
      <c r="Q1103">
        <f>HYPERLINK("https://knru.ru/catalog/pr-bolshevikov-d-9/","ссылка")</f>
        <v/>
      </c>
      <c r="R1103" t="inlineStr"/>
      <c r="S1103" t="inlineStr"/>
    </row>
    <row r="1104">
      <c r="A1104" t="inlineStr">
        <is>
          <t>Невский</t>
        </is>
      </c>
      <c r="B1104" t="inlineStr">
        <is>
          <t>Большой Смоленский пр-кт, 6</t>
        </is>
      </c>
      <c r="C1104" t="inlineStr">
        <is>
          <t>sale</t>
        </is>
      </c>
      <c r="D1104" t="inlineStr">
        <is>
          <t>Да</t>
        </is>
      </c>
      <c r="E1104" t="inlineStr"/>
      <c r="F1104" t="inlineStr"/>
      <c r="G1104" t="inlineStr">
        <is>
          <t>94.5</t>
        </is>
      </c>
      <c r="H1104" t="inlineStr"/>
      <c r="I1104" t="inlineStr"/>
      <c r="J1104" t="inlineStr">
        <is>
          <t>22 350 000</t>
        </is>
      </c>
      <c r="K1104" t="inlineStr"/>
      <c r="L1104" t="inlineStr"/>
      <c r="M1104" t="inlineStr">
        <is>
          <t>Нет у нас</t>
        </is>
      </c>
      <c r="N1104" t="inlineStr"/>
      <c r="O1104" t="inlineStr"/>
      <c r="P1104" t="inlineStr"/>
      <c r="Q1104">
        <f>HYPERLINK("https://knru.ru/catalog/bolshoj-smolenskij-pr-d-6-561167/","ссылка")</f>
        <v/>
      </c>
      <c r="R1104" t="inlineStr"/>
      <c r="S1104" t="inlineStr"/>
    </row>
    <row r="1105">
      <c r="A1105" t="inlineStr">
        <is>
          <t>Невский</t>
        </is>
      </c>
      <c r="B1105" t="inlineStr">
        <is>
          <t>Большой Смоленский пр-кт, 6</t>
        </is>
      </c>
      <c r="C1105" t="inlineStr">
        <is>
          <t>sale</t>
        </is>
      </c>
      <c r="D1105" t="inlineStr">
        <is>
          <t>Да</t>
        </is>
      </c>
      <c r="E1105" t="inlineStr"/>
      <c r="F1105" t="inlineStr"/>
      <c r="G1105" t="inlineStr">
        <is>
          <t>80.4</t>
        </is>
      </c>
      <c r="H1105" t="inlineStr"/>
      <c r="I1105" t="inlineStr"/>
      <c r="J1105" t="inlineStr">
        <is>
          <t>20 700 000</t>
        </is>
      </c>
      <c r="K1105" t="inlineStr"/>
      <c r="L1105" t="inlineStr"/>
      <c r="M1105" t="inlineStr">
        <is>
          <t>Нет у нас</t>
        </is>
      </c>
      <c r="N1105" t="inlineStr"/>
      <c r="O1105" t="inlineStr"/>
      <c r="P1105" t="inlineStr"/>
      <c r="Q1105">
        <f>HYPERLINK("https://knru.ru/catalog/bolshoj-smolenskij-pr-d-6-561165/","ссылка")</f>
        <v/>
      </c>
      <c r="R1105" t="inlineStr"/>
      <c r="S1105" t="inlineStr"/>
    </row>
    <row r="1106">
      <c r="A1106" t="inlineStr">
        <is>
          <t>Невский</t>
        </is>
      </c>
      <c r="B1106" t="inlineStr">
        <is>
          <t>Большой Смоленский пр-кт, 6</t>
        </is>
      </c>
      <c r="C1106" t="inlineStr">
        <is>
          <t>sale</t>
        </is>
      </c>
      <c r="D1106" t="inlineStr">
        <is>
          <t>Да</t>
        </is>
      </c>
      <c r="E1106" t="inlineStr"/>
      <c r="F1106" t="inlineStr"/>
      <c r="G1106" t="inlineStr">
        <is>
          <t>102</t>
        </is>
      </c>
      <c r="H1106" t="inlineStr"/>
      <c r="I1106" t="inlineStr"/>
      <c r="J1106" t="inlineStr">
        <is>
          <t>28 400 000</t>
        </is>
      </c>
      <c r="K1106" t="inlineStr"/>
      <c r="L1106" t="inlineStr"/>
      <c r="M1106" t="inlineStr">
        <is>
          <t>Нет у нас</t>
        </is>
      </c>
      <c r="N1106" t="inlineStr"/>
      <c r="O1106" t="inlineStr"/>
      <c r="P1106" t="inlineStr"/>
      <c r="Q1106">
        <f>HYPERLINK("https://knru.ru/catalog/bolshoj-smolenskij-pr-d-6-561164/","ссылка")</f>
        <v/>
      </c>
      <c r="R1106" t="inlineStr"/>
      <c r="S1106" t="inlineStr"/>
    </row>
    <row r="1107">
      <c r="A1107" t="inlineStr">
        <is>
          <t>Невский</t>
        </is>
      </c>
      <c r="B1107" t="inlineStr">
        <is>
          <t>Большой Смоленский пр-кт, 6</t>
        </is>
      </c>
      <c r="C1107" t="inlineStr">
        <is>
          <t>sale</t>
        </is>
      </c>
      <c r="D1107" t="inlineStr">
        <is>
          <t>Да</t>
        </is>
      </c>
      <c r="E1107" t="inlineStr"/>
      <c r="F1107" t="inlineStr"/>
      <c r="G1107" t="inlineStr">
        <is>
          <t>58.9</t>
        </is>
      </c>
      <c r="H1107" t="inlineStr"/>
      <c r="I1107" t="inlineStr"/>
      <c r="J1107" t="inlineStr">
        <is>
          <t>19 250 000</t>
        </is>
      </c>
      <c r="K1107" t="inlineStr"/>
      <c r="L1107" t="inlineStr"/>
      <c r="M1107" t="inlineStr">
        <is>
          <t>Нет у нас</t>
        </is>
      </c>
      <c r="N1107" t="inlineStr"/>
      <c r="O1107" t="inlineStr"/>
      <c r="P1107" t="inlineStr"/>
      <c r="Q1107">
        <f>HYPERLINK("https://knru.ru/catalog/bolshoj-smolenskij-pr-d-6-561163/","ссылка")</f>
        <v/>
      </c>
      <c r="R1107" t="inlineStr"/>
      <c r="S1107" t="inlineStr"/>
    </row>
    <row r="1108">
      <c r="A1108" t="inlineStr">
        <is>
          <t>Невский</t>
        </is>
      </c>
      <c r="B1108" t="inlineStr">
        <is>
          <t>Большой Смоленский пр-кт, 6</t>
        </is>
      </c>
      <c r="C1108" t="inlineStr">
        <is>
          <t>sale</t>
        </is>
      </c>
      <c r="D1108" t="inlineStr">
        <is>
          <t>Да</t>
        </is>
      </c>
      <c r="E1108" t="inlineStr"/>
      <c r="F1108" t="inlineStr"/>
      <c r="G1108" t="inlineStr">
        <is>
          <t>52.2</t>
        </is>
      </c>
      <c r="H1108" t="inlineStr"/>
      <c r="I1108" t="inlineStr"/>
      <c r="J1108" t="inlineStr">
        <is>
          <t>15 000 000</t>
        </is>
      </c>
      <c r="K1108" t="inlineStr"/>
      <c r="L1108" t="inlineStr"/>
      <c r="M1108" t="inlineStr">
        <is>
          <t>Нет у нас</t>
        </is>
      </c>
      <c r="N1108" t="inlineStr"/>
      <c r="O1108" t="inlineStr"/>
      <c r="P1108" t="inlineStr"/>
      <c r="Q1108">
        <f>HYPERLINK("https://knru.ru/catalog/bolshoj-smolenskij-pr-d-6-561161/","ссылка")</f>
        <v/>
      </c>
      <c r="R1108" t="inlineStr"/>
      <c r="S1108" t="inlineStr"/>
    </row>
    <row r="1109">
      <c r="A1109" t="inlineStr">
        <is>
          <t>Невский</t>
        </is>
      </c>
      <c r="B1109" t="inlineStr">
        <is>
          <t>Большой Смоленский пр-кт, 6</t>
        </is>
      </c>
      <c r="C1109" t="inlineStr">
        <is>
          <t>sale</t>
        </is>
      </c>
      <c r="D1109" t="inlineStr">
        <is>
          <t>Да</t>
        </is>
      </c>
      <c r="E1109" t="inlineStr"/>
      <c r="F1109" t="inlineStr"/>
      <c r="G1109" t="inlineStr">
        <is>
          <t>29.8</t>
        </is>
      </c>
      <c r="H1109" t="inlineStr"/>
      <c r="I1109" t="inlineStr"/>
      <c r="J1109" t="inlineStr">
        <is>
          <t>8 900 000</t>
        </is>
      </c>
      <c r="K1109" t="inlineStr"/>
      <c r="L1109" t="inlineStr"/>
      <c r="M1109" t="inlineStr">
        <is>
          <t>Нет у нас</t>
        </is>
      </c>
      <c r="N1109" t="inlineStr"/>
      <c r="O1109" t="inlineStr"/>
      <c r="P1109" t="inlineStr"/>
      <c r="Q1109">
        <f>HYPERLINK("https://knru.ru/catalog/bolshoj-smolenskij-pr-d-6-561160/","ссылка")</f>
        <v/>
      </c>
      <c r="R1109" t="inlineStr"/>
      <c r="S1109" t="inlineStr"/>
    </row>
    <row r="1110">
      <c r="A1110" t="inlineStr">
        <is>
          <t>Невский</t>
        </is>
      </c>
      <c r="B1110" t="inlineStr">
        <is>
          <t>Большой Смоленский пр-кт, 6</t>
        </is>
      </c>
      <c r="C1110" t="inlineStr">
        <is>
          <t>sale</t>
        </is>
      </c>
      <c r="D1110" t="inlineStr">
        <is>
          <t>Да</t>
        </is>
      </c>
      <c r="E1110" t="inlineStr"/>
      <c r="F1110" t="inlineStr"/>
      <c r="G1110" t="inlineStr">
        <is>
          <t>39.3</t>
        </is>
      </c>
      <c r="H1110" t="inlineStr"/>
      <c r="I1110" t="inlineStr"/>
      <c r="J1110" t="inlineStr">
        <is>
          <t>11 700 000</t>
        </is>
      </c>
      <c r="K1110" t="inlineStr"/>
      <c r="L1110" t="inlineStr"/>
      <c r="M1110" t="inlineStr">
        <is>
          <t>Нет у нас</t>
        </is>
      </c>
      <c r="N1110" t="inlineStr"/>
      <c r="O1110" t="inlineStr"/>
      <c r="P1110" t="inlineStr"/>
      <c r="Q1110">
        <f>HYPERLINK("https://knru.ru/catalog/bolshoj-smolenskij-pr-d-6-561157/","ссылка")</f>
        <v/>
      </c>
      <c r="R1110" t="inlineStr"/>
      <c r="S1110" t="inlineStr"/>
    </row>
    <row r="1111">
      <c r="A1111" t="inlineStr">
        <is>
          <t>Невский</t>
        </is>
      </c>
      <c r="B1111" t="inlineStr">
        <is>
          <t>Варфоломеевская ул, 6</t>
        </is>
      </c>
      <c r="C1111" t="inlineStr">
        <is>
          <t>sale</t>
        </is>
      </c>
      <c r="D1111" t="inlineStr">
        <is>
          <t>Да</t>
        </is>
      </c>
      <c r="E1111" t="inlineStr"/>
      <c r="F1111" t="inlineStr"/>
      <c r="G1111" t="inlineStr">
        <is>
          <t>159.2</t>
        </is>
      </c>
      <c r="H1111" t="inlineStr"/>
      <c r="I1111" t="inlineStr"/>
      <c r="J1111" t="inlineStr">
        <is>
          <t>19 104 000</t>
        </is>
      </c>
      <c r="K1111" t="inlineStr"/>
      <c r="L1111" t="inlineStr"/>
      <c r="M1111" t="inlineStr">
        <is>
          <t>Нет у нас</t>
        </is>
      </c>
      <c r="N1111" t="inlineStr"/>
      <c r="O1111" t="inlineStr"/>
      <c r="P1111" t="inlineStr"/>
      <c r="Q1111">
        <f>HYPERLINK("https://knru.ru/catalog/varfolomeevskaya-ul-d-6-1331932954/","ссылка")</f>
        <v/>
      </c>
      <c r="R1111" t="inlineStr"/>
      <c r="S1111" t="inlineStr"/>
    </row>
    <row r="1112">
      <c r="A1112" t="inlineStr">
        <is>
          <t>Невский</t>
        </is>
      </c>
      <c r="B1112" t="inlineStr">
        <is>
          <t>Варфоломеевская ул, 6</t>
        </is>
      </c>
      <c r="C1112" t="inlineStr">
        <is>
          <t>sale</t>
        </is>
      </c>
      <c r="D1112" t="inlineStr">
        <is>
          <t>Да</t>
        </is>
      </c>
      <c r="E1112" t="inlineStr"/>
      <c r="F1112" t="inlineStr"/>
      <c r="G1112" t="inlineStr">
        <is>
          <t>130.1</t>
        </is>
      </c>
      <c r="H1112" t="inlineStr"/>
      <c r="I1112" t="inlineStr"/>
      <c r="J1112" t="inlineStr">
        <is>
          <t>32 525 000</t>
        </is>
      </c>
      <c r="K1112" t="inlineStr"/>
      <c r="L1112" t="inlineStr"/>
      <c r="M1112" t="inlineStr">
        <is>
          <t>Нет у нас</t>
        </is>
      </c>
      <c r="N1112" t="inlineStr"/>
      <c r="O1112" t="inlineStr"/>
      <c r="P1112" t="inlineStr"/>
      <c r="Q1112">
        <f>HYPERLINK("https://knru.ru/catalog/varfolomeevskaya-ul-d-6/","ссылка")</f>
        <v/>
      </c>
      <c r="R1112" t="inlineStr"/>
      <c r="S1112" t="inlineStr"/>
    </row>
    <row r="1113">
      <c r="A1113" t="inlineStr">
        <is>
          <t>Невский</t>
        </is>
      </c>
      <c r="B1113" t="inlineStr">
        <is>
          <t>Дальневосточный пр-кт, 42ке</t>
        </is>
      </c>
      <c r="C1113" t="inlineStr">
        <is>
          <t>sale</t>
        </is>
      </c>
      <c r="D1113" t="inlineStr">
        <is>
          <t>Да</t>
        </is>
      </c>
      <c r="E1113" t="inlineStr"/>
      <c r="F1113" t="inlineStr"/>
      <c r="G1113" t="inlineStr">
        <is>
          <t>166.3</t>
        </is>
      </c>
      <c r="H1113" t="inlineStr"/>
      <c r="I1113" t="inlineStr"/>
      <c r="J1113" t="inlineStr">
        <is>
          <t>43 000 000</t>
        </is>
      </c>
      <c r="K1113" t="inlineStr"/>
      <c r="L1113" t="inlineStr"/>
      <c r="M1113" t="inlineStr">
        <is>
          <t>Нет у нас</t>
        </is>
      </c>
      <c r="N1113" t="inlineStr"/>
      <c r="O1113" t="inlineStr"/>
      <c r="P1113" t="inlineStr"/>
      <c r="Q1113">
        <f>HYPERLINK("https://knru.ru/catalog/dalnevostochnyy-pr-kt-42ke/","ссылка")</f>
        <v/>
      </c>
      <c r="R1113" t="inlineStr"/>
      <c r="S1113" t="inlineStr"/>
    </row>
    <row r="1114">
      <c r="A1114" t="inlineStr">
        <is>
          <t>Невский</t>
        </is>
      </c>
      <c r="B1114" t="inlineStr">
        <is>
          <t>Дыбенко ул, 1к2</t>
        </is>
      </c>
      <c r="C1114" t="inlineStr">
        <is>
          <t>sale</t>
        </is>
      </c>
      <c r="D1114" t="inlineStr">
        <is>
          <t>Да</t>
        </is>
      </c>
      <c r="E1114" t="inlineStr"/>
      <c r="F1114" t="inlineStr"/>
      <c r="G1114" t="inlineStr">
        <is>
          <t>500</t>
        </is>
      </c>
      <c r="H1114" t="inlineStr"/>
      <c r="I1114" t="inlineStr"/>
      <c r="J1114" t="inlineStr">
        <is>
          <t>90 000 000</t>
        </is>
      </c>
      <c r="K1114" t="inlineStr"/>
      <c r="L1114" t="inlineStr"/>
      <c r="M1114" t="inlineStr">
        <is>
          <t>Нет у нас</t>
        </is>
      </c>
      <c r="N1114" t="inlineStr"/>
      <c r="O1114" t="inlineStr"/>
      <c r="P1114" t="inlineStr"/>
      <c r="Q1114">
        <f>HYPERLINK("https://knru.ru/catalog/dybenko-ul-1k2/","ссылка")</f>
        <v/>
      </c>
      <c r="R1114" t="inlineStr"/>
      <c r="S1114" t="inlineStr"/>
    </row>
    <row r="1115">
      <c r="A1115" t="inlineStr">
        <is>
          <t>Невский</t>
        </is>
      </c>
      <c r="B1115" t="inlineStr">
        <is>
          <t>Крыленко ул, 6к4стр1</t>
        </is>
      </c>
      <c r="C1115" t="inlineStr">
        <is>
          <t>sale</t>
        </is>
      </c>
      <c r="D1115" t="inlineStr">
        <is>
          <t>Да</t>
        </is>
      </c>
      <c r="E1115" t="inlineStr"/>
      <c r="F1115" t="inlineStr"/>
      <c r="G1115" t="inlineStr">
        <is>
          <t>185</t>
        </is>
      </c>
      <c r="H1115" t="inlineStr"/>
      <c r="I1115" t="inlineStr"/>
      <c r="J1115" t="inlineStr">
        <is>
          <t>70 000 000</t>
        </is>
      </c>
      <c r="K1115" t="inlineStr"/>
      <c r="L1115" t="inlineStr"/>
      <c r="M1115" t="inlineStr">
        <is>
          <t>Нет у нас</t>
        </is>
      </c>
      <c r="N1115" t="inlineStr"/>
      <c r="O1115" t="inlineStr"/>
      <c r="P1115" t="inlineStr"/>
      <c r="Q1115">
        <f>HYPERLINK("https://knru.ru/catalog/ul-krylenko-d-6-k-4/","ссылка")</f>
        <v/>
      </c>
      <c r="R1115" t="inlineStr"/>
      <c r="S1115" t="inlineStr"/>
    </row>
    <row r="1116">
      <c r="A1116" t="inlineStr">
        <is>
          <t>Невский</t>
        </is>
      </c>
      <c r="B1116" t="inlineStr">
        <is>
          <t>Крыленко ул, 6к5стр1</t>
        </is>
      </c>
      <c r="C1116" t="inlineStr">
        <is>
          <t>sale</t>
        </is>
      </c>
      <c r="D1116" t="inlineStr">
        <is>
          <t>Да</t>
        </is>
      </c>
      <c r="E1116" t="inlineStr"/>
      <c r="F1116" t="inlineStr"/>
      <c r="G1116" t="inlineStr">
        <is>
          <t>148.7</t>
        </is>
      </c>
      <c r="H1116" t="inlineStr"/>
      <c r="I1116" t="inlineStr"/>
      <c r="J1116" t="inlineStr">
        <is>
          <t>21 913 684</t>
        </is>
      </c>
      <c r="K1116" t="inlineStr"/>
      <c r="L1116" t="inlineStr"/>
      <c r="M1116" t="inlineStr">
        <is>
          <t>Нет у нас</t>
        </is>
      </c>
      <c r="N1116" t="inlineStr"/>
      <c r="O1116" t="inlineStr"/>
      <c r="P1116" t="inlineStr"/>
      <c r="Q1116">
        <f>HYPERLINK("https://knru.ru/catalog/ul-krylenko-d-6-k-5/","ссылка")</f>
        <v/>
      </c>
      <c r="R1116" t="inlineStr"/>
      <c r="S1116" t="inlineStr"/>
    </row>
    <row r="1117">
      <c r="A1117" t="inlineStr">
        <is>
          <t>Невский</t>
        </is>
      </c>
      <c r="B1117" t="inlineStr">
        <is>
          <t>Народная ул, 32 Р</t>
        </is>
      </c>
      <c r="C1117" t="inlineStr">
        <is>
          <t>sale</t>
        </is>
      </c>
      <c r="D1117" t="inlineStr">
        <is>
          <t>Да</t>
        </is>
      </c>
      <c r="E1117" t="inlineStr"/>
      <c r="F1117" t="inlineStr"/>
      <c r="G1117" t="inlineStr">
        <is>
          <t>899</t>
        </is>
      </c>
      <c r="H1117" t="inlineStr"/>
      <c r="I1117" t="inlineStr"/>
      <c r="J1117" t="inlineStr">
        <is>
          <t>242 550 000</t>
        </is>
      </c>
      <c r="K1117" t="inlineStr"/>
      <c r="L1117" t="inlineStr"/>
      <c r="M1117" t="inlineStr">
        <is>
          <t>Нет у нас</t>
        </is>
      </c>
      <c r="N1117" t="inlineStr"/>
      <c r="O1117" t="inlineStr"/>
      <c r="P1117" t="inlineStr"/>
      <c r="Q1117">
        <f>HYPERLINK("https://knru.ru/catalog/ul-narodnaya-d-32/","ссылка")</f>
        <v/>
      </c>
      <c r="R1117" t="inlineStr"/>
      <c r="S1117" t="inlineStr"/>
    </row>
    <row r="1118">
      <c r="A1118" t="inlineStr">
        <is>
          <t>Невский</t>
        </is>
      </c>
      <c r="B1118" t="inlineStr">
        <is>
          <t>Народная ул, 43к1</t>
        </is>
      </c>
      <c r="C1118" t="inlineStr">
        <is>
          <t>sale</t>
        </is>
      </c>
      <c r="D1118" t="inlineStr">
        <is>
          <t>Да</t>
        </is>
      </c>
      <c r="E1118" t="inlineStr"/>
      <c r="F1118" t="inlineStr"/>
      <c r="G1118" t="inlineStr">
        <is>
          <t>174.2</t>
        </is>
      </c>
      <c r="H1118" t="inlineStr"/>
      <c r="I1118" t="inlineStr"/>
      <c r="J1118" t="inlineStr">
        <is>
          <t>44 500 000</t>
        </is>
      </c>
      <c r="K1118" t="inlineStr"/>
      <c r="L1118" t="inlineStr"/>
      <c r="M1118" t="inlineStr">
        <is>
          <t>Совпало</t>
        </is>
      </c>
      <c r="N1118" t="inlineStr"/>
      <c r="O1118" t="inlineStr"/>
      <c r="P1118" t="inlineStr"/>
      <c r="Q1118">
        <f>HYPERLINK("https://knru.ru/catalog/narodnaya-ul-43k1/","ссылка")</f>
        <v/>
      </c>
      <c r="R1118" t="inlineStr"/>
      <c r="S1118" t="inlineStr"/>
    </row>
    <row r="1119">
      <c r="A1119" t="inlineStr">
        <is>
          <t>Невский</t>
        </is>
      </c>
      <c r="B1119" t="inlineStr">
        <is>
          <t>Обуховской Обороны пр-кт, 17</t>
        </is>
      </c>
      <c r="C1119" t="inlineStr">
        <is>
          <t>sale</t>
        </is>
      </c>
      <c r="D1119" t="inlineStr"/>
      <c r="E1119" t="inlineStr">
        <is>
          <t>Да</t>
        </is>
      </c>
      <c r="F1119" t="inlineStr"/>
      <c r="G1119" t="inlineStr"/>
      <c r="H1119" t="inlineStr">
        <is>
          <t>465</t>
        </is>
      </c>
      <c r="I1119" t="inlineStr"/>
      <c r="J1119" t="inlineStr"/>
      <c r="K1119" t="inlineStr">
        <is>
          <t>139 000 000</t>
        </is>
      </c>
      <c r="L1119" t="inlineStr"/>
      <c r="M1119" t="inlineStr"/>
      <c r="N1119" t="inlineStr">
        <is>
          <t>По адресу есть, но площадь другая</t>
        </is>
      </c>
      <c r="O1119" t="inlineStr"/>
      <c r="P1119" t="inlineStr"/>
      <c r="Q1119" t="inlineStr"/>
      <c r="R1119">
        <f>HYPERLINK("https://nordwestinvest.ru/real-estates/prodaza-gab-magnit-na-obuxovskoi-oborone","ссылка")</f>
        <v/>
      </c>
      <c r="S1119" t="inlineStr"/>
    </row>
    <row r="1120">
      <c r="A1120" t="inlineStr">
        <is>
          <t>Невский</t>
        </is>
      </c>
      <c r="B1120" t="inlineStr">
        <is>
          <t>Обуховской Обороны пр-кт, 243</t>
        </is>
      </c>
      <c r="C1120" t="inlineStr">
        <is>
          <t>sale</t>
        </is>
      </c>
      <c r="D1120" t="inlineStr">
        <is>
          <t>Да</t>
        </is>
      </c>
      <c r="E1120" t="inlineStr"/>
      <c r="F1120" t="inlineStr"/>
      <c r="G1120" t="inlineStr">
        <is>
          <t>105</t>
        </is>
      </c>
      <c r="H1120" t="inlineStr"/>
      <c r="I1120" t="inlineStr"/>
      <c r="J1120" t="inlineStr">
        <is>
          <t>26 000 000</t>
        </is>
      </c>
      <c r="K1120" t="inlineStr"/>
      <c r="L1120" t="inlineStr"/>
      <c r="M1120" t="inlineStr">
        <is>
          <t>Нет у нас</t>
        </is>
      </c>
      <c r="N1120" t="inlineStr"/>
      <c r="O1120" t="inlineStr"/>
      <c r="P1120" t="inlineStr"/>
      <c r="Q1120">
        <f>HYPERLINK("https://knru.ru/catalog/pr-obukhovskoy-oborony-d-243-1012831632/","ссылка")</f>
        <v/>
      </c>
      <c r="R1120" t="inlineStr"/>
      <c r="S1120" t="inlineStr"/>
    </row>
    <row r="1121">
      <c r="A1121" t="inlineStr">
        <is>
          <t>Невский</t>
        </is>
      </c>
      <c r="B1121" t="inlineStr">
        <is>
          <t>Обуховской Обороны пр-кт, 36к1 А</t>
        </is>
      </c>
      <c r="C1121" t="inlineStr">
        <is>
          <t>sale</t>
        </is>
      </c>
      <c r="D1121" t="inlineStr">
        <is>
          <t>Да</t>
        </is>
      </c>
      <c r="E1121" t="inlineStr"/>
      <c r="F1121" t="inlineStr"/>
      <c r="G1121" t="inlineStr">
        <is>
          <t>100.6</t>
        </is>
      </c>
      <c r="H1121" t="inlineStr"/>
      <c r="I1121" t="inlineStr"/>
      <c r="J1121" t="inlineStr">
        <is>
          <t>40 738 950</t>
        </is>
      </c>
      <c r="K1121" t="inlineStr"/>
      <c r="L1121" t="inlineStr"/>
      <c r="M1121" t="inlineStr">
        <is>
          <t>Нет у нас</t>
        </is>
      </c>
      <c r="N1121" t="inlineStr"/>
      <c r="O1121" t="inlineStr"/>
      <c r="P1121" t="inlineStr"/>
      <c r="Q1121">
        <f>HYPERLINK("https://knru.ru/catalog/pr-obuxovskoj-oborony-d-36-561245/","ссылка")</f>
        <v/>
      </c>
      <c r="R1121" t="inlineStr"/>
      <c r="S1121" t="inlineStr"/>
    </row>
    <row r="1122">
      <c r="A1122" t="inlineStr">
        <is>
          <t>Невский</t>
        </is>
      </c>
      <c r="B1122" t="inlineStr">
        <is>
          <t>Обуховской Обороны пр-кт, 38</t>
        </is>
      </c>
      <c r="C1122" t="inlineStr">
        <is>
          <t>sale</t>
        </is>
      </c>
      <c r="D1122" t="inlineStr">
        <is>
          <t>Да</t>
        </is>
      </c>
      <c r="E1122" t="inlineStr"/>
      <c r="F1122" t="inlineStr"/>
      <c r="G1122" t="inlineStr">
        <is>
          <t>103.7</t>
        </is>
      </c>
      <c r="H1122" t="inlineStr"/>
      <c r="I1122" t="inlineStr"/>
      <c r="J1122" t="inlineStr">
        <is>
          <t>42 944 220</t>
        </is>
      </c>
      <c r="K1122" t="inlineStr"/>
      <c r="L1122" t="inlineStr"/>
      <c r="M1122" t="inlineStr">
        <is>
          <t>По адресу есть, но площадь другая</t>
        </is>
      </c>
      <c r="N1122" t="inlineStr"/>
      <c r="O1122" t="inlineStr"/>
      <c r="P1122" t="inlineStr"/>
      <c r="Q1122">
        <f>HYPERLINK("https://knru.ru/catalog/pr-obukhovskoy-oborony-d-38-1815446905/","ссылка")</f>
        <v/>
      </c>
      <c r="R1122" t="inlineStr"/>
      <c r="S1122" t="inlineStr"/>
    </row>
    <row r="1123">
      <c r="A1123" t="inlineStr">
        <is>
          <t>Невский</t>
        </is>
      </c>
      <c r="B1123" t="inlineStr">
        <is>
          <t>Обуховской Обороны пр-кт, 38</t>
        </is>
      </c>
      <c r="C1123" t="inlineStr">
        <is>
          <t>sale</t>
        </is>
      </c>
      <c r="D1123" t="inlineStr">
        <is>
          <t>Да</t>
        </is>
      </c>
      <c r="E1123" t="inlineStr"/>
      <c r="F1123" t="inlineStr"/>
      <c r="G1123" t="inlineStr">
        <is>
          <t>58</t>
        </is>
      </c>
      <c r="H1123" t="inlineStr"/>
      <c r="I1123" t="inlineStr"/>
      <c r="J1123" t="inlineStr">
        <is>
          <t>23 999 580</t>
        </is>
      </c>
      <c r="K1123" t="inlineStr"/>
      <c r="L1123" t="inlineStr"/>
      <c r="M1123" t="inlineStr">
        <is>
          <t>По адресу есть, но площадь другая</t>
        </is>
      </c>
      <c r="N1123" t="inlineStr"/>
      <c r="O1123" t="inlineStr"/>
      <c r="P1123" t="inlineStr"/>
      <c r="Q1123">
        <f>HYPERLINK("https://knru.ru/catalog/pr-obukhovskoy-oborony-d-38-463718154/","ссылка")</f>
        <v/>
      </c>
      <c r="R1123" t="inlineStr"/>
      <c r="S1123" t="inlineStr"/>
    </row>
    <row r="1124">
      <c r="A1124" t="inlineStr">
        <is>
          <t>Невский</t>
        </is>
      </c>
      <c r="B1124" t="inlineStr">
        <is>
          <t>Обуховской Обороны пр-кт, 38</t>
        </is>
      </c>
      <c r="C1124" t="inlineStr">
        <is>
          <t>sale</t>
        </is>
      </c>
      <c r="D1124" t="inlineStr">
        <is>
          <t>Да</t>
        </is>
      </c>
      <c r="E1124" t="inlineStr"/>
      <c r="F1124" t="inlineStr"/>
      <c r="G1124" t="inlineStr">
        <is>
          <t>100.6</t>
        </is>
      </c>
      <c r="H1124" t="inlineStr"/>
      <c r="I1124" t="inlineStr"/>
      <c r="J1124" t="inlineStr">
        <is>
          <t>40 738 950</t>
        </is>
      </c>
      <c r="K1124" t="inlineStr"/>
      <c r="L1124" t="inlineStr"/>
      <c r="M1124" t="inlineStr">
        <is>
          <t>По адресу есть, но площадь другая</t>
        </is>
      </c>
      <c r="N1124" t="inlineStr"/>
      <c r="O1124" t="inlineStr"/>
      <c r="P1124" t="inlineStr"/>
      <c r="Q1124">
        <f>HYPERLINK("https://knru.ru/catalog/pr-obukhovskoy-oborony-d-38-1114060101/","ссылка")</f>
        <v/>
      </c>
      <c r="R1124" t="inlineStr"/>
      <c r="S1124" t="inlineStr"/>
    </row>
    <row r="1125">
      <c r="A1125" t="inlineStr">
        <is>
          <t>Невский</t>
        </is>
      </c>
      <c r="B1125" t="inlineStr">
        <is>
          <t>Обуховской Обороны пр-кт, 38</t>
        </is>
      </c>
      <c r="C1125" t="inlineStr">
        <is>
          <t>sale</t>
        </is>
      </c>
      <c r="D1125" t="inlineStr">
        <is>
          <t>Да</t>
        </is>
      </c>
      <c r="E1125" t="inlineStr"/>
      <c r="F1125" t="inlineStr"/>
      <c r="G1125" t="inlineStr">
        <is>
          <t>36.6</t>
        </is>
      </c>
      <c r="H1125" t="inlineStr"/>
      <c r="I1125" t="inlineStr"/>
      <c r="J1125" t="inlineStr">
        <is>
          <t>17 472 510</t>
        </is>
      </c>
      <c r="K1125" t="inlineStr"/>
      <c r="L1125" t="inlineStr"/>
      <c r="M1125" t="inlineStr">
        <is>
          <t>По адресу есть, но площадь другая</t>
        </is>
      </c>
      <c r="N1125" t="inlineStr"/>
      <c r="O1125" t="inlineStr"/>
      <c r="P1125" t="inlineStr"/>
      <c r="Q1125">
        <f>HYPERLINK("https://knru.ru/catalog/pr-obukhovskoy-oborony-d-38/","ссылка")</f>
        <v/>
      </c>
      <c r="R1125" t="inlineStr"/>
      <c r="S1125" t="inlineStr"/>
    </row>
    <row r="1126">
      <c r="A1126" t="inlineStr">
        <is>
          <t>Невский</t>
        </is>
      </c>
      <c r="B1126" t="inlineStr">
        <is>
          <t>Обуховской Обороны пр-кт, 38 В</t>
        </is>
      </c>
      <c r="C1126" t="inlineStr">
        <is>
          <t>sale</t>
        </is>
      </c>
      <c r="D1126" t="inlineStr"/>
      <c r="E1126" t="inlineStr">
        <is>
          <t>Да</t>
        </is>
      </c>
      <c r="F1126" t="inlineStr"/>
      <c r="G1126" t="inlineStr"/>
      <c r="H1126" t="inlineStr">
        <is>
          <t>3000</t>
        </is>
      </c>
      <c r="I1126" t="inlineStr"/>
      <c r="J1126" t="inlineStr"/>
      <c r="K1126" t="inlineStr">
        <is>
          <t>600 000 000</t>
        </is>
      </c>
      <c r="L1126" t="inlineStr"/>
      <c r="M1126" t="inlineStr"/>
      <c r="N1126" t="inlineStr">
        <is>
          <t>Нет у нас</t>
        </is>
      </c>
      <c r="O1126" t="inlineStr"/>
      <c r="P1126" t="inlineStr"/>
      <c r="Q1126" t="inlineStr"/>
      <c r="R1126">
        <f>HYPERLINK("https://nordwestinvest.ru/real-estates/prodaza-pomeshheniia-s-thermoland","ссылка")</f>
        <v/>
      </c>
      <c r="S1126" t="inlineStr"/>
    </row>
    <row r="1127">
      <c r="A1127" t="inlineStr">
        <is>
          <t>Невский</t>
        </is>
      </c>
      <c r="B1127" t="inlineStr">
        <is>
          <t>Обуховской Обороны пр-кт, 38 В</t>
        </is>
      </c>
      <c r="C1127" t="inlineStr">
        <is>
          <t>sale</t>
        </is>
      </c>
      <c r="D1127" t="inlineStr">
        <is>
          <t>Да</t>
        </is>
      </c>
      <c r="E1127" t="inlineStr"/>
      <c r="F1127" t="inlineStr"/>
      <c r="G1127" t="inlineStr">
        <is>
          <t>9200</t>
        </is>
      </c>
      <c r="H1127" t="inlineStr"/>
      <c r="I1127" t="inlineStr"/>
      <c r="J1127" t="inlineStr">
        <is>
          <t>1 000 000 000</t>
        </is>
      </c>
      <c r="K1127" t="inlineStr"/>
      <c r="L1127" t="inlineStr"/>
      <c r="M1127" t="inlineStr">
        <is>
          <t>Нет у нас</t>
        </is>
      </c>
      <c r="N1127" t="inlineStr"/>
      <c r="O1127" t="inlineStr"/>
      <c r="P1127" t="inlineStr"/>
      <c r="Q1127">
        <f>HYPERLINK("https://knru.ru/catalog/pr-obukhovskoy-oborony-d-38-1209188884/","ссылка")</f>
        <v/>
      </c>
      <c r="R1127" t="inlineStr"/>
      <c r="S1127" t="inlineStr"/>
    </row>
    <row r="1128">
      <c r="A1128" t="inlineStr">
        <is>
          <t>Невский</t>
        </is>
      </c>
      <c r="B1128" t="inlineStr">
        <is>
          <t>Обуховской Обороны пр-кт, 49 К</t>
        </is>
      </c>
      <c r="C1128" t="inlineStr">
        <is>
          <t>sale</t>
        </is>
      </c>
      <c r="D1128" t="inlineStr">
        <is>
          <t>Да</t>
        </is>
      </c>
      <c r="E1128" t="inlineStr"/>
      <c r="F1128" t="inlineStr"/>
      <c r="G1128" t="inlineStr">
        <is>
          <t>17843</t>
        </is>
      </c>
      <c r="H1128" t="inlineStr"/>
      <c r="I1128" t="inlineStr"/>
      <c r="J1128" t="inlineStr">
        <is>
          <t>150 000 000</t>
        </is>
      </c>
      <c r="K1128" t="inlineStr"/>
      <c r="L1128" t="inlineStr"/>
      <c r="M1128" t="inlineStr">
        <is>
          <t>Нет у нас</t>
        </is>
      </c>
      <c r="N1128" t="inlineStr"/>
      <c r="O1128" t="inlineStr"/>
      <c r="P1128" t="inlineStr"/>
      <c r="Q1128">
        <f>HYPERLINK("https://knru.ru/catalog/obuxovskoj-oborony-pr-kt-49-k/","ссылка")</f>
        <v/>
      </c>
      <c r="R1128" t="inlineStr"/>
      <c r="S1128" t="inlineStr"/>
    </row>
    <row r="1129">
      <c r="A1129" t="inlineStr">
        <is>
          <t>Невский</t>
        </is>
      </c>
      <c r="B1129" t="inlineStr">
        <is>
          <t>Обуховской Обороны пр-кт, 86к</t>
        </is>
      </c>
      <c r="C1129" t="inlineStr">
        <is>
          <t>sale</t>
        </is>
      </c>
      <c r="D1129" t="inlineStr"/>
      <c r="E1129" t="inlineStr">
        <is>
          <t>Да</t>
        </is>
      </c>
      <c r="F1129" t="inlineStr"/>
      <c r="G1129" t="inlineStr"/>
      <c r="H1129" t="inlineStr">
        <is>
          <t>11240</t>
        </is>
      </c>
      <c r="I1129" t="inlineStr"/>
      <c r="J1129" t="inlineStr"/>
      <c r="K1129" t="inlineStr">
        <is>
          <t>1 000 000 000</t>
        </is>
      </c>
      <c r="L1129" t="inlineStr"/>
      <c r="M1129" t="inlineStr"/>
      <c r="N1129" t="inlineStr">
        <is>
          <t>По адресу есть, но площадь другая</t>
        </is>
      </c>
      <c r="O1129" t="inlineStr"/>
      <c r="P1129" t="inlineStr"/>
      <c r="Q1129" t="inlineStr"/>
      <c r="R1129">
        <f>HYPERLINK("https://nordwestinvest.ru/real-estates/prodaza-zdaniia-so-100-dolei-kompanii","ссылка")</f>
        <v/>
      </c>
      <c r="S1129" t="inlineStr"/>
    </row>
    <row r="1130">
      <c r="A1130" t="inlineStr">
        <is>
          <t>Невский</t>
        </is>
      </c>
      <c r="B1130" t="inlineStr">
        <is>
          <t>Октябрьская наб, 34к4</t>
        </is>
      </c>
      <c r="C1130" t="inlineStr">
        <is>
          <t>sale</t>
        </is>
      </c>
      <c r="D1130" t="inlineStr">
        <is>
          <t>Да</t>
        </is>
      </c>
      <c r="E1130" t="inlineStr"/>
      <c r="F1130" t="inlineStr"/>
      <c r="G1130" t="inlineStr">
        <is>
          <t>88.2</t>
        </is>
      </c>
      <c r="H1130" t="inlineStr"/>
      <c r="I1130" t="inlineStr"/>
      <c r="J1130" t="inlineStr">
        <is>
          <t>26 201 340</t>
        </is>
      </c>
      <c r="K1130" t="inlineStr"/>
      <c r="L1130" t="inlineStr"/>
      <c r="M1130" t="inlineStr">
        <is>
          <t>По адресу есть, но площадь другая</t>
        </is>
      </c>
      <c r="N1130" t="inlineStr"/>
      <c r="O1130" t="inlineStr"/>
      <c r="P1130" t="inlineStr"/>
      <c r="Q1130">
        <f>HYPERLINK("https://knru.ru/catalog/oktyabrskaya-nab-d-34-k-4-48521736/","ссылка")</f>
        <v/>
      </c>
      <c r="R1130" t="inlineStr"/>
      <c r="S1130" t="inlineStr"/>
    </row>
    <row r="1131">
      <c r="A1131" t="inlineStr">
        <is>
          <t>Невский</t>
        </is>
      </c>
      <c r="B1131" t="inlineStr">
        <is>
          <t>Октябрьская ул, 1</t>
        </is>
      </c>
      <c r="C1131" t="inlineStr">
        <is>
          <t>sale</t>
        </is>
      </c>
      <c r="D1131" t="inlineStr">
        <is>
          <t>Да</t>
        </is>
      </c>
      <c r="E1131" t="inlineStr"/>
      <c r="F1131" t="inlineStr"/>
      <c r="G1131" t="inlineStr">
        <is>
          <t>4000</t>
        </is>
      </c>
      <c r="H1131" t="inlineStr"/>
      <c r="I1131" t="inlineStr"/>
      <c r="J1131" t="inlineStr">
        <is>
          <t>59 000 000</t>
        </is>
      </c>
      <c r="K1131" t="inlineStr"/>
      <c r="L1131" t="inlineStr"/>
      <c r="M1131" t="inlineStr">
        <is>
          <t>Нет у нас</t>
        </is>
      </c>
      <c r="N1131" t="inlineStr"/>
      <c r="O1131" t="inlineStr"/>
      <c r="P1131" t="inlineStr"/>
      <c r="Q1131">
        <f>HYPERLINK("https://knru.ru/catalog/g-p-sverdlovo-oktyabrskaya-1a/","ссылка")</f>
        <v/>
      </c>
      <c r="R1131" t="inlineStr"/>
      <c r="S1131" t="inlineStr"/>
    </row>
    <row r="1132">
      <c r="A1132" t="inlineStr">
        <is>
          <t>Невский</t>
        </is>
      </c>
      <c r="B1132" t="inlineStr">
        <is>
          <t>Петровская коса, 1к1 Р</t>
        </is>
      </c>
      <c r="C1132" t="inlineStr">
        <is>
          <t>sale</t>
        </is>
      </c>
      <c r="D1132" t="inlineStr"/>
      <c r="E1132" t="inlineStr">
        <is>
          <t>Да</t>
        </is>
      </c>
      <c r="F1132" t="inlineStr"/>
      <c r="G1132" t="inlineStr"/>
      <c r="H1132" t="inlineStr">
        <is>
          <t>466</t>
        </is>
      </c>
      <c r="I1132" t="inlineStr"/>
      <c r="J1132" t="inlineStr"/>
      <c r="K1132" t="inlineStr">
        <is>
          <t>128 000 000</t>
        </is>
      </c>
      <c r="L1132" t="inlineStr"/>
      <c r="M1132" t="inlineStr"/>
      <c r="N1132" t="inlineStr">
        <is>
          <t>Нет у нас</t>
        </is>
      </c>
      <c r="O1132" t="inlineStr"/>
      <c r="P1132" t="inlineStr"/>
      <c r="Q1132" t="inlineStr"/>
      <c r="R1132">
        <f>HYPERLINK("https://nordwestinvest.ru/real-estates/prodaza-ofisnogo-bloka-466-m2petrovskii-ostrov","ссылка")</f>
        <v/>
      </c>
      <c r="S1132" t="inlineStr"/>
    </row>
    <row r="1133">
      <c r="A1133" t="inlineStr">
        <is>
          <t>Невский</t>
        </is>
      </c>
      <c r="B1133" t="inlineStr">
        <is>
          <t>Петровская коса, 1к1 Р</t>
        </is>
      </c>
      <c r="C1133" t="inlineStr">
        <is>
          <t>sale</t>
        </is>
      </c>
      <c r="D1133" t="inlineStr"/>
      <c r="E1133" t="inlineStr">
        <is>
          <t>Да</t>
        </is>
      </c>
      <c r="F1133" t="inlineStr"/>
      <c r="G1133" t="inlineStr"/>
      <c r="H1133" t="inlineStr">
        <is>
          <t>411</t>
        </is>
      </c>
      <c r="I1133" t="inlineStr"/>
      <c r="J1133" t="inlineStr"/>
      <c r="K1133" t="inlineStr">
        <is>
          <t>112 894 000</t>
        </is>
      </c>
      <c r="L1133" t="inlineStr"/>
      <c r="M1133" t="inlineStr"/>
      <c r="N1133" t="inlineStr">
        <is>
          <t>Нет у нас</t>
        </is>
      </c>
      <c r="O1133" t="inlineStr"/>
      <c r="P1133" t="inlineStr"/>
      <c r="Q1133" t="inlineStr"/>
      <c r="R1133">
        <f>HYPERLINK("https://nordwestinvest.ru/real-estates/prodaza-ofisnogo-bloka-411-m2petrovskii-ostrov","ссылка")</f>
        <v/>
      </c>
      <c r="S1133" t="inlineStr"/>
    </row>
    <row r="1134">
      <c r="A1134" t="inlineStr">
        <is>
          <t>Невский</t>
        </is>
      </c>
      <c r="B1134" t="inlineStr">
        <is>
          <t>Петровская коса, 1к1 Р</t>
        </is>
      </c>
      <c r="C1134" t="inlineStr">
        <is>
          <t>sale</t>
        </is>
      </c>
      <c r="D1134" t="inlineStr"/>
      <c r="E1134" t="inlineStr">
        <is>
          <t>Да</t>
        </is>
      </c>
      <c r="F1134" t="inlineStr"/>
      <c r="G1134" t="inlineStr"/>
      <c r="H1134" t="inlineStr">
        <is>
          <t>444.5</t>
        </is>
      </c>
      <c r="I1134" t="inlineStr"/>
      <c r="J1134" t="inlineStr"/>
      <c r="K1134" t="inlineStr">
        <is>
          <t>133 350 000</t>
        </is>
      </c>
      <c r="L1134" t="inlineStr"/>
      <c r="M1134" t="inlineStr"/>
      <c r="N1134" t="inlineStr">
        <is>
          <t>Нет у нас</t>
        </is>
      </c>
      <c r="O1134" t="inlineStr"/>
      <c r="P1134" t="inlineStr"/>
      <c r="Q1134" t="inlineStr"/>
      <c r="R1134">
        <f>HYPERLINK("https://nordwestinvest.ru/real-estates/prodaza-ofisnogo-bloka-4445-m2petrovskii-ostrov","ссылка")</f>
        <v/>
      </c>
      <c r="S1134" t="inlineStr"/>
    </row>
    <row r="1135">
      <c r="A1135" t="inlineStr">
        <is>
          <t>Невский</t>
        </is>
      </c>
      <c r="B1135" t="inlineStr">
        <is>
          <t>Петровская коса, 1к1 Р</t>
        </is>
      </c>
      <c r="C1135" t="inlineStr">
        <is>
          <t>sale</t>
        </is>
      </c>
      <c r="D1135" t="inlineStr"/>
      <c r="E1135" t="inlineStr">
        <is>
          <t>Да</t>
        </is>
      </c>
      <c r="F1135" t="inlineStr"/>
      <c r="G1135" t="inlineStr"/>
      <c r="H1135" t="inlineStr">
        <is>
          <t>250</t>
        </is>
      </c>
      <c r="I1135" t="inlineStr"/>
      <c r="J1135" t="inlineStr"/>
      <c r="K1135" t="inlineStr">
        <is>
          <t>68 692 000</t>
        </is>
      </c>
      <c r="L1135" t="inlineStr"/>
      <c r="M1135" t="inlineStr"/>
      <c r="N1135" t="inlineStr">
        <is>
          <t>Нет у нас</t>
        </is>
      </c>
      <c r="O1135" t="inlineStr"/>
      <c r="P1135" t="inlineStr"/>
      <c r="Q1135" t="inlineStr"/>
      <c r="R1135">
        <f>HYPERLINK("https://nordwestinvest.ru/real-estates/prodaza-ofisnogo-bloka-250-m2petrovskii-ostrov","ссылка")</f>
        <v/>
      </c>
      <c r="S1135" t="inlineStr"/>
    </row>
    <row r="1136">
      <c r="A1136" t="inlineStr">
        <is>
          <t>Невский</t>
        </is>
      </c>
      <c r="B1136" t="inlineStr">
        <is>
          <t>Прибрежная ул, 4</t>
        </is>
      </c>
      <c r="C1136" t="inlineStr">
        <is>
          <t>sale</t>
        </is>
      </c>
      <c r="D1136" t="inlineStr">
        <is>
          <t>Да</t>
        </is>
      </c>
      <c r="E1136" t="inlineStr"/>
      <c r="F1136" t="inlineStr"/>
      <c r="G1136" t="inlineStr">
        <is>
          <t>74</t>
        </is>
      </c>
      <c r="H1136" t="inlineStr"/>
      <c r="I1136" t="inlineStr"/>
      <c r="J1136" t="inlineStr">
        <is>
          <t>25 000 000</t>
        </is>
      </c>
      <c r="K1136" t="inlineStr"/>
      <c r="L1136" t="inlineStr"/>
      <c r="M1136" t="inlineStr">
        <is>
          <t>По адресу есть, но площадь другая</t>
        </is>
      </c>
      <c r="N1136" t="inlineStr"/>
      <c r="O1136" t="inlineStr"/>
      <c r="P1136" t="inlineStr"/>
      <c r="Q1136">
        <f>HYPERLINK("https://knru.ru/catalog/pribrezhnaya-ul-d-4-1030192373/","ссылка")</f>
        <v/>
      </c>
      <c r="R1136" t="inlineStr"/>
      <c r="S1136" t="inlineStr"/>
    </row>
    <row r="1137">
      <c r="A1137" t="inlineStr">
        <is>
          <t>Невский</t>
        </is>
      </c>
      <c r="B1137" t="inlineStr">
        <is>
          <t>Прибрежная ул, 4 А</t>
        </is>
      </c>
      <c r="C1137" t="inlineStr">
        <is>
          <t>sale</t>
        </is>
      </c>
      <c r="D1137" t="inlineStr"/>
      <c r="E1137" t="inlineStr">
        <is>
          <t>Да</t>
        </is>
      </c>
      <c r="F1137" t="inlineStr"/>
      <c r="G1137" t="inlineStr"/>
      <c r="H1137" t="inlineStr">
        <is>
          <t>60</t>
        </is>
      </c>
      <c r="I1137" t="inlineStr"/>
      <c r="J1137" t="inlineStr"/>
      <c r="K1137" t="inlineStr">
        <is>
          <t>15 800 000</t>
        </is>
      </c>
      <c r="L1137" t="inlineStr"/>
      <c r="M1137" t="inlineStr"/>
      <c r="N1137" t="inlineStr">
        <is>
          <t>По адресу есть, но площадь другая</t>
        </is>
      </c>
      <c r="O1137" t="inlineStr"/>
      <c r="P1137" t="inlineStr"/>
      <c r="Q1137" t="inlineStr"/>
      <c r="R1137">
        <f>HYPERLINK("https://nordwestinvest.ru/real-estates/prodaza-pomeshheniia-s-pvz-ozon-60-m2","ссылка")</f>
        <v/>
      </c>
      <c r="S1137" t="inlineStr"/>
    </row>
    <row r="1138">
      <c r="A1138" t="inlineStr">
        <is>
          <t>Невский</t>
        </is>
      </c>
      <c r="B1138" t="inlineStr">
        <is>
          <t>Приневская ул</t>
        </is>
      </c>
      <c r="C1138" t="inlineStr">
        <is>
          <t>sale</t>
        </is>
      </c>
      <c r="D1138" t="inlineStr">
        <is>
          <t>Да</t>
        </is>
      </c>
      <c r="E1138" t="inlineStr"/>
      <c r="F1138" t="inlineStr"/>
      <c r="G1138" t="inlineStr">
        <is>
          <t>7000</t>
        </is>
      </c>
      <c r="H1138" t="inlineStr"/>
      <c r="I1138" t="inlineStr"/>
      <c r="J1138" t="inlineStr">
        <is>
          <t>26 000 000</t>
        </is>
      </c>
      <c r="K1138" t="inlineStr"/>
      <c r="L1138" t="inlineStr"/>
      <c r="M1138" t="inlineStr">
        <is>
          <t>Нет у нас</t>
        </is>
      </c>
      <c r="N1138" t="inlineStr"/>
      <c r="O1138" t="inlineStr"/>
      <c r="P1138" t="inlineStr"/>
      <c r="Q1138">
        <f>HYPERLINK("https://knru.ru/catalog/prinevskaya-ul-552742/","ссылка")</f>
        <v/>
      </c>
      <c r="R1138" t="inlineStr"/>
      <c r="S1138" t="inlineStr"/>
    </row>
    <row r="1139">
      <c r="A1139" t="inlineStr">
        <is>
          <t>Невский</t>
        </is>
      </c>
      <c r="B1139" t="inlineStr">
        <is>
          <t>Приневская ул</t>
        </is>
      </c>
      <c r="C1139" t="inlineStr">
        <is>
          <t>sale</t>
        </is>
      </c>
      <c r="D1139" t="inlineStr">
        <is>
          <t>Да</t>
        </is>
      </c>
      <c r="E1139" t="inlineStr"/>
      <c r="F1139" t="inlineStr"/>
      <c r="G1139" t="inlineStr">
        <is>
          <t>27500</t>
        </is>
      </c>
      <c r="H1139" t="inlineStr"/>
      <c r="I1139" t="inlineStr"/>
      <c r="J1139" t="inlineStr">
        <is>
          <t>45 000 000</t>
        </is>
      </c>
      <c r="K1139" t="inlineStr"/>
      <c r="L1139" t="inlineStr"/>
      <c r="M1139" t="inlineStr">
        <is>
          <t>Нет у нас</t>
        </is>
      </c>
      <c r="N1139" t="inlineStr"/>
      <c r="O1139" t="inlineStr"/>
      <c r="P1139" t="inlineStr"/>
      <c r="Q1139">
        <f>HYPERLINK("https://knru.ru/catalog/prinevskaya-ul/","ссылка")</f>
        <v/>
      </c>
      <c r="R1139" t="inlineStr"/>
      <c r="S1139" t="inlineStr"/>
    </row>
    <row r="1140">
      <c r="A1140" t="inlineStr">
        <is>
          <t>Невский</t>
        </is>
      </c>
      <c r="B1140" t="inlineStr">
        <is>
          <t>Российский пр-кт, 8</t>
        </is>
      </c>
      <c r="C1140" t="inlineStr">
        <is>
          <t>sale</t>
        </is>
      </c>
      <c r="D1140" t="inlineStr">
        <is>
          <t>Да</t>
        </is>
      </c>
      <c r="E1140" t="inlineStr"/>
      <c r="F1140" t="inlineStr"/>
      <c r="G1140" t="inlineStr">
        <is>
          <t>283</t>
        </is>
      </c>
      <c r="H1140" t="inlineStr"/>
      <c r="I1140" t="inlineStr"/>
      <c r="J1140" t="inlineStr">
        <is>
          <t>50 000 000</t>
        </is>
      </c>
      <c r="K1140" t="inlineStr"/>
      <c r="L1140" t="inlineStr"/>
      <c r="M1140" t="inlineStr">
        <is>
          <t>По адресу есть, но площадь другая</t>
        </is>
      </c>
      <c r="N1140" t="inlineStr"/>
      <c r="O1140" t="inlineStr"/>
      <c r="P1140" t="inlineStr"/>
      <c r="Q1140">
        <f>HYPERLINK("https://knru.ru/catalog/rossijskij-pr-d-8/","ссылка")</f>
        <v/>
      </c>
      <c r="R1140" t="inlineStr"/>
      <c r="S1140" t="inlineStr"/>
    </row>
    <row r="1141">
      <c r="A1141" t="inlineStr">
        <is>
          <t>Невский</t>
        </is>
      </c>
      <c r="B1141" t="inlineStr">
        <is>
          <t>Русановская ул, 10</t>
        </is>
      </c>
      <c r="C1141" t="inlineStr">
        <is>
          <t>sale</t>
        </is>
      </c>
      <c r="D1141" t="inlineStr">
        <is>
          <t>Да</t>
        </is>
      </c>
      <c r="E1141" t="inlineStr"/>
      <c r="F1141" t="inlineStr"/>
      <c r="G1141" t="inlineStr">
        <is>
          <t>864</t>
        </is>
      </c>
      <c r="H1141" t="inlineStr"/>
      <c r="I1141" t="inlineStr"/>
      <c r="J1141" t="inlineStr">
        <is>
          <t>117 148 000</t>
        </is>
      </c>
      <c r="K1141" t="inlineStr"/>
      <c r="L1141" t="inlineStr"/>
      <c r="M1141" t="inlineStr">
        <is>
          <t>Нет у нас</t>
        </is>
      </c>
      <c r="N1141" t="inlineStr"/>
      <c r="O1141" t="inlineStr"/>
      <c r="P1141" t="inlineStr"/>
      <c r="Q1141">
        <f>HYPERLINK("https://knru.ru/catalog/rusanovskaya-ul-10/","ссылка")</f>
        <v/>
      </c>
      <c r="R1141" t="inlineStr"/>
      <c r="S1141" t="inlineStr"/>
    </row>
    <row r="1142">
      <c r="A1142" t="inlineStr">
        <is>
          <t>Невский</t>
        </is>
      </c>
      <c r="B1142" t="inlineStr">
        <is>
          <t>Русановская ул, 22</t>
        </is>
      </c>
      <c r="C1142" t="inlineStr">
        <is>
          <t>sale</t>
        </is>
      </c>
      <c r="D1142" t="inlineStr"/>
      <c r="E1142" t="inlineStr">
        <is>
          <t>Да</t>
        </is>
      </c>
      <c r="F1142" t="inlineStr"/>
      <c r="G1142" t="inlineStr"/>
      <c r="H1142" t="inlineStr">
        <is>
          <t>1361.8</t>
        </is>
      </c>
      <c r="I1142" t="inlineStr"/>
      <c r="J1142" t="inlineStr"/>
      <c r="K1142" t="inlineStr">
        <is>
          <t>425 000 000</t>
        </is>
      </c>
      <c r="L1142" t="inlineStr"/>
      <c r="M1142" t="inlineStr"/>
      <c r="N1142" t="inlineStr">
        <is>
          <t>Нет у нас</t>
        </is>
      </c>
      <c r="O1142" t="inlineStr"/>
      <c r="P1142" t="inlineStr"/>
      <c r="Q1142" t="inlineStr"/>
      <c r="R1142">
        <f>HYPERLINK("https://nordwestinvest.ru/real-estates/prodaza-pomeshheniia-s-gab-1361-m2","ссылка")</f>
        <v/>
      </c>
      <c r="S1142" t="inlineStr"/>
    </row>
    <row r="1143">
      <c r="A1143" t="inlineStr">
        <is>
          <t>Невский</t>
        </is>
      </c>
      <c r="B1143" t="inlineStr">
        <is>
          <t>Русановская ул, 22стр1</t>
        </is>
      </c>
      <c r="C1143" t="inlineStr">
        <is>
          <t>sale</t>
        </is>
      </c>
      <c r="D1143" t="inlineStr">
        <is>
          <t>Да</t>
        </is>
      </c>
      <c r="E1143" t="inlineStr"/>
      <c r="F1143" t="inlineStr"/>
      <c r="G1143" t="inlineStr">
        <is>
          <t>1362</t>
        </is>
      </c>
      <c r="H1143" t="inlineStr"/>
      <c r="I1143" t="inlineStr"/>
      <c r="J1143" t="inlineStr">
        <is>
          <t>394 922 000</t>
        </is>
      </c>
      <c r="K1143" t="inlineStr"/>
      <c r="L1143" t="inlineStr"/>
      <c r="M1143" t="inlineStr">
        <is>
          <t>Нет у нас</t>
        </is>
      </c>
      <c r="N1143" t="inlineStr"/>
      <c r="O1143" t="inlineStr"/>
      <c r="P1143" t="inlineStr"/>
      <c r="Q1143">
        <f>HYPERLINK("https://knru.ru/catalog/rusanovskaya-ul-d-22/","ссылка")</f>
        <v/>
      </c>
      <c r="R1143" t="inlineStr"/>
      <c r="S1143" t="inlineStr"/>
    </row>
    <row r="1144">
      <c r="A1144" t="inlineStr">
        <is>
          <t>Невский</t>
        </is>
      </c>
      <c r="B1144" t="inlineStr">
        <is>
          <t>Русановская ул, 28</t>
        </is>
      </c>
      <c r="C1144" t="inlineStr">
        <is>
          <t>sale</t>
        </is>
      </c>
      <c r="D1144" t="inlineStr">
        <is>
          <t>Да</t>
        </is>
      </c>
      <c r="E1144" t="inlineStr"/>
      <c r="F1144" t="inlineStr"/>
      <c r="G1144" t="inlineStr">
        <is>
          <t>79.3</t>
        </is>
      </c>
      <c r="H1144" t="inlineStr"/>
      <c r="I1144" t="inlineStr"/>
      <c r="J1144" t="inlineStr">
        <is>
          <t>13 202 176</t>
        </is>
      </c>
      <c r="K1144" t="inlineStr"/>
      <c r="L1144" t="inlineStr"/>
      <c r="M1144" t="inlineStr">
        <is>
          <t>Нет у нас</t>
        </is>
      </c>
      <c r="N1144" t="inlineStr"/>
      <c r="O1144" t="inlineStr"/>
      <c r="P1144" t="inlineStr"/>
      <c r="Q1144">
        <f>HYPERLINK("https://knru.ru/catalog/ul-rusanovskaya-d-28-342672676/","ссылка")</f>
        <v/>
      </c>
      <c r="R1144" t="inlineStr"/>
      <c r="S1144" t="inlineStr"/>
    </row>
    <row r="1145">
      <c r="A1145" t="inlineStr">
        <is>
          <t>Невский</t>
        </is>
      </c>
      <c r="B1145" t="inlineStr">
        <is>
          <t>Русановская ул, 28</t>
        </is>
      </c>
      <c r="C1145" t="inlineStr">
        <is>
          <t>sale</t>
        </is>
      </c>
      <c r="D1145" t="inlineStr">
        <is>
          <t>Да</t>
        </is>
      </c>
      <c r="E1145" t="inlineStr"/>
      <c r="F1145" t="inlineStr"/>
      <c r="G1145" t="inlineStr">
        <is>
          <t>95.6</t>
        </is>
      </c>
      <c r="H1145" t="inlineStr"/>
      <c r="I1145" t="inlineStr"/>
      <c r="J1145" t="inlineStr">
        <is>
          <t>15 523 600</t>
        </is>
      </c>
      <c r="K1145" t="inlineStr"/>
      <c r="L1145" t="inlineStr"/>
      <c r="M1145" t="inlineStr">
        <is>
          <t>Нет у нас</t>
        </is>
      </c>
      <c r="N1145" t="inlineStr"/>
      <c r="O1145" t="inlineStr"/>
      <c r="P1145" t="inlineStr"/>
      <c r="Q1145">
        <f>HYPERLINK("https://knru.ru/catalog/ul-rusanovskaya-d-28/","ссылка")</f>
        <v/>
      </c>
      <c r="R1145" t="inlineStr"/>
      <c r="S1145" t="inlineStr"/>
    </row>
    <row r="1146">
      <c r="A1146" t="inlineStr">
        <is>
          <t>Невский</t>
        </is>
      </c>
      <c r="B1146" t="inlineStr">
        <is>
          <t>Товарищеский пр.</t>
        </is>
      </c>
      <c r="C1146" t="inlineStr">
        <is>
          <t>sale</t>
        </is>
      </c>
      <c r="D1146" t="inlineStr">
        <is>
          <t>Да</t>
        </is>
      </c>
      <c r="E1146" t="inlineStr"/>
      <c r="F1146" t="inlineStr"/>
      <c r="G1146" t="inlineStr">
        <is>
          <t>84.9</t>
        </is>
      </c>
      <c r="H1146" t="inlineStr"/>
      <c r="I1146" t="inlineStr"/>
      <c r="J1146" t="inlineStr">
        <is>
          <t>18 900 000</t>
        </is>
      </c>
      <c r="K1146" t="inlineStr"/>
      <c r="L1146" t="inlineStr"/>
      <c r="M1146" t="inlineStr">
        <is>
          <t>Нет у нас</t>
        </is>
      </c>
      <c r="N1146" t="inlineStr"/>
      <c r="O1146" t="inlineStr"/>
      <c r="P1146" t="inlineStr"/>
      <c r="Q1146">
        <f>HYPERLINK("https://knru.ru/catalog/tovarishcheskiy-pr/","ссылка")</f>
        <v/>
      </c>
      <c r="R1146" t="inlineStr"/>
      <c r="S1146" t="inlineStr"/>
    </row>
    <row r="1147">
      <c r="A1147" t="inlineStr">
        <is>
          <t>Невский</t>
        </is>
      </c>
      <c r="B1147" t="inlineStr">
        <is>
          <t>Усть-Славянка тер., Славянская ул, 8стр1</t>
        </is>
      </c>
      <c r="C1147" t="inlineStr">
        <is>
          <t>sale</t>
        </is>
      </c>
      <c r="D1147" t="inlineStr">
        <is>
          <t>Да</t>
        </is>
      </c>
      <c r="E1147" t="inlineStr"/>
      <c r="F1147" t="inlineStr"/>
      <c r="G1147" t="inlineStr">
        <is>
          <t>64</t>
        </is>
      </c>
      <c r="H1147" t="inlineStr"/>
      <c r="I1147" t="inlineStr"/>
      <c r="J1147" t="inlineStr">
        <is>
          <t>11 405 328</t>
        </is>
      </c>
      <c r="K1147" t="inlineStr"/>
      <c r="L1147" t="inlineStr"/>
      <c r="M1147" t="inlineStr">
        <is>
          <t>Нет у нас</t>
        </is>
      </c>
      <c r="N1147" t="inlineStr"/>
      <c r="O1147" t="inlineStr"/>
      <c r="P1147" t="inlineStr"/>
      <c r="Q1147">
        <f>HYPERLINK("https://knru.ru/catalog/ul-slavyanskaya-d-8/","ссылка")</f>
        <v/>
      </c>
      <c r="R1147" t="inlineStr"/>
      <c r="S1147" t="inlineStr"/>
    </row>
    <row r="1148">
      <c r="A1148" t="inlineStr">
        <is>
          <t>Невский</t>
        </is>
      </c>
      <c r="B1148" t="inlineStr">
        <is>
          <t>Херсонский проезд, 6</t>
        </is>
      </c>
      <c r="C1148" t="inlineStr">
        <is>
          <t>sale</t>
        </is>
      </c>
      <c r="D1148" t="inlineStr">
        <is>
          <t>Да</t>
        </is>
      </c>
      <c r="E1148" t="inlineStr"/>
      <c r="F1148" t="inlineStr"/>
      <c r="G1148" t="inlineStr">
        <is>
          <t>85.3</t>
        </is>
      </c>
      <c r="H1148" t="inlineStr"/>
      <c r="I1148" t="inlineStr"/>
      <c r="J1148" t="inlineStr">
        <is>
          <t>38 148 000</t>
        </is>
      </c>
      <c r="K1148" t="inlineStr"/>
      <c r="L1148" t="inlineStr"/>
      <c r="M1148" t="inlineStr">
        <is>
          <t>Нет у нас</t>
        </is>
      </c>
      <c r="N1148" t="inlineStr"/>
      <c r="O1148" t="inlineStr"/>
      <c r="P1148" t="inlineStr"/>
      <c r="Q1148">
        <f>HYPERLINK("https://knru.ru/catalog/khersonskiy-proezd-d-6-1993742046/","ссылка")</f>
        <v/>
      </c>
      <c r="R1148" t="inlineStr"/>
      <c r="S1148" t="inlineStr"/>
    </row>
    <row r="1149">
      <c r="A1149" t="inlineStr">
        <is>
          <t>Невский</t>
        </is>
      </c>
      <c r="B1149" t="inlineStr">
        <is>
          <t>Шелгунова ул, 12</t>
        </is>
      </c>
      <c r="C1149" t="inlineStr">
        <is>
          <t>sale</t>
        </is>
      </c>
      <c r="D1149" t="inlineStr">
        <is>
          <t>Да</t>
        </is>
      </c>
      <c r="E1149" t="inlineStr"/>
      <c r="F1149" t="inlineStr"/>
      <c r="G1149" t="inlineStr">
        <is>
          <t>172.2</t>
        </is>
      </c>
      <c r="H1149" t="inlineStr"/>
      <c r="I1149" t="inlineStr"/>
      <c r="J1149" t="inlineStr">
        <is>
          <t>33 600 000</t>
        </is>
      </c>
      <c r="K1149" t="inlineStr"/>
      <c r="L1149" t="inlineStr"/>
      <c r="M1149" t="inlineStr">
        <is>
          <t>Нет у нас</t>
        </is>
      </c>
      <c r="N1149" t="inlineStr"/>
      <c r="O1149" t="inlineStr"/>
      <c r="P1149" t="inlineStr"/>
      <c r="Q1149">
        <f>HYPERLINK("https://knru.ru/catalog/shelgunova-ul-12-1850514725/","ссылка")</f>
        <v/>
      </c>
      <c r="R1149" t="inlineStr"/>
      <c r="S1149" t="inlineStr"/>
    </row>
    <row r="1150">
      <c r="A1150" t="inlineStr">
        <is>
          <t>Новая Ижора</t>
        </is>
      </c>
      <c r="B1150" t="inlineStr">
        <is>
          <t>Новая, 301</t>
        </is>
      </c>
      <c r="C1150" t="inlineStr">
        <is>
          <t>sale</t>
        </is>
      </c>
      <c r="D1150" t="inlineStr"/>
      <c r="E1150" t="inlineStr">
        <is>
          <t>Да</t>
        </is>
      </c>
      <c r="F1150" t="inlineStr"/>
      <c r="G1150" t="inlineStr"/>
      <c r="H1150" t="inlineStr">
        <is>
          <t>1428</t>
        </is>
      </c>
      <c r="I1150" t="inlineStr"/>
      <c r="J1150" t="inlineStr"/>
      <c r="K1150" t="inlineStr">
        <is>
          <t>15 000 000</t>
        </is>
      </c>
      <c r="L1150" t="inlineStr"/>
      <c r="M1150" t="inlineStr"/>
      <c r="N1150" t="inlineStr">
        <is>
          <t>Нет у нас</t>
        </is>
      </c>
      <c r="O1150" t="inlineStr"/>
      <c r="P1150" t="inlineStr"/>
      <c r="Q1150" t="inlineStr"/>
      <c r="R1150">
        <f>HYPERLINK("https://nordwestinvest.ru/real-estates/prodaza-zemelnogo-ucastka-s-domom-1","ссылка")</f>
        <v/>
      </c>
      <c r="S1150" t="inlineStr"/>
    </row>
    <row r="1151">
      <c r="A1151" t="inlineStr">
        <is>
          <t>Новая Ижора</t>
        </is>
      </c>
      <c r="B1151" t="inlineStr">
        <is>
          <t>Новая, 301</t>
        </is>
      </c>
      <c r="C1151" t="inlineStr">
        <is>
          <t>sale</t>
        </is>
      </c>
      <c r="D1151" t="inlineStr"/>
      <c r="E1151" t="inlineStr">
        <is>
          <t>Да</t>
        </is>
      </c>
      <c r="F1151" t="inlineStr"/>
      <c r="G1151" t="inlineStr"/>
      <c r="H1151" t="inlineStr">
        <is>
          <t>1183</t>
        </is>
      </c>
      <c r="I1151" t="inlineStr"/>
      <c r="J1151" t="inlineStr"/>
      <c r="K1151" t="inlineStr">
        <is>
          <t>15 000 000</t>
        </is>
      </c>
      <c r="L1151" t="inlineStr"/>
      <c r="M1151" t="inlineStr"/>
      <c r="N1151" t="inlineStr">
        <is>
          <t>Нет у нас</t>
        </is>
      </c>
      <c r="O1151" t="inlineStr"/>
      <c r="P1151" t="inlineStr"/>
      <c r="Q1151" t="inlineStr"/>
      <c r="R1151">
        <f>HYPERLINK("https://nordwestinvest.ru/real-estates/prodaza-zemelnogo-ucastka-s-domom-2","ссылка")</f>
        <v/>
      </c>
      <c r="S1151" t="inlineStr"/>
    </row>
    <row r="1152">
      <c r="A1152" t="inlineStr">
        <is>
          <t>Новгородская область</t>
        </is>
      </c>
      <c r="B1152" t="inlineStr">
        <is>
          <t>Новгородская обл, автодорога Москва-Санкт-Петербург тер, 423-й км, -</t>
        </is>
      </c>
      <c r="C1152" t="inlineStr">
        <is>
          <t>sale</t>
        </is>
      </c>
      <c r="D1152" t="inlineStr"/>
      <c r="E1152" t="inlineStr">
        <is>
          <t>Да</t>
        </is>
      </c>
      <c r="F1152" t="inlineStr"/>
      <c r="G1152" t="inlineStr"/>
      <c r="H1152" t="inlineStr">
        <is>
          <t>1499</t>
        </is>
      </c>
      <c r="I1152" t="inlineStr"/>
      <c r="J1152" t="inlineStr"/>
      <c r="K1152" t="inlineStr">
        <is>
          <t>250 000 000</t>
        </is>
      </c>
      <c r="L1152" t="inlineStr"/>
      <c r="M1152" t="inlineStr"/>
      <c r="N1152" t="inlineStr">
        <is>
          <t>Нет у нас</t>
        </is>
      </c>
      <c r="O1152" t="inlineStr"/>
      <c r="P1152" t="inlineStr"/>
      <c r="Q1152" t="inlineStr"/>
      <c r="R1152">
        <f>HYPERLINK("https://nordwestinvest.ru/real-estates/prodaza-sto-na-ucastke-11-ga-i-5-ga-s-nds","ссылка")</f>
        <v/>
      </c>
      <c r="S1152" t="inlineStr"/>
    </row>
    <row r="1153">
      <c r="A1153" t="inlineStr">
        <is>
          <t>Новгородская область</t>
        </is>
      </c>
      <c r="B1153" t="inlineStr">
        <is>
          <t>Новгородская обл, Старая Русса г, Дзержинского ул, 6</t>
        </is>
      </c>
      <c r="C1153" t="inlineStr">
        <is>
          <t>sale</t>
        </is>
      </c>
      <c r="D1153" t="inlineStr"/>
      <c r="E1153" t="inlineStr">
        <is>
          <t>Да</t>
        </is>
      </c>
      <c r="F1153" t="inlineStr"/>
      <c r="G1153" t="inlineStr"/>
      <c r="H1153" t="inlineStr">
        <is>
          <t>104</t>
        </is>
      </c>
      <c r="I1153" t="inlineStr"/>
      <c r="J1153" t="inlineStr"/>
      <c r="K1153" t="inlineStr">
        <is>
          <t>5 990 000</t>
        </is>
      </c>
      <c r="L1153" t="inlineStr"/>
      <c r="M1153" t="inlineStr"/>
      <c r="N1153" t="inlineStr">
        <is>
          <t>Нет у нас</t>
        </is>
      </c>
      <c r="O1153" t="inlineStr"/>
      <c r="P1153" t="inlineStr"/>
      <c r="Q1153" t="inlineStr"/>
      <c r="R1153">
        <f>HYPERLINK("https://nordwestinvest.ru/real-estates/osz-gab-s-okupaemostiu-5-let","ссылка")</f>
        <v/>
      </c>
      <c r="S1153" t="inlineStr"/>
    </row>
    <row r="1154">
      <c r="A1154" t="inlineStr">
        <is>
          <t>Новгородская область</t>
        </is>
      </c>
      <c r="B1154" t="inlineStr">
        <is>
          <t>Новгородский пр-кт, 2к3стр1</t>
        </is>
      </c>
      <c r="C1154" t="inlineStr">
        <is>
          <t>sale</t>
        </is>
      </c>
      <c r="D1154" t="inlineStr">
        <is>
          <t>Да</t>
        </is>
      </c>
      <c r="E1154" t="inlineStr"/>
      <c r="F1154" t="inlineStr"/>
      <c r="G1154" t="inlineStr">
        <is>
          <t>77.1</t>
        </is>
      </c>
      <c r="H1154" t="inlineStr"/>
      <c r="I1154" t="inlineStr"/>
      <c r="J1154" t="inlineStr">
        <is>
          <t>17 171 700</t>
        </is>
      </c>
      <c r="K1154" t="inlineStr"/>
      <c r="L1154" t="inlineStr"/>
      <c r="M1154" t="inlineStr">
        <is>
          <t>По адресу есть, но площадь другая</t>
        </is>
      </c>
      <c r="N1154" t="inlineStr"/>
      <c r="O1154" t="inlineStr"/>
      <c r="P1154" t="inlineStr"/>
      <c r="Q1154">
        <f>HYPERLINK("https://knru.ru/catalog/p-shushary-novgorodskij-pr-d-2-k-3/","ссылка")</f>
        <v/>
      </c>
      <c r="R1154" t="inlineStr"/>
      <c r="S1154" t="inlineStr"/>
    </row>
    <row r="1155">
      <c r="A1155" t="inlineStr">
        <is>
          <t>Новосергиево</t>
        </is>
      </c>
      <c r="B1155" t="inlineStr">
        <is>
          <t>Павлинская ул, 12стр1</t>
        </is>
      </c>
      <c r="C1155" t="inlineStr">
        <is>
          <t>sale</t>
        </is>
      </c>
      <c r="D1155" t="inlineStr">
        <is>
          <t>Да</t>
        </is>
      </c>
      <c r="E1155" t="inlineStr"/>
      <c r="F1155" t="inlineStr"/>
      <c r="G1155" t="inlineStr">
        <is>
          <t>4800</t>
        </is>
      </c>
      <c r="H1155" t="inlineStr"/>
      <c r="I1155" t="inlineStr"/>
      <c r="J1155" t="inlineStr">
        <is>
          <t>765 000 000</t>
        </is>
      </c>
      <c r="K1155" t="inlineStr"/>
      <c r="L1155" t="inlineStr"/>
      <c r="M1155" t="inlineStr">
        <is>
          <t>Нет у нас</t>
        </is>
      </c>
      <c r="N1155" t="inlineStr"/>
      <c r="O1155" t="inlineStr"/>
      <c r="P1155" t="inlineStr"/>
      <c r="Q1155">
        <f>HYPERLINK("https://knru.ru/catalog/pavlinskaya-ul-12str1/","ссылка")</f>
        <v/>
      </c>
      <c r="R1155" t="inlineStr"/>
      <c r="S1155" t="inlineStr"/>
    </row>
    <row r="1156">
      <c r="A1156" t="inlineStr">
        <is>
          <t>Новый Оккервиль</t>
        </is>
      </c>
      <c r="B1156" t="inlineStr">
        <is>
          <t>Ленинградская обл, Сосново п, Ленинградская ул, 9</t>
        </is>
      </c>
      <c r="C1156" t="inlineStr">
        <is>
          <t>sale</t>
        </is>
      </c>
      <c r="D1156" t="inlineStr"/>
      <c r="E1156" t="inlineStr">
        <is>
          <t>Да</t>
        </is>
      </c>
      <c r="F1156" t="inlineStr"/>
      <c r="G1156" t="inlineStr"/>
      <c r="H1156" t="inlineStr">
        <is>
          <t>410</t>
        </is>
      </c>
      <c r="I1156" t="inlineStr"/>
      <c r="J1156" t="inlineStr"/>
      <c r="K1156" t="inlineStr">
        <is>
          <t>50 000 000</t>
        </is>
      </c>
      <c r="L1156" t="inlineStr"/>
      <c r="M1156" t="inlineStr"/>
      <c r="N1156" t="inlineStr">
        <is>
          <t>Нет у нас</t>
        </is>
      </c>
      <c r="O1156" t="inlineStr"/>
      <c r="P1156" t="inlineStr"/>
      <c r="Q1156" t="inlineStr"/>
      <c r="R1156">
        <f>HYPERLINK("https://nordwestinvest.ru/real-estates/prodaza-magnit","ссылка")</f>
        <v/>
      </c>
      <c r="S1156" t="inlineStr"/>
    </row>
    <row r="1157">
      <c r="A1157" t="inlineStr">
        <is>
          <t>Новый Оккервиль</t>
        </is>
      </c>
      <c r="B1157" t="inlineStr">
        <is>
          <t>Ленинградская ул, 9/8</t>
        </is>
      </c>
      <c r="C1157" t="inlineStr">
        <is>
          <t>sale</t>
        </is>
      </c>
      <c r="D1157" t="inlineStr">
        <is>
          <t>Да</t>
        </is>
      </c>
      <c r="E1157" t="inlineStr"/>
      <c r="F1157" t="inlineStr"/>
      <c r="G1157" t="inlineStr">
        <is>
          <t>263</t>
        </is>
      </c>
      <c r="H1157" t="inlineStr"/>
      <c r="I1157" t="inlineStr"/>
      <c r="J1157" t="inlineStr">
        <is>
          <t>150 000 000</t>
        </is>
      </c>
      <c r="K1157" t="inlineStr"/>
      <c r="L1157" t="inlineStr"/>
      <c r="M1157" t="inlineStr">
        <is>
          <t>Нет у нас</t>
        </is>
      </c>
      <c r="N1157" t="inlineStr"/>
      <c r="O1157" t="inlineStr"/>
      <c r="P1157" t="inlineStr"/>
      <c r="Q1157">
        <f>HYPERLINK("https://knru.ru/catalog/leningradskaya-ul-9-8/","ссылка")</f>
        <v/>
      </c>
      <c r="R1157" t="inlineStr"/>
      <c r="S1157" t="inlineStr"/>
    </row>
    <row r="1158">
      <c r="A1158" t="inlineStr">
        <is>
          <t>округ № 65</t>
        </is>
      </c>
      <c r="B1158" t="inlineStr">
        <is>
          <t>Оптиков ул, 37стр1</t>
        </is>
      </c>
      <c r="C1158" t="inlineStr">
        <is>
          <t>sale</t>
        </is>
      </c>
      <c r="D1158" t="inlineStr"/>
      <c r="E1158" t="inlineStr">
        <is>
          <t>Да</t>
        </is>
      </c>
      <c r="F1158" t="inlineStr"/>
      <c r="G1158" t="inlineStr"/>
      <c r="H1158" t="inlineStr">
        <is>
          <t>391</t>
        </is>
      </c>
      <c r="I1158" t="inlineStr"/>
      <c r="J1158" t="inlineStr"/>
      <c r="K1158" t="inlineStr">
        <is>
          <t>50 000 000</t>
        </is>
      </c>
      <c r="L1158" t="inlineStr"/>
      <c r="M1158" t="inlineStr"/>
      <c r="N1158" t="inlineStr">
        <is>
          <t>Нет у нас</t>
        </is>
      </c>
      <c r="O1158" t="inlineStr"/>
      <c r="P1158" t="inlineStr"/>
      <c r="Q1158" t="inlineStr"/>
      <c r="R1158">
        <f>HYPERLINK("https://nordwestinvest.ru/real-estates/prodaza-gab-samokat-5","ссылка")</f>
        <v/>
      </c>
      <c r="S1158" t="inlineStr"/>
    </row>
    <row r="1159">
      <c r="A1159" t="inlineStr">
        <is>
          <t>округ № 65</t>
        </is>
      </c>
      <c r="B1159" t="inlineStr">
        <is>
          <t>Савушкина ул, 127</t>
        </is>
      </c>
      <c r="C1159" t="inlineStr">
        <is>
          <t>sale</t>
        </is>
      </c>
      <c r="D1159" t="inlineStr">
        <is>
          <t>Да</t>
        </is>
      </c>
      <c r="E1159" t="inlineStr"/>
      <c r="F1159" t="inlineStr"/>
      <c r="G1159" t="inlineStr">
        <is>
          <t>52</t>
        </is>
      </c>
      <c r="H1159" t="inlineStr"/>
      <c r="I1159" t="inlineStr"/>
      <c r="J1159" t="inlineStr">
        <is>
          <t>15 910 000</t>
        </is>
      </c>
      <c r="K1159" t="inlineStr"/>
      <c r="L1159" t="inlineStr"/>
      <c r="M1159" t="inlineStr">
        <is>
          <t>По адресу есть, но площадь другая</t>
        </is>
      </c>
      <c r="N1159" t="inlineStr"/>
      <c r="O1159" t="inlineStr"/>
      <c r="P1159" t="inlineStr"/>
      <c r="Q1159">
        <f>HYPERLINK("https://knru.ru/catalog/ul-savushkina-d-127/","ссылка")</f>
        <v/>
      </c>
      <c r="R1159" t="inlineStr"/>
      <c r="S1159" t="inlineStr"/>
    </row>
    <row r="1160">
      <c r="A1160" t="inlineStr">
        <is>
          <t>округ № 72</t>
        </is>
      </c>
      <c r="B1160" t="inlineStr">
        <is>
          <t>Южное ш</t>
        </is>
      </c>
      <c r="C1160" t="inlineStr">
        <is>
          <t>sale</t>
        </is>
      </c>
      <c r="D1160" t="inlineStr">
        <is>
          <t>Да</t>
        </is>
      </c>
      <c r="E1160" t="inlineStr"/>
      <c r="F1160" t="inlineStr"/>
      <c r="G1160" t="inlineStr">
        <is>
          <t>2318</t>
        </is>
      </c>
      <c r="H1160" t="inlineStr"/>
      <c r="I1160" t="inlineStr"/>
      <c r="J1160" t="inlineStr">
        <is>
          <t>127 512 000</t>
        </is>
      </c>
      <c r="K1160" t="inlineStr"/>
      <c r="L1160" t="inlineStr"/>
      <c r="M1160" t="inlineStr">
        <is>
          <t>Нет у нас</t>
        </is>
      </c>
      <c r="N1160" t="inlineStr"/>
      <c r="O1160" t="inlineStr"/>
      <c r="P1160" t="inlineStr"/>
      <c r="Q1160">
        <f>HYPERLINK("https://knru.ru/catalog/yuzhnoe-sh/","ссылка")</f>
        <v/>
      </c>
      <c r="R1160" t="inlineStr"/>
      <c r="S1160" t="inlineStr"/>
    </row>
    <row r="1161">
      <c r="A1161" t="inlineStr">
        <is>
          <t>округ № 78</t>
        </is>
      </c>
      <c r="B1161" t="inlineStr">
        <is>
          <t>Казанская пл, 17-19</t>
        </is>
      </c>
      <c r="C1161" t="inlineStr">
        <is>
          <t>sale</t>
        </is>
      </c>
      <c r="D1161" t="inlineStr">
        <is>
          <t>Да</t>
        </is>
      </c>
      <c r="E1161" t="inlineStr"/>
      <c r="F1161" t="inlineStr"/>
      <c r="G1161" t="inlineStr">
        <is>
          <t>352</t>
        </is>
      </c>
      <c r="H1161" t="inlineStr"/>
      <c r="I1161" t="inlineStr"/>
      <c r="J1161" t="inlineStr">
        <is>
          <t>85 000 000</t>
        </is>
      </c>
      <c r="K1161" t="inlineStr"/>
      <c r="L1161" t="inlineStr"/>
      <c r="M1161" t="inlineStr">
        <is>
          <t>Нет у нас</t>
        </is>
      </c>
      <c r="N1161" t="inlineStr"/>
      <c r="O1161" t="inlineStr"/>
      <c r="P1161" t="inlineStr"/>
      <c r="Q1161">
        <f>HYPERLINK("https://knru.ru/catalog/kazanskaya-pl-17-19/","ссылка")</f>
        <v/>
      </c>
      <c r="R1161" t="inlineStr"/>
      <c r="S1161" t="inlineStr"/>
    </row>
    <row r="1162">
      <c r="A1162" t="inlineStr">
        <is>
          <t>округ Автово</t>
        </is>
      </c>
      <c r="B1162" t="inlineStr">
        <is>
          <t>Ивана Зубкова ул, 12стр1</t>
        </is>
      </c>
      <c r="C1162" t="inlineStr">
        <is>
          <t>sale</t>
        </is>
      </c>
      <c r="D1162" t="inlineStr"/>
      <c r="E1162" t="inlineStr">
        <is>
          <t>Да</t>
        </is>
      </c>
      <c r="F1162" t="inlineStr"/>
      <c r="G1162" t="inlineStr"/>
      <c r="H1162" t="inlineStr">
        <is>
          <t>2720</t>
        </is>
      </c>
      <c r="I1162" t="inlineStr"/>
      <c r="J1162" t="inlineStr"/>
      <c r="K1162" t="inlineStr">
        <is>
          <t>290 000 000</t>
        </is>
      </c>
      <c r="L1162" t="inlineStr"/>
      <c r="M1162" t="inlineStr"/>
      <c r="N1162" t="inlineStr">
        <is>
          <t>Нет у нас</t>
        </is>
      </c>
      <c r="O1162" t="inlineStr"/>
      <c r="P1162" t="inlineStr"/>
      <c r="Q1162" t="inlineStr"/>
      <c r="R1162">
        <f>HYPERLINK("https://nordwestinvest.ru/real-estates/prodaza-osz-u-metro-2720m2","ссылка")</f>
        <v/>
      </c>
      <c r="S1162" t="inlineStr"/>
    </row>
    <row r="1163">
      <c r="A1163" t="inlineStr">
        <is>
          <t>округ Волковское</t>
        </is>
      </c>
      <c r="B1163" t="inlineStr">
        <is>
          <t>Воронежская ул, 108 А</t>
        </is>
      </c>
      <c r="C1163" t="inlineStr">
        <is>
          <t>sale</t>
        </is>
      </c>
      <c r="D1163" t="inlineStr">
        <is>
          <t>Да</t>
        </is>
      </c>
      <c r="E1163" t="inlineStr"/>
      <c r="F1163" t="inlineStr"/>
      <c r="G1163" t="inlineStr">
        <is>
          <t>1200</t>
        </is>
      </c>
      <c r="H1163" t="inlineStr"/>
      <c r="I1163" t="inlineStr"/>
      <c r="J1163" t="inlineStr">
        <is>
          <t>69 000 000</t>
        </is>
      </c>
      <c r="K1163" t="inlineStr"/>
      <c r="L1163" t="inlineStr"/>
      <c r="M1163" t="inlineStr">
        <is>
          <t>Нет у нас</t>
        </is>
      </c>
      <c r="N1163" t="inlineStr"/>
      <c r="O1163" t="inlineStr"/>
      <c r="P1163" t="inlineStr"/>
      <c r="Q1163">
        <f>HYPERLINK("https://knru.ru/catalog/voronezhskaya-ul-108-a/","ссылка")</f>
        <v/>
      </c>
      <c r="R1163" t="inlineStr"/>
      <c r="S1163" t="inlineStr"/>
    </row>
    <row r="1164">
      <c r="A1164" t="inlineStr">
        <is>
          <t>округ Волковское</t>
        </is>
      </c>
      <c r="B1164" t="inlineStr">
        <is>
          <t>Прилукская ул, 35</t>
        </is>
      </c>
      <c r="C1164" t="inlineStr">
        <is>
          <t>sale</t>
        </is>
      </c>
      <c r="D1164" t="inlineStr"/>
      <c r="E1164" t="inlineStr">
        <is>
          <t>Да</t>
        </is>
      </c>
      <c r="F1164" t="inlineStr"/>
      <c r="G1164" t="inlineStr"/>
      <c r="H1164" t="inlineStr">
        <is>
          <t>300</t>
        </is>
      </c>
      <c r="I1164" t="inlineStr"/>
      <c r="J1164" t="inlineStr"/>
      <c r="K1164" t="inlineStr">
        <is>
          <t>50 000 000</t>
        </is>
      </c>
      <c r="L1164" t="inlineStr"/>
      <c r="M1164" t="inlineStr"/>
      <c r="N1164" t="inlineStr">
        <is>
          <t>Нет у нас</t>
        </is>
      </c>
      <c r="O1164" t="inlineStr"/>
      <c r="P1164" t="inlineStr"/>
      <c r="Q1164" t="inlineStr"/>
      <c r="R1164">
        <f>HYPERLINK("https://nordwestinvest.ru/real-estates/prodaza-s-arendatorom-iandekslavka-v-wow-apart","ссылка")</f>
        <v/>
      </c>
      <c r="S1164" t="inlineStr"/>
    </row>
    <row r="1165">
      <c r="A1165" t="inlineStr">
        <is>
          <t>округ Волковское</t>
        </is>
      </c>
      <c r="B1165" t="inlineStr">
        <is>
          <t>Прилукская ул, 35 А</t>
        </is>
      </c>
      <c r="C1165" t="inlineStr">
        <is>
          <t>sale</t>
        </is>
      </c>
      <c r="D1165" t="inlineStr"/>
      <c r="E1165" t="inlineStr">
        <is>
          <t>Да</t>
        </is>
      </c>
      <c r="F1165" t="inlineStr"/>
      <c r="G1165" t="inlineStr"/>
      <c r="H1165" t="inlineStr">
        <is>
          <t>97.9</t>
        </is>
      </c>
      <c r="I1165" t="inlineStr"/>
      <c r="J1165" t="inlineStr"/>
      <c r="K1165" t="inlineStr">
        <is>
          <t>16 000 000</t>
        </is>
      </c>
      <c r="L1165" t="inlineStr"/>
      <c r="M1165" t="inlineStr"/>
      <c r="N1165" t="inlineStr">
        <is>
          <t>Нет у нас</t>
        </is>
      </c>
      <c r="O1165" t="inlineStr"/>
      <c r="P1165" t="inlineStr"/>
      <c r="Q1165" t="inlineStr"/>
      <c r="R1165">
        <f>HYPERLINK("https://nordwestinvest.ru/real-estates/prodaza-gab-wildberries-srocnaia-prodaza-979m2","ссылка")</f>
        <v/>
      </c>
      <c r="S1165" t="inlineStr"/>
    </row>
    <row r="1166">
      <c r="A1166" t="inlineStr">
        <is>
          <t>округ Волковское</t>
        </is>
      </c>
      <c r="B1166" t="inlineStr">
        <is>
          <t>Прилукская ул, 35 А</t>
        </is>
      </c>
      <c r="C1166" t="inlineStr">
        <is>
          <t>sale</t>
        </is>
      </c>
      <c r="D1166" t="inlineStr"/>
      <c r="E1166" t="inlineStr">
        <is>
          <t>Да</t>
        </is>
      </c>
      <c r="F1166" t="inlineStr"/>
      <c r="G1166" t="inlineStr"/>
      <c r="H1166" t="inlineStr">
        <is>
          <t>111</t>
        </is>
      </c>
      <c r="I1166" t="inlineStr"/>
      <c r="J1166" t="inlineStr"/>
      <c r="K1166" t="inlineStr">
        <is>
          <t>17 500 000</t>
        </is>
      </c>
      <c r="L1166" t="inlineStr"/>
      <c r="M1166" t="inlineStr"/>
      <c r="N1166" t="inlineStr">
        <is>
          <t>Нет у нас</t>
        </is>
      </c>
      <c r="O1166" t="inlineStr"/>
      <c r="P1166" t="inlineStr"/>
      <c r="Q1166" t="inlineStr"/>
      <c r="R1166">
        <f>HYPERLINK("https://nordwestinvest.ru/real-estates/prodaza-s-arendatorom-krasnoe-i-beloe-111-m2","ссылка")</f>
        <v/>
      </c>
      <c r="S1166" t="inlineStr"/>
    </row>
    <row r="1167">
      <c r="A1167" t="inlineStr">
        <is>
          <t>округ Волковское</t>
        </is>
      </c>
      <c r="B1167" t="inlineStr">
        <is>
          <t>Реки Волковки наб</t>
        </is>
      </c>
      <c r="C1167" t="inlineStr">
        <is>
          <t>sale</t>
        </is>
      </c>
      <c r="D1167" t="inlineStr">
        <is>
          <t>Да</t>
        </is>
      </c>
      <c r="E1167" t="inlineStr"/>
      <c r="F1167" t="inlineStr"/>
      <c r="G1167" t="inlineStr">
        <is>
          <t>10000</t>
        </is>
      </c>
      <c r="H1167" t="inlineStr"/>
      <c r="I1167" t="inlineStr"/>
      <c r="J1167" t="inlineStr">
        <is>
          <t>1 200 000 000</t>
        </is>
      </c>
      <c r="K1167" t="inlineStr"/>
      <c r="L1167" t="inlineStr"/>
      <c r="M1167" t="inlineStr">
        <is>
          <t>Нет у нас</t>
        </is>
      </c>
      <c r="N1167" t="inlineStr"/>
      <c r="O1167" t="inlineStr"/>
      <c r="P1167" t="inlineStr"/>
      <c r="Q1167">
        <f>HYPERLINK("https://knru.ru/catalog/reki-volkovki-nab-555582/","ссылка")</f>
        <v/>
      </c>
      <c r="R1167" t="inlineStr"/>
      <c r="S1167" t="inlineStr"/>
    </row>
    <row r="1168">
      <c r="A1168" t="inlineStr">
        <is>
          <t>округ Волковское</t>
        </is>
      </c>
      <c r="B1168" t="inlineStr">
        <is>
          <t>Реки Волковки наб</t>
        </is>
      </c>
      <c r="C1168" t="inlineStr">
        <is>
          <t>sale</t>
        </is>
      </c>
      <c r="D1168" t="inlineStr">
        <is>
          <t>Да</t>
        </is>
      </c>
      <c r="E1168" t="inlineStr"/>
      <c r="F1168" t="inlineStr"/>
      <c r="G1168" t="inlineStr">
        <is>
          <t>1000</t>
        </is>
      </c>
      <c r="H1168" t="inlineStr"/>
      <c r="I1168" t="inlineStr"/>
      <c r="J1168" t="inlineStr">
        <is>
          <t>270 000 000</t>
        </is>
      </c>
      <c r="K1168" t="inlineStr"/>
      <c r="L1168" t="inlineStr"/>
      <c r="M1168" t="inlineStr">
        <is>
          <t>Нет у нас</t>
        </is>
      </c>
      <c r="N1168" t="inlineStr"/>
      <c r="O1168" t="inlineStr"/>
      <c r="P1168" t="inlineStr"/>
      <c r="Q1168">
        <f>HYPERLINK("https://knru.ru/catalog/reki-volkovki-nab-555406/","ссылка")</f>
        <v/>
      </c>
      <c r="R1168" t="inlineStr"/>
      <c r="S1168" t="inlineStr"/>
    </row>
    <row r="1169">
      <c r="A1169" t="inlineStr">
        <is>
          <t>округ Гавань</t>
        </is>
      </c>
      <c r="B1169" t="inlineStr">
        <is>
          <t>Косая линия, 24/25</t>
        </is>
      </c>
      <c r="C1169" t="inlineStr">
        <is>
          <t>sale</t>
        </is>
      </c>
      <c r="D1169" t="inlineStr"/>
      <c r="E1169" t="inlineStr">
        <is>
          <t>Да</t>
        </is>
      </c>
      <c r="F1169" t="inlineStr"/>
      <c r="G1169" t="inlineStr"/>
      <c r="H1169" t="inlineStr">
        <is>
          <t>81.2</t>
        </is>
      </c>
      <c r="I1169" t="inlineStr"/>
      <c r="J1169" t="inlineStr"/>
      <c r="K1169" t="inlineStr">
        <is>
          <t>15 300 000</t>
        </is>
      </c>
      <c r="L1169" t="inlineStr"/>
      <c r="M1169" t="inlineStr"/>
      <c r="N1169" t="inlineStr">
        <is>
          <t>Совпало</t>
        </is>
      </c>
      <c r="O1169" t="inlineStr"/>
      <c r="P1169" t="inlineStr"/>
      <c r="Q1169" t="inlineStr"/>
      <c r="R1169">
        <f>HYPERLINK("https://nordwestinvest.ru/real-estates/prodaza-pomeshheniia-ploshhadiu-82-m2-s-arendatorom","ссылка")</f>
        <v/>
      </c>
      <c r="S1169" t="inlineStr"/>
    </row>
    <row r="1170">
      <c r="A1170" t="inlineStr">
        <is>
          <t>округ Гавань</t>
        </is>
      </c>
      <c r="B1170" t="inlineStr">
        <is>
          <t>Опочинина ул, 2</t>
        </is>
      </c>
      <c r="C1170" t="inlineStr">
        <is>
          <t>sale</t>
        </is>
      </c>
      <c r="D1170" t="inlineStr"/>
      <c r="E1170" t="inlineStr">
        <is>
          <t>Да</t>
        </is>
      </c>
      <c r="F1170" t="inlineStr"/>
      <c r="G1170" t="inlineStr"/>
      <c r="H1170" t="inlineStr">
        <is>
          <t>327.2</t>
        </is>
      </c>
      <c r="I1170" t="inlineStr"/>
      <c r="J1170" t="inlineStr"/>
      <c r="K1170" t="inlineStr">
        <is>
          <t>99 000 000</t>
        </is>
      </c>
      <c r="L1170" t="inlineStr"/>
      <c r="M1170" t="inlineStr"/>
      <c r="N1170" t="inlineStr">
        <is>
          <t>Нет у нас</t>
        </is>
      </c>
      <c r="O1170" t="inlineStr"/>
      <c r="P1170" t="inlineStr"/>
      <c r="Q1170" t="inlineStr"/>
      <c r="R1170">
        <f>HYPERLINK("https://nordwestinvest.ru/real-estates/pomeshhenie-pod-restoran-v-novom-otele-1","ссылка")</f>
        <v/>
      </c>
      <c r="S1170" t="inlineStr"/>
    </row>
    <row r="1171">
      <c r="A1171" t="inlineStr">
        <is>
          <t>округ Звёздное</t>
        </is>
      </c>
      <c r="B1171" t="inlineStr">
        <is>
          <t>Пулковская ул, 14</t>
        </is>
      </c>
      <c r="C1171" t="inlineStr">
        <is>
          <t>sale</t>
        </is>
      </c>
      <c r="D1171" t="inlineStr"/>
      <c r="E1171" t="inlineStr">
        <is>
          <t>Да</t>
        </is>
      </c>
      <c r="F1171" t="inlineStr"/>
      <c r="G1171" t="inlineStr"/>
      <c r="H1171" t="inlineStr">
        <is>
          <t>1658</t>
        </is>
      </c>
      <c r="I1171" t="inlineStr"/>
      <c r="J1171" t="inlineStr"/>
      <c r="K1171" t="inlineStr">
        <is>
          <t>446 000 000</t>
        </is>
      </c>
      <c r="L1171" t="inlineStr"/>
      <c r="M1171" t="inlineStr"/>
      <c r="N1171" t="inlineStr">
        <is>
          <t>По адресу есть, но площадь другая</t>
        </is>
      </c>
      <c r="O1171" t="inlineStr"/>
      <c r="P1171" t="inlineStr"/>
      <c r="Q1171" t="inlineStr"/>
      <c r="R1171">
        <f>HYPERLINK("https://nordwestinvest.ru/real-estates/prodaza-s-arendatorami-magnit-i-magnit-kosmetik","ссылка")</f>
        <v/>
      </c>
      <c r="S1171" t="inlineStr"/>
    </row>
    <row r="1172">
      <c r="A1172" t="inlineStr">
        <is>
          <t>округ Звёздное</t>
        </is>
      </c>
      <c r="B1172" t="inlineStr">
        <is>
          <t>Среднерогатская ул, 13к1стр1</t>
        </is>
      </c>
      <c r="C1172" t="inlineStr">
        <is>
          <t>sale</t>
        </is>
      </c>
      <c r="D1172" t="inlineStr"/>
      <c r="E1172" t="inlineStr">
        <is>
          <t>Да</t>
        </is>
      </c>
      <c r="F1172" t="inlineStr"/>
      <c r="G1172" t="inlineStr"/>
      <c r="H1172" t="inlineStr">
        <is>
          <t>137.3</t>
        </is>
      </c>
      <c r="I1172" t="inlineStr"/>
      <c r="J1172" t="inlineStr"/>
      <c r="K1172" t="inlineStr">
        <is>
          <t>38 444 000</t>
        </is>
      </c>
      <c r="L1172" t="inlineStr"/>
      <c r="M1172" t="inlineStr"/>
      <c r="N1172" t="inlineStr">
        <is>
          <t>Нет у нас</t>
        </is>
      </c>
      <c r="O1172" t="inlineStr"/>
      <c r="P1172" t="inlineStr"/>
      <c r="Q1172" t="inlineStr"/>
      <c r="R1172">
        <f>HYPERLINK("https://nordwestinvest.ru/real-estates/prodaza-pomeshheniia-v-zk-triumf-park","ссылка")</f>
        <v/>
      </c>
      <c r="S1172" t="inlineStr"/>
    </row>
    <row r="1173">
      <c r="A1173" t="inlineStr">
        <is>
          <t>округ Звёздное</t>
        </is>
      </c>
      <c r="B1173" t="inlineStr">
        <is>
          <t>Типанова ул, 19</t>
        </is>
      </c>
      <c r="C1173" t="inlineStr">
        <is>
          <t>sale</t>
        </is>
      </c>
      <c r="D1173" t="inlineStr"/>
      <c r="E1173" t="inlineStr">
        <is>
          <t>Да</t>
        </is>
      </c>
      <c r="F1173" t="inlineStr"/>
      <c r="G1173" t="inlineStr"/>
      <c r="H1173" t="inlineStr">
        <is>
          <t>53.6</t>
        </is>
      </c>
      <c r="I1173" t="inlineStr"/>
      <c r="J1173" t="inlineStr"/>
      <c r="K1173" t="inlineStr">
        <is>
          <t>19 000 000</t>
        </is>
      </c>
      <c r="L1173" t="inlineStr"/>
      <c r="M1173" t="inlineStr"/>
      <c r="N1173" t="inlineStr">
        <is>
          <t>По адресу есть, но площадь другая</t>
        </is>
      </c>
      <c r="O1173" t="inlineStr"/>
      <c r="P1173" t="inlineStr"/>
      <c r="Q1173" t="inlineStr"/>
      <c r="R1173">
        <f>HYPERLINK("https://nordwestinvest.ru/real-estates/prodaza-pomeshheniia-s-apteka-aprel-1","ссылка")</f>
        <v/>
      </c>
      <c r="S1173" t="inlineStr"/>
    </row>
    <row r="1174">
      <c r="A1174" t="inlineStr">
        <is>
          <t>округ Коломяги</t>
        </is>
      </c>
      <c r="B1174" t="inlineStr">
        <is>
          <t>Парашютная ул, 63</t>
        </is>
      </c>
      <c r="C1174" t="inlineStr">
        <is>
          <t>sale</t>
        </is>
      </c>
      <c r="D1174" t="inlineStr"/>
      <c r="E1174" t="inlineStr">
        <is>
          <t>Да</t>
        </is>
      </c>
      <c r="F1174" t="inlineStr"/>
      <c r="G1174" t="inlineStr"/>
      <c r="H1174" t="inlineStr">
        <is>
          <t>710</t>
        </is>
      </c>
      <c r="I1174" t="inlineStr"/>
      <c r="J1174" t="inlineStr"/>
      <c r="K1174" t="inlineStr">
        <is>
          <t>81 000 002</t>
        </is>
      </c>
      <c r="L1174" t="inlineStr"/>
      <c r="M1174" t="inlineStr"/>
      <c r="N1174" t="inlineStr">
        <is>
          <t>Нет у нас</t>
        </is>
      </c>
      <c r="O1174" t="inlineStr"/>
      <c r="P1174" t="inlineStr"/>
      <c r="Q1174" t="inlineStr"/>
      <c r="R1174">
        <f>HYPERLINK("https://nordwestinvest.ru/real-estates/prodaza-pomeshheniia-pod-sobstvennyi-biznes-1","ссылка")</f>
        <v/>
      </c>
      <c r="S1174" t="inlineStr"/>
    </row>
    <row r="1175">
      <c r="A1175" t="inlineStr">
        <is>
          <t>округ Красненькая речка</t>
        </is>
      </c>
      <c r="B1175" t="inlineStr">
        <is>
          <t>Морской Пехоты ул, 26к2</t>
        </is>
      </c>
      <c r="C1175" t="inlineStr">
        <is>
          <t>sale</t>
        </is>
      </c>
      <c r="D1175" t="inlineStr"/>
      <c r="E1175" t="inlineStr">
        <is>
          <t>Да</t>
        </is>
      </c>
      <c r="F1175" t="inlineStr"/>
      <c r="G1175" t="inlineStr"/>
      <c r="H1175" t="inlineStr">
        <is>
          <t>72.5</t>
        </is>
      </c>
      <c r="I1175" t="inlineStr"/>
      <c r="J1175" t="inlineStr"/>
      <c r="K1175" t="inlineStr">
        <is>
          <t>36 500 000</t>
        </is>
      </c>
      <c r="L1175" t="inlineStr"/>
      <c r="M1175" t="inlineStr"/>
      <c r="N1175" t="inlineStr">
        <is>
          <t>Нет у нас</t>
        </is>
      </c>
      <c r="O1175" t="inlineStr"/>
      <c r="P1175" t="inlineStr"/>
      <c r="Q1175" t="inlineStr"/>
      <c r="R1175">
        <f>HYPERLINK("https://nordwestinvest.ru/real-estates/prodaza-pomeshheniia-c-setevoi-pekarnei-s-nds","ссылка")</f>
        <v/>
      </c>
      <c r="S1175" t="inlineStr"/>
    </row>
    <row r="1176">
      <c r="A1176" t="inlineStr">
        <is>
          <t>округ Кронверкское</t>
        </is>
      </c>
      <c r="B1176" t="inlineStr">
        <is>
          <t>Кронверкская ул, 8</t>
        </is>
      </c>
      <c r="C1176" t="inlineStr">
        <is>
          <t>sale</t>
        </is>
      </c>
      <c r="D1176" t="inlineStr"/>
      <c r="E1176" t="inlineStr">
        <is>
          <t>Да</t>
        </is>
      </c>
      <c r="F1176" t="inlineStr"/>
      <c r="G1176" t="inlineStr"/>
      <c r="H1176" t="inlineStr">
        <is>
          <t>210</t>
        </is>
      </c>
      <c r="I1176" t="inlineStr"/>
      <c r="J1176" t="inlineStr"/>
      <c r="K1176" t="inlineStr">
        <is>
          <t>26 000 000</t>
        </is>
      </c>
      <c r="L1176" t="inlineStr"/>
      <c r="M1176" t="inlineStr"/>
      <c r="N1176" t="inlineStr">
        <is>
          <t>Совпало</t>
        </is>
      </c>
      <c r="O1176" t="inlineStr"/>
      <c r="P1176" t="inlineStr"/>
      <c r="Q1176" t="inlineStr"/>
      <c r="R1176">
        <f>HYPERLINK("https://nordwestinvest.ru/real-estates/okupaemost-98-let-fasad-proxodka","ссылка")</f>
        <v/>
      </c>
      <c r="S1176" t="inlineStr"/>
    </row>
    <row r="1177">
      <c r="A1177" t="inlineStr">
        <is>
          <t>округ Ланское</t>
        </is>
      </c>
      <c r="B1177" t="inlineStr">
        <is>
          <t>Школьная ул, 68 А</t>
        </is>
      </c>
      <c r="C1177" t="inlineStr">
        <is>
          <t>sale</t>
        </is>
      </c>
      <c r="D1177" t="inlineStr"/>
      <c r="E1177" t="inlineStr">
        <is>
          <t>Да</t>
        </is>
      </c>
      <c r="F1177" t="inlineStr"/>
      <c r="G1177" t="inlineStr"/>
      <c r="H1177" t="inlineStr">
        <is>
          <t>200</t>
        </is>
      </c>
      <c r="I1177" t="inlineStr"/>
      <c r="J1177" t="inlineStr"/>
      <c r="K1177" t="inlineStr">
        <is>
          <t>47 900 000</t>
        </is>
      </c>
      <c r="L1177" t="inlineStr"/>
      <c r="M1177" t="inlineStr"/>
      <c r="N1177" t="inlineStr">
        <is>
          <t>Нет у нас</t>
        </is>
      </c>
      <c r="O1177" t="inlineStr"/>
      <c r="P1177" t="inlineStr"/>
      <c r="Q1177" t="inlineStr"/>
      <c r="R1177">
        <f>HYPERLINK("https://nordwestinvest.ru/real-estates/prodaza-pomeshheniia-s-arendatorami-200-m2","ссылка")</f>
        <v/>
      </c>
      <c r="S1177" t="inlineStr"/>
    </row>
    <row r="1178">
      <c r="A1178" t="inlineStr">
        <is>
          <t>округ Лахта-Ольгино</t>
        </is>
      </c>
      <c r="B1178" t="inlineStr">
        <is>
          <t>Новая ул</t>
        </is>
      </c>
      <c r="C1178" t="inlineStr">
        <is>
          <t>sale</t>
        </is>
      </c>
      <c r="D1178" t="inlineStr">
        <is>
          <t>Да</t>
        </is>
      </c>
      <c r="E1178" t="inlineStr"/>
      <c r="F1178" t="inlineStr"/>
      <c r="G1178" t="inlineStr">
        <is>
          <t>1200</t>
        </is>
      </c>
      <c r="H1178" t="inlineStr"/>
      <c r="I1178" t="inlineStr"/>
      <c r="J1178" t="inlineStr">
        <is>
          <t>120 000 000</t>
        </is>
      </c>
      <c r="K1178" t="inlineStr"/>
      <c r="L1178" t="inlineStr"/>
      <c r="M1178" t="inlineStr">
        <is>
          <t>Нет у нас</t>
        </is>
      </c>
      <c r="N1178" t="inlineStr"/>
      <c r="O1178" t="inlineStr"/>
      <c r="P1178" t="inlineStr"/>
      <c r="Q1178">
        <f>HYPERLINK("https://knru.ru/catalog/novaya-ul/","ссылка")</f>
        <v/>
      </c>
      <c r="R1178" t="inlineStr"/>
      <c r="S1178" t="inlineStr"/>
    </row>
    <row r="1179">
      <c r="A1179" t="inlineStr">
        <is>
          <t>округ Лахта-Ольгино</t>
        </is>
      </c>
      <c r="B1179" t="inlineStr">
        <is>
          <t>Полевая ул, 53</t>
        </is>
      </c>
      <c r="C1179" t="inlineStr">
        <is>
          <t>sale</t>
        </is>
      </c>
      <c r="D1179" t="inlineStr">
        <is>
          <t>Да</t>
        </is>
      </c>
      <c r="E1179" t="inlineStr"/>
      <c r="F1179" t="inlineStr"/>
      <c r="G1179" t="inlineStr">
        <is>
          <t>2500</t>
        </is>
      </c>
      <c r="H1179" t="inlineStr"/>
      <c r="I1179" t="inlineStr"/>
      <c r="J1179" t="inlineStr">
        <is>
          <t>12 500 000</t>
        </is>
      </c>
      <c r="K1179" t="inlineStr"/>
      <c r="L1179" t="inlineStr"/>
      <c r="M1179" t="inlineStr">
        <is>
          <t>Нет у нас</t>
        </is>
      </c>
      <c r="N1179" t="inlineStr"/>
      <c r="O1179" t="inlineStr"/>
      <c r="P1179" t="inlineStr"/>
      <c r="Q1179">
        <f>HYPERLINK("https://knru.ru/catalog/polevaya-ul-53/","ссылка")</f>
        <v/>
      </c>
      <c r="R1179" t="inlineStr"/>
      <c r="S1179" t="inlineStr"/>
    </row>
    <row r="1180">
      <c r="A1180" t="inlineStr">
        <is>
          <t>округ Лиговка-Ямская</t>
        </is>
      </c>
      <c r="B1180" t="inlineStr">
        <is>
          <t>Кременчугская ул, 11</t>
        </is>
      </c>
      <c r="C1180" t="inlineStr">
        <is>
          <t>sale</t>
        </is>
      </c>
      <c r="D1180" t="inlineStr"/>
      <c r="E1180" t="inlineStr">
        <is>
          <t>Да</t>
        </is>
      </c>
      <c r="F1180" t="inlineStr"/>
      <c r="G1180" t="inlineStr"/>
      <c r="H1180" t="inlineStr">
        <is>
          <t>1500</t>
        </is>
      </c>
      <c r="I1180" t="inlineStr"/>
      <c r="J1180" t="inlineStr"/>
      <c r="K1180" t="inlineStr">
        <is>
          <t>525 000 000</t>
        </is>
      </c>
      <c r="L1180" t="inlineStr"/>
      <c r="M1180" t="inlineStr"/>
      <c r="N1180" t="inlineStr">
        <is>
          <t>По адресу есть, но площадь другая</t>
        </is>
      </c>
      <c r="O1180" t="inlineStr"/>
      <c r="P1180" t="inlineStr"/>
      <c r="Q1180" t="inlineStr"/>
      <c r="R1180">
        <f>HYPERLINK("https://nordwestinvest.ru/real-estates/vidovoi-restoran-v-apart-komplekse-v-centre","ссылка")</f>
        <v/>
      </c>
      <c r="S1180" t="inlineStr"/>
    </row>
    <row r="1181">
      <c r="A1181" t="inlineStr">
        <is>
          <t>округ Лиговка-Ямская</t>
        </is>
      </c>
      <c r="B1181" t="inlineStr">
        <is>
          <t>Кременчугская ул, 19к3</t>
        </is>
      </c>
      <c r="C1181" t="inlineStr">
        <is>
          <t>sale</t>
        </is>
      </c>
      <c r="D1181" t="inlineStr"/>
      <c r="E1181" t="inlineStr">
        <is>
          <t>Да</t>
        </is>
      </c>
      <c r="F1181" t="inlineStr"/>
      <c r="G1181" t="inlineStr"/>
      <c r="H1181" t="inlineStr">
        <is>
          <t>650</t>
        </is>
      </c>
      <c r="I1181" t="inlineStr"/>
      <c r="J1181" t="inlineStr"/>
      <c r="K1181" t="inlineStr">
        <is>
          <t>125 000 000</t>
        </is>
      </c>
      <c r="L1181" t="inlineStr"/>
      <c r="M1181" t="inlineStr"/>
      <c r="N1181" t="inlineStr">
        <is>
          <t>По адресу есть, но площадь другая</t>
        </is>
      </c>
      <c r="O1181" t="inlineStr"/>
      <c r="P1181" t="inlineStr"/>
      <c r="Q1181" t="inlineStr"/>
      <c r="R1181">
        <f>HYPERLINK("https://nordwestinvest.ru/real-estates/osz-gab-okupaemost-75-let","ссылка")</f>
        <v/>
      </c>
      <c r="S1181" t="inlineStr"/>
    </row>
    <row r="1182">
      <c r="A1182" t="inlineStr">
        <is>
          <t>округ Лиговка-Ямская</t>
        </is>
      </c>
      <c r="B1182" t="inlineStr">
        <is>
          <t>Кременчугская ул, 8а</t>
        </is>
      </c>
      <c r="C1182" t="inlineStr">
        <is>
          <t>sale</t>
        </is>
      </c>
      <c r="D1182" t="inlineStr">
        <is>
          <t>Да</t>
        </is>
      </c>
      <c r="E1182" t="inlineStr"/>
      <c r="F1182" t="inlineStr"/>
      <c r="G1182" t="inlineStr">
        <is>
          <t>31000</t>
        </is>
      </c>
      <c r="H1182" t="inlineStr"/>
      <c r="I1182" t="inlineStr"/>
      <c r="J1182" t="inlineStr">
        <is>
          <t>1 500 000 000</t>
        </is>
      </c>
      <c r="K1182" t="inlineStr"/>
      <c r="L1182" t="inlineStr"/>
      <c r="M1182" t="inlineStr">
        <is>
          <t>Нет у нас</t>
        </is>
      </c>
      <c r="N1182" t="inlineStr"/>
      <c r="O1182" t="inlineStr"/>
      <c r="P1182" t="inlineStr"/>
      <c r="Q1182">
        <f>HYPERLINK("https://knru.ru/catalog/kremenchugskaya-ul-8a/","ссылка")</f>
        <v/>
      </c>
      <c r="R1182" t="inlineStr"/>
      <c r="S1182" t="inlineStr"/>
    </row>
    <row r="1183">
      <c r="A1183" t="inlineStr">
        <is>
          <t>округ Морские ворота</t>
        </is>
      </c>
      <c r="B1183" t="inlineStr">
        <is>
          <t>Невельская ул, 7 К</t>
        </is>
      </c>
      <c r="C1183" t="inlineStr">
        <is>
          <t>sale</t>
        </is>
      </c>
      <c r="D1183" t="inlineStr">
        <is>
          <t>Да</t>
        </is>
      </c>
      <c r="E1183" t="inlineStr"/>
      <c r="F1183" t="inlineStr"/>
      <c r="G1183" t="inlineStr">
        <is>
          <t>6023</t>
        </is>
      </c>
      <c r="H1183" t="inlineStr"/>
      <c r="I1183" t="inlineStr"/>
      <c r="J1183" t="inlineStr">
        <is>
          <t>370 000 000</t>
        </is>
      </c>
      <c r="K1183" t="inlineStr"/>
      <c r="L1183" t="inlineStr"/>
      <c r="M1183" t="inlineStr">
        <is>
          <t>Нет у нас</t>
        </is>
      </c>
      <c r="N1183" t="inlineStr"/>
      <c r="O1183" t="inlineStr"/>
      <c r="P1183" t="inlineStr"/>
      <c r="Q1183">
        <f>HYPERLINK("https://knru.ru/catalog/nevelskaya-ul-7-k/","ссылка")</f>
        <v/>
      </c>
      <c r="R1183" t="inlineStr"/>
      <c r="S1183" t="inlineStr"/>
    </row>
    <row r="1184">
      <c r="A1184" t="inlineStr">
        <is>
          <t>округ Московская застава</t>
        </is>
      </c>
      <c r="B1184" t="inlineStr">
        <is>
          <t>Благодатная ул, 35 А</t>
        </is>
      </c>
      <c r="C1184" t="inlineStr">
        <is>
          <t>sale</t>
        </is>
      </c>
      <c r="D1184" t="inlineStr"/>
      <c r="E1184" t="inlineStr">
        <is>
          <t>Да</t>
        </is>
      </c>
      <c r="F1184" t="inlineStr"/>
      <c r="G1184" t="inlineStr"/>
      <c r="H1184" t="inlineStr">
        <is>
          <t>91</t>
        </is>
      </c>
      <c r="I1184" t="inlineStr"/>
      <c r="J1184" t="inlineStr"/>
      <c r="K1184" t="inlineStr">
        <is>
          <t>29 000 000</t>
        </is>
      </c>
      <c r="L1184" t="inlineStr"/>
      <c r="M1184" t="inlineStr"/>
      <c r="N1184" t="inlineStr">
        <is>
          <t>Нет у нас</t>
        </is>
      </c>
      <c r="O1184" t="inlineStr"/>
      <c r="P1184" t="inlineStr"/>
      <c r="Q1184" t="inlineStr"/>
      <c r="R1184">
        <f>HYPERLINK("https://nordwestinvest.ru/real-estates/prodaza-pomeshheniia-s-arendatorami-vitriny-trafik-1","ссылка")</f>
        <v/>
      </c>
      <c r="S1184" t="inlineStr"/>
    </row>
    <row r="1185">
      <c r="A1185" t="inlineStr">
        <is>
          <t>округ Московская застава</t>
        </is>
      </c>
      <c r="B1185" t="inlineStr">
        <is>
          <t>Малая Митрофаньевская ул, -</t>
        </is>
      </c>
      <c r="C1185" t="inlineStr">
        <is>
          <t>sale</t>
        </is>
      </c>
      <c r="D1185" t="inlineStr"/>
      <c r="E1185" t="inlineStr">
        <is>
          <t>Да</t>
        </is>
      </c>
      <c r="F1185" t="inlineStr"/>
      <c r="G1185" t="inlineStr"/>
      <c r="H1185" t="inlineStr">
        <is>
          <t>7233</t>
        </is>
      </c>
      <c r="I1185" t="inlineStr"/>
      <c r="J1185" t="inlineStr"/>
      <c r="K1185" t="inlineStr">
        <is>
          <t>700 000 000</t>
        </is>
      </c>
      <c r="L1185" t="inlineStr"/>
      <c r="M1185" t="inlineStr"/>
      <c r="N1185" t="inlineStr">
        <is>
          <t>Нет у нас</t>
        </is>
      </c>
      <c r="O1185" t="inlineStr"/>
      <c r="P1185" t="inlineStr"/>
      <c r="Q1185" t="inlineStr"/>
      <c r="R1185">
        <f>HYPERLINK("https://nordwestinvest.ru/real-estates/zemelnyi-ucastok-pod-ziluiu-zastroiku-072-ga","ссылка")</f>
        <v/>
      </c>
      <c r="S1185" t="inlineStr"/>
    </row>
    <row r="1186">
      <c r="A1186" t="inlineStr">
        <is>
          <t>округ Невская застава</t>
        </is>
      </c>
      <c r="B1186" t="inlineStr">
        <is>
          <t>Седова ул, 47 А</t>
        </is>
      </c>
      <c r="C1186" t="inlineStr">
        <is>
          <t>sale</t>
        </is>
      </c>
      <c r="D1186" t="inlineStr"/>
      <c r="E1186" t="inlineStr">
        <is>
          <t>Да</t>
        </is>
      </c>
      <c r="F1186" t="inlineStr"/>
      <c r="G1186" t="inlineStr"/>
      <c r="H1186" t="inlineStr">
        <is>
          <t>6858</t>
        </is>
      </c>
      <c r="I1186" t="inlineStr"/>
      <c r="J1186" t="inlineStr"/>
      <c r="K1186" t="inlineStr">
        <is>
          <t>270 000 000</t>
        </is>
      </c>
      <c r="L1186" t="inlineStr"/>
      <c r="M1186" t="inlineStr"/>
      <c r="N1186" t="inlineStr">
        <is>
          <t>Нет у нас</t>
        </is>
      </c>
      <c r="O1186" t="inlineStr"/>
      <c r="P1186" t="inlineStr"/>
      <c r="Q1186" t="inlineStr"/>
      <c r="R1186">
        <f>HYPERLINK("https://nordwestinvest.ru/real-estates/prodaza-osz-6858m2-2","ссылка")</f>
        <v/>
      </c>
      <c r="S1186" t="inlineStr"/>
    </row>
    <row r="1187">
      <c r="A1187" t="inlineStr">
        <is>
          <t>округ Оккервиль</t>
        </is>
      </c>
      <c r="B1187" t="inlineStr">
        <is>
          <t>Подвойского ул, 38</t>
        </is>
      </c>
      <c r="C1187" t="inlineStr">
        <is>
          <t>sale</t>
        </is>
      </c>
      <c r="D1187" t="inlineStr"/>
      <c r="E1187" t="inlineStr">
        <is>
          <t>Да</t>
        </is>
      </c>
      <c r="F1187" t="inlineStr"/>
      <c r="G1187" t="inlineStr"/>
      <c r="H1187" t="inlineStr">
        <is>
          <t>4892</t>
        </is>
      </c>
      <c r="I1187" t="inlineStr"/>
      <c r="J1187" t="inlineStr"/>
      <c r="K1187" t="inlineStr">
        <is>
          <t>450 000 000</t>
        </is>
      </c>
      <c r="L1187" t="inlineStr"/>
      <c r="M1187" t="inlineStr"/>
      <c r="N1187" t="inlineStr">
        <is>
          <t>По адресу есть, но площадь другая</t>
        </is>
      </c>
      <c r="O1187" t="inlineStr"/>
      <c r="P1187" t="inlineStr"/>
      <c r="Q1187" t="inlineStr"/>
      <c r="R1187">
        <f>HYPERLINK("https://nordwestinvest.ru/real-estates/prodaza-socialno-kulturnogo-centra-burevestnik","ссылка")</f>
        <v/>
      </c>
      <c r="S1187" t="inlineStr"/>
    </row>
    <row r="1188">
      <c r="A1188" t="inlineStr">
        <is>
          <t>округ Остров Декабристов</t>
        </is>
      </c>
      <c r="B1188" t="inlineStr">
        <is>
          <t>Кораблестроителей ул, 33</t>
        </is>
      </c>
      <c r="C1188" t="inlineStr">
        <is>
          <t>sale</t>
        </is>
      </c>
      <c r="D1188" t="inlineStr"/>
      <c r="E1188" t="inlineStr">
        <is>
          <t>Да</t>
        </is>
      </c>
      <c r="F1188" t="inlineStr"/>
      <c r="G1188" t="inlineStr"/>
      <c r="H1188" t="inlineStr">
        <is>
          <t>939.8</t>
        </is>
      </c>
      <c r="I1188" t="inlineStr"/>
      <c r="J1188" t="inlineStr"/>
      <c r="K1188" t="inlineStr">
        <is>
          <t>150 000 000</t>
        </is>
      </c>
      <c r="L1188" t="inlineStr"/>
      <c r="M1188" t="inlineStr"/>
      <c r="N1188" t="inlineStr">
        <is>
          <t>Нет у нас</t>
        </is>
      </c>
      <c r="O1188" t="inlineStr"/>
      <c r="P1188" t="inlineStr"/>
      <c r="Q1188" t="inlineStr"/>
      <c r="R1188">
        <f>HYPERLINK("https://nordwestinvest.ru/real-estates/prodaza-pomeshheniia","ссылка")</f>
        <v/>
      </c>
      <c r="S1188" t="inlineStr"/>
    </row>
    <row r="1189">
      <c r="A1189" t="inlineStr">
        <is>
          <t>округ Остров Декабристов</t>
        </is>
      </c>
      <c r="B1189" t="inlineStr">
        <is>
          <t>Морская наб, 31к1 А</t>
        </is>
      </c>
      <c r="C1189" t="inlineStr">
        <is>
          <t>sale</t>
        </is>
      </c>
      <c r="D1189" t="inlineStr"/>
      <c r="E1189" t="inlineStr">
        <is>
          <t>Да</t>
        </is>
      </c>
      <c r="F1189" t="inlineStr"/>
      <c r="G1189" t="inlineStr"/>
      <c r="H1189" t="inlineStr">
        <is>
          <t>141</t>
        </is>
      </c>
      <c r="I1189" t="inlineStr"/>
      <c r="J1189" t="inlineStr"/>
      <c r="K1189" t="inlineStr">
        <is>
          <t>22 000 000</t>
        </is>
      </c>
      <c r="L1189" t="inlineStr"/>
      <c r="M1189" t="inlineStr"/>
      <c r="N1189" t="inlineStr">
        <is>
          <t>Нет у нас</t>
        </is>
      </c>
      <c r="O1189" t="inlineStr"/>
      <c r="P1189" t="inlineStr"/>
      <c r="Q1189" t="inlineStr"/>
      <c r="R1189">
        <f>HYPERLINK("https://nordwestinvest.ru/real-estates/prodaza-141-m2-s-arendatorom","ссылка")</f>
        <v/>
      </c>
      <c r="S1189" t="inlineStr"/>
    </row>
    <row r="1190">
      <c r="A1190" t="inlineStr">
        <is>
          <t>округ Остров Декабристов</t>
        </is>
      </c>
      <c r="B1190" t="inlineStr">
        <is>
          <t>Морская наб, 31к1 А</t>
        </is>
      </c>
      <c r="C1190" t="inlineStr">
        <is>
          <t>sale</t>
        </is>
      </c>
      <c r="D1190" t="inlineStr"/>
      <c r="E1190" t="inlineStr">
        <is>
          <t>Да</t>
        </is>
      </c>
      <c r="F1190" t="inlineStr"/>
      <c r="G1190" t="inlineStr"/>
      <c r="H1190" t="inlineStr">
        <is>
          <t>298</t>
        </is>
      </c>
      <c r="I1190" t="inlineStr"/>
      <c r="J1190" t="inlineStr"/>
      <c r="K1190" t="inlineStr">
        <is>
          <t>45 000 000</t>
        </is>
      </c>
      <c r="L1190" t="inlineStr"/>
      <c r="M1190" t="inlineStr"/>
      <c r="N1190" t="inlineStr">
        <is>
          <t>Нет у нас</t>
        </is>
      </c>
      <c r="O1190" t="inlineStr"/>
      <c r="P1190" t="inlineStr"/>
      <c r="Q1190" t="inlineStr"/>
      <c r="R1190">
        <f>HYPERLINK("https://nordwestinvest.ru/real-estates/prodaza-298-m2-s-arendatorom","ссылка")</f>
        <v/>
      </c>
      <c r="S1190" t="inlineStr"/>
    </row>
    <row r="1191">
      <c r="A1191" t="inlineStr">
        <is>
          <t>округ Полюстрово</t>
        </is>
      </c>
      <c r="B1191" t="inlineStr">
        <is>
          <t>Львовская ул, 9стр1</t>
        </is>
      </c>
      <c r="C1191" t="inlineStr">
        <is>
          <t>sale</t>
        </is>
      </c>
      <c r="D1191" t="inlineStr"/>
      <c r="E1191" t="inlineStr">
        <is>
          <t>Да</t>
        </is>
      </c>
      <c r="F1191" t="inlineStr"/>
      <c r="G1191" t="inlineStr"/>
      <c r="H1191" t="inlineStr">
        <is>
          <t>82.2</t>
        </is>
      </c>
      <c r="I1191" t="inlineStr"/>
      <c r="J1191" t="inlineStr"/>
      <c r="K1191" t="inlineStr">
        <is>
          <t>38 000 000</t>
        </is>
      </c>
      <c r="L1191" t="inlineStr"/>
      <c r="M1191" t="inlineStr"/>
      <c r="N1191" t="inlineStr">
        <is>
          <t>Нет у нас</t>
        </is>
      </c>
      <c r="O1191" t="inlineStr"/>
      <c r="P1191" t="inlineStr"/>
      <c r="Q1191" t="inlineStr"/>
      <c r="R1191">
        <f>HYPERLINK("https://nordwestinvest.ru/real-estates/prodaza-pomeshheniia-822-m2-s-arendatorom","ссылка")</f>
        <v/>
      </c>
      <c r="S1191" t="inlineStr"/>
    </row>
    <row r="1192">
      <c r="A1192" t="inlineStr">
        <is>
          <t>округ Полюстрово</t>
        </is>
      </c>
      <c r="B1192" t="inlineStr">
        <is>
          <t>Мурино г.</t>
        </is>
      </c>
      <c r="C1192" t="inlineStr">
        <is>
          <t>sale</t>
        </is>
      </c>
      <c r="D1192" t="inlineStr">
        <is>
          <t>Да</t>
        </is>
      </c>
      <c r="E1192" t="inlineStr"/>
      <c r="F1192" t="inlineStr"/>
      <c r="G1192" t="inlineStr">
        <is>
          <t>54.7</t>
        </is>
      </c>
      <c r="H1192" t="inlineStr"/>
      <c r="I1192" t="inlineStr"/>
      <c r="J1192" t="inlineStr">
        <is>
          <t>14 799 228</t>
        </is>
      </c>
      <c r="K1192" t="inlineStr"/>
      <c r="L1192" t="inlineStr"/>
      <c r="M1192" t="inlineStr">
        <is>
          <t>Нет у нас</t>
        </is>
      </c>
      <c r="N1192" t="inlineStr"/>
      <c r="O1192" t="inlineStr"/>
      <c r="P1192" t="inlineStr"/>
      <c r="Q1192">
        <f>HYPERLINK("https://knru.ru/catalog/murino-g-1593116526/","ссылка")</f>
        <v/>
      </c>
      <c r="R1192" t="inlineStr"/>
      <c r="S1192" t="inlineStr"/>
    </row>
    <row r="1193">
      <c r="A1193" t="inlineStr">
        <is>
          <t>округ Полюстрово</t>
        </is>
      </c>
      <c r="B1193" t="inlineStr">
        <is>
          <t>Мурино г.</t>
        </is>
      </c>
      <c r="C1193" t="inlineStr">
        <is>
          <t>sale</t>
        </is>
      </c>
      <c r="D1193" t="inlineStr">
        <is>
          <t>Да</t>
        </is>
      </c>
      <c r="E1193" t="inlineStr"/>
      <c r="F1193" t="inlineStr"/>
      <c r="G1193" t="inlineStr">
        <is>
          <t>73.8</t>
        </is>
      </c>
      <c r="H1193" t="inlineStr"/>
      <c r="I1193" t="inlineStr"/>
      <c r="J1193" t="inlineStr">
        <is>
          <t>18 334 666</t>
        </is>
      </c>
      <c r="K1193" t="inlineStr"/>
      <c r="L1193" t="inlineStr"/>
      <c r="M1193" t="inlineStr">
        <is>
          <t>Нет у нас</t>
        </is>
      </c>
      <c r="N1193" t="inlineStr"/>
      <c r="O1193" t="inlineStr"/>
      <c r="P1193" t="inlineStr"/>
      <c r="Q1193">
        <f>HYPERLINK("https://knru.ru/catalog/murino-g-1177869988/","ссылка")</f>
        <v/>
      </c>
      <c r="R1193" t="inlineStr"/>
      <c r="S1193" t="inlineStr"/>
    </row>
    <row r="1194">
      <c r="A1194" t="inlineStr">
        <is>
          <t>округ Полюстрово</t>
        </is>
      </c>
      <c r="B1194" t="inlineStr">
        <is>
          <t>Мурино г.</t>
        </is>
      </c>
      <c r="C1194" t="inlineStr">
        <is>
          <t>sale</t>
        </is>
      </c>
      <c r="D1194" t="inlineStr">
        <is>
          <t>Да</t>
        </is>
      </c>
      <c r="E1194" t="inlineStr"/>
      <c r="F1194" t="inlineStr"/>
      <c r="G1194" t="inlineStr">
        <is>
          <t>86.9</t>
        </is>
      </c>
      <c r="H1194" t="inlineStr"/>
      <c r="I1194" t="inlineStr"/>
      <c r="J1194" t="inlineStr">
        <is>
          <t>23 093 505</t>
        </is>
      </c>
      <c r="K1194" t="inlineStr"/>
      <c r="L1194" t="inlineStr"/>
      <c r="M1194" t="inlineStr">
        <is>
          <t>Нет у нас</t>
        </is>
      </c>
      <c r="N1194" t="inlineStr"/>
      <c r="O1194" t="inlineStr"/>
      <c r="P1194" t="inlineStr"/>
      <c r="Q1194">
        <f>HYPERLINK("https://knru.ru/catalog/murino-g/","ссылка")</f>
        <v/>
      </c>
      <c r="R1194" t="inlineStr"/>
      <c r="S1194" t="inlineStr"/>
    </row>
    <row r="1195">
      <c r="A1195" t="inlineStr">
        <is>
          <t>округ Пороховые</t>
        </is>
      </c>
      <c r="B1195" t="inlineStr">
        <is>
          <t>Белорусская ул, 4</t>
        </is>
      </c>
      <c r="C1195" t="inlineStr">
        <is>
          <t>sale</t>
        </is>
      </c>
      <c r="D1195" t="inlineStr"/>
      <c r="E1195" t="inlineStr">
        <is>
          <t>Да</t>
        </is>
      </c>
      <c r="F1195" t="inlineStr"/>
      <c r="G1195" t="inlineStr"/>
      <c r="H1195" t="inlineStr">
        <is>
          <t>1188.1</t>
        </is>
      </c>
      <c r="I1195" t="inlineStr"/>
      <c r="J1195" t="inlineStr"/>
      <c r="K1195" t="inlineStr">
        <is>
          <t>50 000 000</t>
        </is>
      </c>
      <c r="L1195" t="inlineStr"/>
      <c r="M1195" t="inlineStr"/>
      <c r="N1195" t="inlineStr">
        <is>
          <t>По адресу есть, но площадь другая</t>
        </is>
      </c>
      <c r="O1195" t="inlineStr"/>
      <c r="P1195" t="inlineStr"/>
      <c r="Q1195" t="inlineStr"/>
      <c r="R1195">
        <f>HYPERLINK("https://nordwestinvest.ru/real-estates/pomeshhenie-1200-m2-light-industrial","ссылка")</f>
        <v/>
      </c>
      <c r="S1195" t="inlineStr"/>
    </row>
    <row r="1196">
      <c r="A1196" t="inlineStr">
        <is>
          <t>округ Пороховые</t>
        </is>
      </c>
      <c r="B1196" t="inlineStr">
        <is>
          <t>Лагоды ул, 4стр1</t>
        </is>
      </c>
      <c r="C1196" t="inlineStr">
        <is>
          <t>sale</t>
        </is>
      </c>
      <c r="D1196" t="inlineStr"/>
      <c r="E1196" t="inlineStr">
        <is>
          <t>Да</t>
        </is>
      </c>
      <c r="F1196" t="inlineStr"/>
      <c r="G1196" t="inlineStr"/>
      <c r="H1196" t="inlineStr">
        <is>
          <t>545</t>
        </is>
      </c>
      <c r="I1196" t="inlineStr"/>
      <c r="J1196" t="inlineStr"/>
      <c r="K1196" t="inlineStr">
        <is>
          <t>63 000 000</t>
        </is>
      </c>
      <c r="L1196" t="inlineStr"/>
      <c r="M1196" t="inlineStr"/>
      <c r="N1196" t="inlineStr">
        <is>
          <t>Нет у нас</t>
        </is>
      </c>
      <c r="O1196" t="inlineStr"/>
      <c r="P1196" t="inlineStr"/>
      <c r="Q1196" t="inlineStr"/>
      <c r="R1196">
        <f>HYPERLINK("https://nordwestinvest.ru/real-estates/prodaza-s-arendatorom-piaterocka-545m2","ссылка")</f>
        <v/>
      </c>
      <c r="S1196" t="inlineStr"/>
    </row>
    <row r="1197">
      <c r="A1197" t="inlineStr">
        <is>
          <t>округ Пороховые</t>
        </is>
      </c>
      <c r="B1197" t="inlineStr">
        <is>
          <t>Осипенко ул, 2</t>
        </is>
      </c>
      <c r="C1197" t="inlineStr">
        <is>
          <t>sale</t>
        </is>
      </c>
      <c r="D1197" t="inlineStr"/>
      <c r="E1197" t="inlineStr">
        <is>
          <t>Да</t>
        </is>
      </c>
      <c r="F1197" t="inlineStr"/>
      <c r="G1197" t="inlineStr"/>
      <c r="H1197" t="inlineStr">
        <is>
          <t>203</t>
        </is>
      </c>
      <c r="I1197" t="inlineStr"/>
      <c r="J1197" t="inlineStr"/>
      <c r="K1197" t="inlineStr">
        <is>
          <t>78 950 000</t>
        </is>
      </c>
      <c r="L1197" t="inlineStr"/>
      <c r="M1197" t="inlineStr"/>
      <c r="N1197" t="inlineStr">
        <is>
          <t>Совпало</t>
        </is>
      </c>
      <c r="O1197" t="inlineStr"/>
      <c r="P1197" t="inlineStr"/>
      <c r="Q1197" t="inlineStr"/>
      <c r="R1197">
        <f>HYPERLINK("https://nordwestinvest.ru/real-estates/prodaza-pomeshheniia-s-aptekoi-203-m2-1","ссылка")</f>
        <v/>
      </c>
      <c r="S1197" t="inlineStr"/>
    </row>
    <row r="1198">
      <c r="A1198" t="inlineStr">
        <is>
          <t>округ Прометей</t>
        </is>
      </c>
      <c r="B1198" t="inlineStr">
        <is>
          <t>Ушинского ул, 12</t>
        </is>
      </c>
      <c r="C1198" t="inlineStr">
        <is>
          <t>sale</t>
        </is>
      </c>
      <c r="D1198" t="inlineStr"/>
      <c r="E1198" t="inlineStr">
        <is>
          <t>Да</t>
        </is>
      </c>
      <c r="F1198" t="inlineStr"/>
      <c r="G1198" t="inlineStr"/>
      <c r="H1198" t="inlineStr">
        <is>
          <t>12410</t>
        </is>
      </c>
      <c r="I1198" t="inlineStr"/>
      <c r="J1198" t="inlineStr"/>
      <c r="K1198" t="inlineStr">
        <is>
          <t>2 200 000 000</t>
        </is>
      </c>
      <c r="L1198" t="inlineStr"/>
      <c r="M1198" t="inlineStr"/>
      <c r="N1198" t="inlineStr">
        <is>
          <t>Нет у нас</t>
        </is>
      </c>
      <c r="O1198" t="inlineStr"/>
      <c r="P1198" t="inlineStr"/>
      <c r="Q1198" t="inlineStr"/>
      <c r="R1198">
        <f>HYPERLINK("https://nordwestinvest.ru/real-estates/prodaza-zemelnogo-ucastka-12-410-m2","ссылка")</f>
        <v/>
      </c>
      <c r="S1198" t="inlineStr"/>
    </row>
    <row r="1199">
      <c r="A1199" t="inlineStr">
        <is>
          <t>округ Пулковский меридиан</t>
        </is>
      </c>
      <c r="B1199" t="inlineStr">
        <is>
          <t>Пулковское ш, -</t>
        </is>
      </c>
      <c r="C1199" t="inlineStr">
        <is>
          <t>sale</t>
        </is>
      </c>
      <c r="D1199" t="inlineStr"/>
      <c r="E1199" t="inlineStr">
        <is>
          <t>Да</t>
        </is>
      </c>
      <c r="F1199" t="inlineStr"/>
      <c r="G1199" t="inlineStr"/>
      <c r="H1199" t="inlineStr">
        <is>
          <t>50000</t>
        </is>
      </c>
      <c r="I1199" t="inlineStr"/>
      <c r="J1199" t="inlineStr"/>
      <c r="K1199" t="inlineStr">
        <is>
          <t>500 000 000</t>
        </is>
      </c>
      <c r="L1199" t="inlineStr"/>
      <c r="M1199" t="inlineStr"/>
      <c r="N1199" t="inlineStr">
        <is>
          <t>Нет у нас</t>
        </is>
      </c>
      <c r="O1199" t="inlineStr"/>
      <c r="P1199" t="inlineStr"/>
      <c r="Q1199" t="inlineStr"/>
      <c r="R1199">
        <f>HYPERLINK("https://nordwestinvest.ru/real-estates/prodaza-ucastka-pod-zastroiku","ссылка")</f>
        <v/>
      </c>
      <c r="S1199" t="inlineStr"/>
    </row>
    <row r="1200">
      <c r="A1200" t="inlineStr">
        <is>
          <t>округ Пулковский меридиан</t>
        </is>
      </c>
      <c r="B1200" t="inlineStr">
        <is>
          <t>Техническая ул, 9</t>
        </is>
      </c>
      <c r="C1200" t="inlineStr">
        <is>
          <t>sale</t>
        </is>
      </c>
      <c r="D1200" t="inlineStr">
        <is>
          <t>Да</t>
        </is>
      </c>
      <c r="E1200" t="inlineStr"/>
      <c r="F1200" t="inlineStr"/>
      <c r="G1200" t="inlineStr">
        <is>
          <t>576</t>
        </is>
      </c>
      <c r="H1200" t="inlineStr"/>
      <c r="I1200" t="inlineStr"/>
      <c r="J1200" t="inlineStr">
        <is>
          <t>31 000 000</t>
        </is>
      </c>
      <c r="K1200" t="inlineStr"/>
      <c r="L1200" t="inlineStr"/>
      <c r="M1200" t="inlineStr">
        <is>
          <t>Нет у нас</t>
        </is>
      </c>
      <c r="N1200" t="inlineStr"/>
      <c r="O1200" t="inlineStr"/>
      <c r="P1200" t="inlineStr"/>
      <c r="Q1200">
        <f>HYPERLINK("https://knru.ru/catalog/texnicheskaya-ul-9/","ссылка")</f>
        <v/>
      </c>
      <c r="R1200" t="inlineStr"/>
      <c r="S1200" t="inlineStr"/>
    </row>
    <row r="1201">
      <c r="A1201" t="inlineStr">
        <is>
          <t>округ Ржевка</t>
        </is>
      </c>
      <c r="B1201" t="inlineStr">
        <is>
          <t>Коммуны ул, 67</t>
        </is>
      </c>
      <c r="C1201" t="inlineStr">
        <is>
          <t>sale</t>
        </is>
      </c>
      <c r="D1201" t="inlineStr"/>
      <c r="E1201" t="inlineStr">
        <is>
          <t>Да</t>
        </is>
      </c>
      <c r="F1201" t="inlineStr"/>
      <c r="G1201" t="inlineStr"/>
      <c r="H1201" t="inlineStr">
        <is>
          <t>486.6</t>
        </is>
      </c>
      <c r="I1201" t="inlineStr"/>
      <c r="J1201" t="inlineStr"/>
      <c r="K1201" t="inlineStr">
        <is>
          <t>4 400 000</t>
        </is>
      </c>
      <c r="L1201" t="inlineStr"/>
      <c r="M1201" t="inlineStr"/>
      <c r="N1201" t="inlineStr">
        <is>
          <t>Нет у нас</t>
        </is>
      </c>
      <c r="O1201" t="inlineStr"/>
      <c r="P1201" t="inlineStr"/>
      <c r="Q1201" t="inlineStr"/>
      <c r="R1201">
        <f>HYPERLINK("https://nordwestinvest.ru/real-estates/proizvodstvo-s-cpu-stankom-1","ссылка")</f>
        <v/>
      </c>
      <c r="S1201" t="inlineStr"/>
    </row>
    <row r="1202">
      <c r="A1202" t="inlineStr">
        <is>
          <t>округ Ржевка</t>
        </is>
      </c>
      <c r="B1202" t="inlineStr">
        <is>
          <t>Революции ш, 69 А</t>
        </is>
      </c>
      <c r="C1202" t="inlineStr">
        <is>
          <t>sale</t>
        </is>
      </c>
      <c r="D1202" t="inlineStr"/>
      <c r="E1202" t="inlineStr">
        <is>
          <t>Да</t>
        </is>
      </c>
      <c r="F1202" t="inlineStr"/>
      <c r="G1202" t="inlineStr"/>
      <c r="H1202" t="inlineStr">
        <is>
          <t>210</t>
        </is>
      </c>
      <c r="I1202" t="inlineStr"/>
      <c r="J1202" t="inlineStr"/>
      <c r="K1202" t="inlineStr">
        <is>
          <t>31 500 000</t>
        </is>
      </c>
      <c r="L1202" t="inlineStr"/>
      <c r="M1202" t="inlineStr"/>
      <c r="N1202" t="inlineStr">
        <is>
          <t>Нет у нас</t>
        </is>
      </c>
      <c r="O1202" t="inlineStr"/>
      <c r="P1202" t="inlineStr"/>
      <c r="Q1202" t="inlineStr"/>
      <c r="R1202">
        <f>HYPERLINK("https://nordwestinvest.ru/real-estates/prodaza-210-m2-s-arendatorom","ссылка")</f>
        <v/>
      </c>
      <c r="S1202" t="inlineStr"/>
    </row>
    <row r="1203">
      <c r="A1203" t="inlineStr">
        <is>
          <t>округ Ржевка</t>
        </is>
      </c>
      <c r="B1203" t="inlineStr">
        <is>
          <t>Революции ш, 69 А</t>
        </is>
      </c>
      <c r="C1203" t="inlineStr">
        <is>
          <t>sale</t>
        </is>
      </c>
      <c r="D1203" t="inlineStr"/>
      <c r="E1203" t="inlineStr">
        <is>
          <t>Да</t>
        </is>
      </c>
      <c r="F1203" t="inlineStr"/>
      <c r="G1203" t="inlineStr"/>
      <c r="H1203" t="inlineStr">
        <is>
          <t>256.6</t>
        </is>
      </c>
      <c r="I1203" t="inlineStr"/>
      <c r="J1203" t="inlineStr"/>
      <c r="K1203" t="inlineStr">
        <is>
          <t>38 490 000</t>
        </is>
      </c>
      <c r="L1203" t="inlineStr"/>
      <c r="M1203" t="inlineStr"/>
      <c r="N1203" t="inlineStr">
        <is>
          <t>Нет у нас</t>
        </is>
      </c>
      <c r="O1203" t="inlineStr"/>
      <c r="P1203" t="inlineStr"/>
      <c r="Q1203" t="inlineStr"/>
      <c r="R1203">
        <f>HYPERLINK("https://nordwestinvest.ru/real-estates/prodaza-256-m2-na-1-etaze-s-arendatorom","ссылка")</f>
        <v/>
      </c>
      <c r="S1203" t="inlineStr"/>
    </row>
    <row r="1204">
      <c r="A1204" t="inlineStr">
        <is>
          <t>округ Ржевка</t>
        </is>
      </c>
      <c r="B1204" t="inlineStr">
        <is>
          <t>Революции ш, 69 А</t>
        </is>
      </c>
      <c r="C1204" t="inlineStr">
        <is>
          <t>sale</t>
        </is>
      </c>
      <c r="D1204" t="inlineStr"/>
      <c r="E1204" t="inlineStr">
        <is>
          <t>Да</t>
        </is>
      </c>
      <c r="F1204" t="inlineStr"/>
      <c r="G1204" t="inlineStr"/>
      <c r="H1204" t="inlineStr">
        <is>
          <t>191</t>
        </is>
      </c>
      <c r="I1204" t="inlineStr"/>
      <c r="J1204" t="inlineStr"/>
      <c r="K1204" t="inlineStr">
        <is>
          <t>28 770 000</t>
        </is>
      </c>
      <c r="L1204" t="inlineStr"/>
      <c r="M1204" t="inlineStr"/>
      <c r="N1204" t="inlineStr">
        <is>
          <t>Нет у нас</t>
        </is>
      </c>
      <c r="O1204" t="inlineStr"/>
      <c r="P1204" t="inlineStr"/>
      <c r="Q1204" t="inlineStr"/>
      <c r="R1204">
        <f>HYPERLINK("https://nordwestinvest.ru/real-estates/prodaza-191-m2-na-1-etaze-pod-torgovliu-1","ссылка")</f>
        <v/>
      </c>
      <c r="S1204" t="inlineStr"/>
    </row>
    <row r="1205">
      <c r="A1205" t="inlineStr">
        <is>
          <t>округ Ржевка</t>
        </is>
      </c>
      <c r="B1205" t="inlineStr">
        <is>
          <t>Революции ш, 69 А</t>
        </is>
      </c>
      <c r="C1205" t="inlineStr">
        <is>
          <t>sale</t>
        </is>
      </c>
      <c r="D1205" t="inlineStr"/>
      <c r="E1205" t="inlineStr">
        <is>
          <t>Да</t>
        </is>
      </c>
      <c r="F1205" t="inlineStr"/>
      <c r="G1205" t="inlineStr"/>
      <c r="H1205" t="inlineStr">
        <is>
          <t>353.3</t>
        </is>
      </c>
      <c r="I1205" t="inlineStr"/>
      <c r="J1205" t="inlineStr"/>
      <c r="K1205" t="inlineStr">
        <is>
          <t>42 396 000</t>
        </is>
      </c>
      <c r="L1205" t="inlineStr"/>
      <c r="M1205" t="inlineStr"/>
      <c r="N1205" t="inlineStr">
        <is>
          <t>Нет у нас</t>
        </is>
      </c>
      <c r="O1205" t="inlineStr"/>
      <c r="P1205" t="inlineStr"/>
      <c r="Q1205" t="inlineStr"/>
      <c r="R1205">
        <f>HYPERLINK("https://nordwestinvest.ru/real-estates/prodaza-pomeshheniia-3533-m2-v-bc-reforma","ссылка")</f>
        <v/>
      </c>
      <c r="S1205" t="inlineStr"/>
    </row>
    <row r="1206">
      <c r="A1206" t="inlineStr">
        <is>
          <t>округ Ржевка</t>
        </is>
      </c>
      <c r="B1206" t="inlineStr">
        <is>
          <t>Ржевская ул, 38 А</t>
        </is>
      </c>
      <c r="C1206" t="inlineStr">
        <is>
          <t>sale</t>
        </is>
      </c>
      <c r="D1206" t="inlineStr">
        <is>
          <t>Да</t>
        </is>
      </c>
      <c r="E1206" t="inlineStr"/>
      <c r="F1206" t="inlineStr"/>
      <c r="G1206" t="inlineStr">
        <is>
          <t>1573</t>
        </is>
      </c>
      <c r="H1206" t="inlineStr"/>
      <c r="I1206" t="inlineStr"/>
      <c r="J1206" t="inlineStr">
        <is>
          <t>124 000 000</t>
        </is>
      </c>
      <c r="K1206" t="inlineStr"/>
      <c r="L1206" t="inlineStr"/>
      <c r="M1206" t="inlineStr">
        <is>
          <t>По адресу есть, но площадь другая</t>
        </is>
      </c>
      <c r="N1206" t="inlineStr"/>
      <c r="O1206" t="inlineStr"/>
      <c r="P1206" t="inlineStr"/>
      <c r="Q1206">
        <f>HYPERLINK("https://knru.ru/catalog/rzhevskaya-ul-38-a/","ссылка")</f>
        <v/>
      </c>
      <c r="R1206" t="inlineStr"/>
      <c r="S1206" t="inlineStr"/>
    </row>
    <row r="1207">
      <c r="A1207" t="inlineStr">
        <is>
          <t>округ Ржевка</t>
        </is>
      </c>
      <c r="B1207" t="inlineStr">
        <is>
          <t>Сосновая ул, 1а</t>
        </is>
      </c>
      <c r="C1207" t="inlineStr">
        <is>
          <t>sale</t>
        </is>
      </c>
      <c r="D1207" t="inlineStr">
        <is>
          <t>Да</t>
        </is>
      </c>
      <c r="E1207" t="inlineStr"/>
      <c r="F1207" t="inlineStr"/>
      <c r="G1207" t="inlineStr">
        <is>
          <t>174779</t>
        </is>
      </c>
      <c r="H1207" t="inlineStr"/>
      <c r="I1207" t="inlineStr"/>
      <c r="J1207" t="inlineStr">
        <is>
          <t>194 000 000</t>
        </is>
      </c>
      <c r="K1207" t="inlineStr"/>
      <c r="L1207" t="inlineStr"/>
      <c r="M1207" t="inlineStr">
        <is>
          <t>Нет у нас</t>
        </is>
      </c>
      <c r="N1207" t="inlineStr"/>
      <c r="O1207" t="inlineStr"/>
      <c r="P1207" t="inlineStr"/>
      <c r="Q1207">
        <f>HYPERLINK("https://knru.ru/catalog/sosnovaya-ul-1a/","ссылка")</f>
        <v/>
      </c>
      <c r="R1207" t="inlineStr"/>
      <c r="S1207" t="inlineStr"/>
    </row>
    <row r="1208">
      <c r="A1208" t="inlineStr">
        <is>
          <t>округ Ржевка</t>
        </is>
      </c>
      <c r="B1208" t="inlineStr">
        <is>
          <t>Уманский пер, 71</t>
        </is>
      </c>
      <c r="C1208" t="inlineStr">
        <is>
          <t>sale</t>
        </is>
      </c>
      <c r="D1208" t="inlineStr"/>
      <c r="E1208" t="inlineStr">
        <is>
          <t>Да</t>
        </is>
      </c>
      <c r="F1208" t="inlineStr"/>
      <c r="G1208" t="inlineStr"/>
      <c r="H1208" t="inlineStr">
        <is>
          <t>7314</t>
        </is>
      </c>
      <c r="I1208" t="inlineStr"/>
      <c r="J1208" t="inlineStr"/>
      <c r="K1208" t="inlineStr">
        <is>
          <t>65 000 000</t>
        </is>
      </c>
      <c r="L1208" t="inlineStr"/>
      <c r="M1208" t="inlineStr"/>
      <c r="N1208" t="inlineStr">
        <is>
          <t>Нет у нас</t>
        </is>
      </c>
      <c r="O1208" t="inlineStr"/>
      <c r="P1208" t="inlineStr"/>
      <c r="Q1208" t="inlineStr"/>
      <c r="R1208">
        <f>HYPERLINK("https://nordwestinvest.ru/real-estates/zemelnyi-ucastok-ppomnaznaceniia-7314-m2","ссылка")</f>
        <v/>
      </c>
      <c r="S1208" t="inlineStr"/>
    </row>
    <row r="1209">
      <c r="A1209" t="inlineStr">
        <is>
          <t>округ Сампсониевское</t>
        </is>
      </c>
      <c r="B1209" t="inlineStr">
        <is>
          <t>Выборгская наб, 59</t>
        </is>
      </c>
      <c r="C1209" t="inlineStr">
        <is>
          <t>sale</t>
        </is>
      </c>
      <c r="D1209" t="inlineStr"/>
      <c r="E1209" t="inlineStr">
        <is>
          <t>Да</t>
        </is>
      </c>
      <c r="F1209" t="inlineStr"/>
      <c r="G1209" t="inlineStr"/>
      <c r="H1209" t="inlineStr">
        <is>
          <t>300</t>
        </is>
      </c>
      <c r="I1209" t="inlineStr"/>
      <c r="J1209" t="inlineStr"/>
      <c r="K1209" t="inlineStr">
        <is>
          <t>25 000 000</t>
        </is>
      </c>
      <c r="L1209" t="inlineStr"/>
      <c r="M1209" t="inlineStr"/>
      <c r="N1209" t="inlineStr">
        <is>
          <t>Нет у нас</t>
        </is>
      </c>
      <c r="O1209" t="inlineStr"/>
      <c r="P1209" t="inlineStr"/>
      <c r="Q1209" t="inlineStr"/>
      <c r="R1209">
        <f>HYPERLINK("https://nordwestinvest.ru/real-estates/gotovyi-biznes-sveinaia-fabrika-okupaemost-4-goda","ссылка")</f>
        <v/>
      </c>
      <c r="S1209" t="inlineStr"/>
    </row>
    <row r="1210">
      <c r="A1210" t="inlineStr">
        <is>
          <t>округ Сампсониевское</t>
        </is>
      </c>
      <c r="B1210" t="inlineStr">
        <is>
          <t>Лесной 59</t>
        </is>
      </c>
      <c r="C1210" t="inlineStr">
        <is>
          <t>sale</t>
        </is>
      </c>
      <c r="D1210" t="inlineStr"/>
      <c r="E1210" t="inlineStr"/>
      <c r="F1210" t="inlineStr">
        <is>
          <t>Да</t>
        </is>
      </c>
      <c r="G1210" t="inlineStr"/>
      <c r="H1210" t="inlineStr"/>
      <c r="I1210" t="inlineStr">
        <is>
          <t>116</t>
        </is>
      </c>
      <c r="J1210" t="inlineStr"/>
      <c r="K1210" t="inlineStr"/>
      <c r="L1210" t="inlineStr">
        <is>
          <t>53 000 000</t>
        </is>
      </c>
      <c r="M1210" t="inlineStr"/>
      <c r="N1210" t="inlineStr"/>
      <c r="O1210" t="inlineStr">
        <is>
          <t>Совпало</t>
        </is>
      </c>
      <c r="P1210" t="inlineStr"/>
      <c r="Q1210" t="inlineStr"/>
      <c r="R1210" t="inlineStr"/>
      <c r="S1210">
        <f>HYPERLINK("https://rest2rent.yucrm.ru/s/m96ufg5g","ссылка")</f>
        <v/>
      </c>
    </row>
    <row r="1211">
      <c r="A1211" t="inlineStr">
        <is>
          <t>округ Сергиевское</t>
        </is>
      </c>
      <c r="B1211" t="inlineStr">
        <is>
          <t>Парнас м, -</t>
        </is>
      </c>
      <c r="C1211" t="inlineStr">
        <is>
          <t>sale</t>
        </is>
      </c>
      <c r="D1211" t="inlineStr"/>
      <c r="E1211" t="inlineStr">
        <is>
          <t>Да</t>
        </is>
      </c>
      <c r="F1211" t="inlineStr"/>
      <c r="G1211" t="inlineStr"/>
      <c r="H1211" t="inlineStr">
        <is>
          <t>400</t>
        </is>
      </c>
      <c r="I1211" t="inlineStr"/>
      <c r="J1211" t="inlineStr"/>
      <c r="K1211" t="inlineStr">
        <is>
          <t>150 077 700</t>
        </is>
      </c>
      <c r="L1211" t="inlineStr"/>
      <c r="M1211" t="inlineStr"/>
      <c r="N1211" t="inlineStr">
        <is>
          <t>Нет у нас</t>
        </is>
      </c>
      <c r="O1211" t="inlineStr"/>
      <c r="P1211" t="inlineStr"/>
      <c r="Q1211" t="inlineStr"/>
      <c r="R1211">
        <f>HYPERLINK("https://nordwestinvest.ru/real-estates/prodaza-pomeshhenii-v-tk-s-arendatorami","ссылка")</f>
        <v/>
      </c>
      <c r="S1211" t="inlineStr"/>
    </row>
    <row r="1212">
      <c r="A1212" t="inlineStr">
        <is>
          <t>округ Сергиевское</t>
        </is>
      </c>
      <c r="B1212" t="inlineStr">
        <is>
          <t>Парнас м, -</t>
        </is>
      </c>
      <c r="C1212" t="inlineStr">
        <is>
          <t>sale</t>
        </is>
      </c>
      <c r="D1212" t="inlineStr"/>
      <c r="E1212" t="inlineStr">
        <is>
          <t>Да</t>
        </is>
      </c>
      <c r="F1212" t="inlineStr"/>
      <c r="G1212" t="inlineStr"/>
      <c r="H1212" t="inlineStr">
        <is>
          <t>35</t>
        </is>
      </c>
      <c r="I1212" t="inlineStr"/>
      <c r="J1212" t="inlineStr"/>
      <c r="K1212" t="inlineStr">
        <is>
          <t>16 800 000</t>
        </is>
      </c>
      <c r="L1212" t="inlineStr"/>
      <c r="M1212" t="inlineStr"/>
      <c r="N1212" t="inlineStr">
        <is>
          <t>Нет у нас</t>
        </is>
      </c>
      <c r="O1212" t="inlineStr"/>
      <c r="P1212" t="inlineStr"/>
      <c r="Q1212" t="inlineStr"/>
      <c r="R1212">
        <f>HYPERLINK("https://nordwestinvest.ru/real-estates/prodaza-pomeshheniia-v-tk-s-xmel-i-solod","ссылка")</f>
        <v/>
      </c>
      <c r="S1212" t="inlineStr"/>
    </row>
    <row r="1213">
      <c r="A1213" t="inlineStr">
        <is>
          <t>округ Сергиевское</t>
        </is>
      </c>
      <c r="B1213" t="inlineStr">
        <is>
          <t>Парнас м, -</t>
        </is>
      </c>
      <c r="C1213" t="inlineStr">
        <is>
          <t>sale</t>
        </is>
      </c>
      <c r="D1213" t="inlineStr"/>
      <c r="E1213" t="inlineStr">
        <is>
          <t>Да</t>
        </is>
      </c>
      <c r="F1213" t="inlineStr"/>
      <c r="G1213" t="inlineStr"/>
      <c r="H1213" t="inlineStr">
        <is>
          <t>65</t>
        </is>
      </c>
      <c r="I1213" t="inlineStr"/>
      <c r="J1213" t="inlineStr"/>
      <c r="K1213" t="inlineStr">
        <is>
          <t>25 740 000</t>
        </is>
      </c>
      <c r="L1213" t="inlineStr"/>
      <c r="M1213" t="inlineStr"/>
      <c r="N1213" t="inlineStr">
        <is>
          <t>Нет у нас</t>
        </is>
      </c>
      <c r="O1213" t="inlineStr"/>
      <c r="P1213" t="inlineStr"/>
      <c r="Q1213" t="inlineStr"/>
      <c r="R1213">
        <f>HYPERLINK("https://nordwestinvest.ru/real-estates/prodaza-pomeshheniia-v-tk-s-saverlend","ссылка")</f>
        <v/>
      </c>
      <c r="S1213" t="inlineStr"/>
    </row>
    <row r="1214">
      <c r="A1214" t="inlineStr">
        <is>
          <t>округ Сергиевское</t>
        </is>
      </c>
      <c r="B1214" t="inlineStr">
        <is>
          <t>Парнас м, -</t>
        </is>
      </c>
      <c r="C1214" t="inlineStr">
        <is>
          <t>sale</t>
        </is>
      </c>
      <c r="D1214" t="inlineStr"/>
      <c r="E1214" t="inlineStr">
        <is>
          <t>Да</t>
        </is>
      </c>
      <c r="F1214" t="inlineStr"/>
      <c r="G1214" t="inlineStr"/>
      <c r="H1214" t="inlineStr">
        <is>
          <t>124</t>
        </is>
      </c>
      <c r="I1214" t="inlineStr"/>
      <c r="J1214" t="inlineStr"/>
      <c r="K1214" t="inlineStr">
        <is>
          <t>52 080 000</t>
        </is>
      </c>
      <c r="L1214" t="inlineStr"/>
      <c r="M1214" t="inlineStr"/>
      <c r="N1214" t="inlineStr">
        <is>
          <t>Нет у нас</t>
        </is>
      </c>
      <c r="O1214" t="inlineStr"/>
      <c r="P1214" t="inlineStr"/>
      <c r="Q1214" t="inlineStr"/>
      <c r="R1214">
        <f>HYPERLINK("https://nordwestinvest.ru/real-estates/prodaza-pomeshheniia-v-tk-s-vinlab","ссылка")</f>
        <v/>
      </c>
      <c r="S1214" t="inlineStr"/>
    </row>
    <row r="1215">
      <c r="A1215" t="inlineStr">
        <is>
          <t>округ Сергиевское</t>
        </is>
      </c>
      <c r="B1215" t="inlineStr">
        <is>
          <t>Парнас м, -</t>
        </is>
      </c>
      <c r="C1215" t="inlineStr">
        <is>
          <t>sale</t>
        </is>
      </c>
      <c r="D1215" t="inlineStr"/>
      <c r="E1215" t="inlineStr">
        <is>
          <t>Да</t>
        </is>
      </c>
      <c r="F1215" t="inlineStr"/>
      <c r="G1215" t="inlineStr"/>
      <c r="H1215" t="inlineStr">
        <is>
          <t>141</t>
        </is>
      </c>
      <c r="I1215" t="inlineStr"/>
      <c r="J1215" t="inlineStr"/>
      <c r="K1215" t="inlineStr">
        <is>
          <t>65 142 000</t>
        </is>
      </c>
      <c r="L1215" t="inlineStr"/>
      <c r="M1215" t="inlineStr"/>
      <c r="N1215" t="inlineStr">
        <is>
          <t>Нет у нас</t>
        </is>
      </c>
      <c r="O1215" t="inlineStr"/>
      <c r="P1215" t="inlineStr"/>
      <c r="Q1215" t="inlineStr"/>
      <c r="R1215">
        <f>HYPERLINK("https://nordwestinvest.ru/real-estates/prodaza-pomeshheniia-v-tk-s-xlebnikom","ссылка")</f>
        <v/>
      </c>
      <c r="S1215" t="inlineStr"/>
    </row>
    <row r="1216">
      <c r="A1216" t="inlineStr">
        <is>
          <t>округ Сосновское</t>
        </is>
      </c>
      <c r="B1216" t="inlineStr">
        <is>
          <t>Есенина ул, 6к1 А</t>
        </is>
      </c>
      <c r="C1216" t="inlineStr">
        <is>
          <t>sale</t>
        </is>
      </c>
      <c r="D1216" t="inlineStr"/>
      <c r="E1216" t="inlineStr">
        <is>
          <t>Да</t>
        </is>
      </c>
      <c r="F1216" t="inlineStr"/>
      <c r="G1216" t="inlineStr"/>
      <c r="H1216" t="inlineStr">
        <is>
          <t>310</t>
        </is>
      </c>
      <c r="I1216" t="inlineStr"/>
      <c r="J1216" t="inlineStr"/>
      <c r="K1216" t="inlineStr">
        <is>
          <t>85 000 000</t>
        </is>
      </c>
      <c r="L1216" t="inlineStr"/>
      <c r="M1216" t="inlineStr"/>
      <c r="N1216" t="inlineStr">
        <is>
          <t>Нет у нас</t>
        </is>
      </c>
      <c r="O1216" t="inlineStr"/>
      <c r="P1216" t="inlineStr"/>
      <c r="Q1216" t="inlineStr"/>
      <c r="R1216">
        <f>HYPERLINK("https://nordwestinvest.ru/real-estates/prodaza-arendator-sberbank-vyborgskii-raion","ссылка")</f>
        <v/>
      </c>
      <c r="S1216" t="inlineStr"/>
    </row>
    <row r="1217">
      <c r="A1217" t="inlineStr">
        <is>
          <t>округ Юнтолово</t>
        </is>
      </c>
      <c r="B1217" t="inlineStr">
        <is>
          <t>Парашютная ул, 32</t>
        </is>
      </c>
      <c r="C1217" t="inlineStr">
        <is>
          <t>sale</t>
        </is>
      </c>
      <c r="D1217" t="inlineStr"/>
      <c r="E1217" t="inlineStr">
        <is>
          <t>Да</t>
        </is>
      </c>
      <c r="F1217" t="inlineStr"/>
      <c r="G1217" t="inlineStr"/>
      <c r="H1217" t="inlineStr">
        <is>
          <t>754.1</t>
        </is>
      </c>
      <c r="I1217" t="inlineStr"/>
      <c r="J1217" t="inlineStr"/>
      <c r="K1217" t="inlineStr">
        <is>
          <t>130 000 000</t>
        </is>
      </c>
      <c r="L1217" t="inlineStr"/>
      <c r="M1217" t="inlineStr"/>
      <c r="N1217" t="inlineStr">
        <is>
          <t>Совпало</t>
        </is>
      </c>
      <c r="O1217" t="inlineStr"/>
      <c r="P1217" t="inlineStr"/>
      <c r="Q1217" t="inlineStr"/>
      <c r="R1217">
        <f>HYPERLINK("https://nordwestinvest.ru/real-estates/prodaza-pomeshheniia-s-arendatorom-vkuster-715-m2","ссылка")</f>
        <v/>
      </c>
      <c r="S1217" t="inlineStr"/>
    </row>
    <row r="1218">
      <c r="A1218" t="inlineStr">
        <is>
          <t>округ Юнтолово</t>
        </is>
      </c>
      <c r="B1218" t="inlineStr">
        <is>
          <t>Парашютная ул, 32</t>
        </is>
      </c>
      <c r="C1218" t="inlineStr">
        <is>
          <t>sale</t>
        </is>
      </c>
      <c r="D1218" t="inlineStr"/>
      <c r="E1218" t="inlineStr">
        <is>
          <t>Да</t>
        </is>
      </c>
      <c r="F1218" t="inlineStr"/>
      <c r="G1218" t="inlineStr"/>
      <c r="H1218" t="inlineStr">
        <is>
          <t>176.3</t>
        </is>
      </c>
      <c r="I1218" t="inlineStr"/>
      <c r="J1218" t="inlineStr"/>
      <c r="K1218" t="inlineStr">
        <is>
          <t>40 000 000</t>
        </is>
      </c>
      <c r="L1218" t="inlineStr"/>
      <c r="M1218" t="inlineStr"/>
      <c r="N1218" t="inlineStr">
        <is>
          <t>По адресу есть, но площадь другая</t>
        </is>
      </c>
      <c r="O1218" t="inlineStr"/>
      <c r="P1218" t="inlineStr"/>
      <c r="Q1218" t="inlineStr"/>
      <c r="R1218">
        <f>HYPERLINK("https://nordwestinvest.ru/real-estates/prodaza-pomeshheniia-s-arendatorom-rosal","ссылка")</f>
        <v/>
      </c>
      <c r="S1218" t="inlineStr"/>
    </row>
    <row r="1219">
      <c r="A1219" t="inlineStr">
        <is>
          <t>округ Юнтолово</t>
        </is>
      </c>
      <c r="B1219" t="inlineStr">
        <is>
          <t>Парашютная ул, 32</t>
        </is>
      </c>
      <c r="C1219" t="inlineStr">
        <is>
          <t>sale</t>
        </is>
      </c>
      <c r="D1219" t="inlineStr"/>
      <c r="E1219" t="inlineStr">
        <is>
          <t>Да</t>
        </is>
      </c>
      <c r="F1219" t="inlineStr"/>
      <c r="G1219" t="inlineStr"/>
      <c r="H1219" t="inlineStr">
        <is>
          <t>74.9</t>
        </is>
      </c>
      <c r="I1219" t="inlineStr"/>
      <c r="J1219" t="inlineStr"/>
      <c r="K1219" t="inlineStr">
        <is>
          <t>25 200 000</t>
        </is>
      </c>
      <c r="L1219" t="inlineStr"/>
      <c r="M1219" t="inlineStr"/>
      <c r="N1219" t="inlineStr">
        <is>
          <t>По адресу есть, но площадь другая</t>
        </is>
      </c>
      <c r="O1219" t="inlineStr"/>
      <c r="P1219" t="inlineStr"/>
      <c r="Q1219" t="inlineStr"/>
      <c r="R1219">
        <f>HYPERLINK("https://nordwestinvest.ru/real-estates/prodaza-s-arendatorom-sdek","ссылка")</f>
        <v/>
      </c>
      <c r="S1219" t="inlineStr"/>
    </row>
    <row r="1220">
      <c r="A1220" t="inlineStr">
        <is>
          <t>округ Юнтолово</t>
        </is>
      </c>
      <c r="B1220" t="inlineStr">
        <is>
          <t>Парашютная ул, 42к2</t>
        </is>
      </c>
      <c r="C1220" t="inlineStr">
        <is>
          <t>sale</t>
        </is>
      </c>
      <c r="D1220" t="inlineStr"/>
      <c r="E1220" t="inlineStr">
        <is>
          <t>Да</t>
        </is>
      </c>
      <c r="F1220" t="inlineStr"/>
      <c r="G1220" t="inlineStr"/>
      <c r="H1220" t="inlineStr">
        <is>
          <t>119</t>
        </is>
      </c>
      <c r="I1220" t="inlineStr"/>
      <c r="J1220" t="inlineStr"/>
      <c r="K1220" t="inlineStr">
        <is>
          <t>29 500 000</t>
        </is>
      </c>
      <c r="L1220" t="inlineStr"/>
      <c r="M1220" t="inlineStr"/>
      <c r="N1220" t="inlineStr">
        <is>
          <t>Нет у нас</t>
        </is>
      </c>
      <c r="O1220" t="inlineStr"/>
      <c r="P1220" t="inlineStr"/>
      <c r="Q1220" t="inlineStr"/>
      <c r="R1220">
        <f>HYPERLINK("https://nordwestinvest.ru/real-estates/prodaza-ofisa-119-m2","ссылка")</f>
        <v/>
      </c>
      <c r="S1220" t="inlineStr"/>
    </row>
    <row r="1221">
      <c r="A1221" t="inlineStr">
        <is>
          <t>округ Юнтолово</t>
        </is>
      </c>
      <c r="B1221" t="inlineStr">
        <is>
          <t>Парашютная ул, 51</t>
        </is>
      </c>
      <c r="C1221" t="inlineStr">
        <is>
          <t>sale</t>
        </is>
      </c>
      <c r="D1221" t="inlineStr"/>
      <c r="E1221" t="inlineStr">
        <is>
          <t>Да</t>
        </is>
      </c>
      <c r="F1221" t="inlineStr"/>
      <c r="G1221" t="inlineStr"/>
      <c r="H1221" t="inlineStr">
        <is>
          <t>150</t>
        </is>
      </c>
      <c r="I1221" t="inlineStr"/>
      <c r="J1221" t="inlineStr"/>
      <c r="K1221" t="inlineStr">
        <is>
          <t>50 000 000</t>
        </is>
      </c>
      <c r="L1221" t="inlineStr"/>
      <c r="M1221" t="inlineStr"/>
      <c r="N1221" t="inlineStr">
        <is>
          <t>Нет у нас</t>
        </is>
      </c>
      <c r="O1221" t="inlineStr"/>
      <c r="P1221" t="inlineStr"/>
      <c r="Q1221" t="inlineStr"/>
      <c r="R1221">
        <f>HYPERLINK("https://nordwestinvest.ru/real-estates/prodaza-obieekta-s-arendatorom-sto","ссылка")</f>
        <v/>
      </c>
      <c r="S1221" t="inlineStr"/>
    </row>
    <row r="1222">
      <c r="A1222" t="inlineStr">
        <is>
          <t>округ Юнтолово</t>
        </is>
      </c>
      <c r="B1222" t="inlineStr">
        <is>
          <t>Плесецкая ул, 4стр1</t>
        </is>
      </c>
      <c r="C1222" t="inlineStr">
        <is>
          <t>sale</t>
        </is>
      </c>
      <c r="D1222" t="inlineStr"/>
      <c r="E1222" t="inlineStr">
        <is>
          <t>Да</t>
        </is>
      </c>
      <c r="F1222" t="inlineStr"/>
      <c r="G1222" t="inlineStr"/>
      <c r="H1222" t="inlineStr">
        <is>
          <t>108.6</t>
        </is>
      </c>
      <c r="I1222" t="inlineStr"/>
      <c r="J1222" t="inlineStr"/>
      <c r="K1222" t="inlineStr">
        <is>
          <t>30 600 000</t>
        </is>
      </c>
      <c r="L1222" t="inlineStr"/>
      <c r="M1222" t="inlineStr"/>
      <c r="N1222" t="inlineStr">
        <is>
          <t>Нет у нас</t>
        </is>
      </c>
      <c r="O1222" t="inlineStr"/>
      <c r="P1222" t="inlineStr"/>
      <c r="Q1222" t="inlineStr"/>
      <c r="R1222">
        <f>HYPERLINK("https://nordwestinvest.ru/real-estates/prodaza-gab-v-elitnom-zk-ariosto-1086m2","ссылка")</f>
        <v/>
      </c>
      <c r="S1222" t="inlineStr"/>
    </row>
    <row r="1223">
      <c r="A1223" t="inlineStr">
        <is>
          <t>Парголово</t>
        </is>
      </c>
      <c r="B1223" t="inlineStr">
        <is>
          <t>9-й Верхний пер, нет</t>
        </is>
      </c>
      <c r="C1223" t="inlineStr">
        <is>
          <t>sale</t>
        </is>
      </c>
      <c r="D1223" t="inlineStr">
        <is>
          <t>Да</t>
        </is>
      </c>
      <c r="E1223" t="inlineStr"/>
      <c r="F1223" t="inlineStr"/>
      <c r="G1223" t="inlineStr">
        <is>
          <t>88000</t>
        </is>
      </c>
      <c r="H1223" t="inlineStr"/>
      <c r="I1223" t="inlineStr"/>
      <c r="J1223" t="inlineStr">
        <is>
          <t>750 000 000</t>
        </is>
      </c>
      <c r="K1223" t="inlineStr"/>
      <c r="L1223" t="inlineStr"/>
      <c r="M1223" t="inlineStr">
        <is>
          <t>Нет у нас</t>
        </is>
      </c>
      <c r="N1223" t="inlineStr"/>
      <c r="O1223" t="inlineStr"/>
      <c r="P1223" t="inlineStr"/>
      <c r="Q1223">
        <f>HYPERLINK("https://knru.ru/catalog/pos-bugry-9-y-verkhniy-per/","ссылка")</f>
        <v/>
      </c>
      <c r="R1223" t="inlineStr"/>
      <c r="S1223" t="inlineStr"/>
    </row>
    <row r="1224">
      <c r="A1224" t="inlineStr">
        <is>
          <t>Петровский округ</t>
        </is>
      </c>
      <c r="B1224" t="inlineStr">
        <is>
          <t>Колпинская ул, 15 А</t>
        </is>
      </c>
      <c r="C1224" t="inlineStr">
        <is>
          <t>sale</t>
        </is>
      </c>
      <c r="D1224" t="inlineStr"/>
      <c r="E1224" t="inlineStr">
        <is>
          <t>Да</t>
        </is>
      </c>
      <c r="F1224" t="inlineStr"/>
      <c r="G1224" t="inlineStr"/>
      <c r="H1224" t="inlineStr">
        <is>
          <t>65.1</t>
        </is>
      </c>
      <c r="I1224" t="inlineStr"/>
      <c r="J1224" t="inlineStr"/>
      <c r="K1224" t="inlineStr">
        <is>
          <t>25 000 000</t>
        </is>
      </c>
      <c r="L1224" t="inlineStr"/>
      <c r="M1224" t="inlineStr"/>
      <c r="N1224" t="inlineStr">
        <is>
          <t>По адресу есть, но площадь другая</t>
        </is>
      </c>
      <c r="O1224" t="inlineStr"/>
      <c r="P1224" t="inlineStr"/>
      <c r="Q1224" t="inlineStr"/>
      <c r="R1224">
        <f>HYPERLINK("https://nordwestinvest.ru/real-estates/prodaza-gab-65-m2","ссылка")</f>
        <v/>
      </c>
      <c r="S1224" t="inlineStr"/>
    </row>
    <row r="1225">
      <c r="A1225" t="inlineStr">
        <is>
          <t>Петроградский</t>
        </is>
      </c>
      <c r="B1225" t="inlineStr">
        <is>
          <t>Адмирала Лазарева наб, 10</t>
        </is>
      </c>
      <c r="C1225" t="inlineStr">
        <is>
          <t>sale</t>
        </is>
      </c>
      <c r="D1225" t="inlineStr"/>
      <c r="E1225" t="inlineStr">
        <is>
          <t>Да</t>
        </is>
      </c>
      <c r="F1225" t="inlineStr"/>
      <c r="G1225" t="inlineStr"/>
      <c r="H1225" t="inlineStr">
        <is>
          <t>31100</t>
        </is>
      </c>
      <c r="I1225" t="inlineStr"/>
      <c r="J1225" t="inlineStr"/>
      <c r="K1225" t="inlineStr">
        <is>
          <t>1 200 000 000</t>
        </is>
      </c>
      <c r="L1225" t="inlineStr"/>
      <c r="M1225" t="inlineStr"/>
      <c r="N1225" t="inlineStr">
        <is>
          <t>По адресу есть, но площадь другая</t>
        </is>
      </c>
      <c r="O1225" t="inlineStr"/>
      <c r="P1225" t="inlineStr"/>
      <c r="Q1225" t="inlineStr"/>
      <c r="R1225">
        <f>HYPERLINK("https://nordwestinvest.ru/real-estates/prodaza-100-iur-lica","ссылка")</f>
        <v/>
      </c>
      <c r="S1225" t="inlineStr"/>
    </row>
    <row r="1226">
      <c r="A1226" t="inlineStr">
        <is>
          <t>Петроградский</t>
        </is>
      </c>
      <c r="B1226" t="inlineStr">
        <is>
          <t>Аптекарский пр-кт, 5</t>
        </is>
      </c>
      <c r="C1226" t="inlineStr">
        <is>
          <t>sale</t>
        </is>
      </c>
      <c r="D1226" t="inlineStr">
        <is>
          <t>Да</t>
        </is>
      </c>
      <c r="E1226" t="inlineStr"/>
      <c r="F1226" t="inlineStr"/>
      <c r="G1226" t="inlineStr">
        <is>
          <t>130</t>
        </is>
      </c>
      <c r="H1226" t="inlineStr"/>
      <c r="I1226" t="inlineStr"/>
      <c r="J1226" t="inlineStr">
        <is>
          <t>61 500 000</t>
        </is>
      </c>
      <c r="K1226" t="inlineStr"/>
      <c r="L1226" t="inlineStr"/>
      <c r="M1226" t="inlineStr">
        <is>
          <t>Нет у нас</t>
        </is>
      </c>
      <c r="N1226" t="inlineStr"/>
      <c r="O1226" t="inlineStr"/>
      <c r="P1226" t="inlineStr"/>
      <c r="Q1226">
        <f>HYPERLINK("https://knru.ru/catalog/aptekarskij-pr-d-5/","ссылка")</f>
        <v/>
      </c>
      <c r="R1226" t="inlineStr"/>
      <c r="S1226" t="inlineStr"/>
    </row>
    <row r="1227">
      <c r="A1227" t="inlineStr">
        <is>
          <t>Петроградский</t>
        </is>
      </c>
      <c r="B1227" t="inlineStr">
        <is>
          <t>Большая Зеленина ул, 18</t>
        </is>
      </c>
      <c r="C1227" t="inlineStr">
        <is>
          <t>sale</t>
        </is>
      </c>
      <c r="D1227" t="inlineStr">
        <is>
          <t>Да</t>
        </is>
      </c>
      <c r="E1227" t="inlineStr"/>
      <c r="F1227" t="inlineStr"/>
      <c r="G1227" t="inlineStr">
        <is>
          <t>120</t>
        </is>
      </c>
      <c r="H1227" t="inlineStr"/>
      <c r="I1227" t="inlineStr"/>
      <c r="J1227" t="inlineStr">
        <is>
          <t>6 900 000</t>
        </is>
      </c>
      <c r="K1227" t="inlineStr"/>
      <c r="L1227" t="inlineStr"/>
      <c r="M1227" t="inlineStr">
        <is>
          <t>По адресу есть, но площадь другая</t>
        </is>
      </c>
      <c r="N1227" t="inlineStr"/>
      <c r="O1227" t="inlineStr"/>
      <c r="P1227" t="inlineStr"/>
      <c r="Q1227">
        <f>HYPERLINK("https://knru.ru/catalog/bolshaya-zelenina-ul-18/","ссылка")</f>
        <v/>
      </c>
      <c r="R1227" t="inlineStr"/>
      <c r="S1227" t="inlineStr"/>
    </row>
    <row r="1228">
      <c r="A1228" t="inlineStr">
        <is>
          <t>Петроградский</t>
        </is>
      </c>
      <c r="B1228" t="inlineStr">
        <is>
          <t>Большая Зеленина ул, 24</t>
        </is>
      </c>
      <c r="C1228" t="inlineStr">
        <is>
          <t>sale</t>
        </is>
      </c>
      <c r="D1228" t="inlineStr"/>
      <c r="E1228" t="inlineStr">
        <is>
          <t>Да</t>
        </is>
      </c>
      <c r="F1228" t="inlineStr"/>
      <c r="G1228" t="inlineStr"/>
      <c r="H1228" t="inlineStr">
        <is>
          <t>251.5</t>
        </is>
      </c>
      <c r="I1228" t="inlineStr"/>
      <c r="J1228" t="inlineStr"/>
      <c r="K1228" t="inlineStr">
        <is>
          <t>115 000 000</t>
        </is>
      </c>
      <c r="L1228" t="inlineStr"/>
      <c r="M1228" t="inlineStr"/>
      <c r="N1228" t="inlineStr">
        <is>
          <t>По адресу есть, но площадь другая</t>
        </is>
      </c>
      <c r="O1228" t="inlineStr"/>
      <c r="P1228" t="inlineStr"/>
      <c r="Q1228" t="inlineStr"/>
      <c r="R1228">
        <f>HYPERLINK("https://nordwestinvest.ru/real-estates/funkcionalnyi-ofis-v-biznes-centre-grani-1","ссылка")</f>
        <v/>
      </c>
      <c r="S1228" t="inlineStr"/>
    </row>
    <row r="1229">
      <c r="A1229" t="inlineStr">
        <is>
          <t>Петроградский</t>
        </is>
      </c>
      <c r="B1229" t="inlineStr">
        <is>
          <t>Большая Зеленина ул, 31/1 А</t>
        </is>
      </c>
      <c r="C1229" t="inlineStr">
        <is>
          <t>sale</t>
        </is>
      </c>
      <c r="D1229" t="inlineStr">
        <is>
          <t>Да</t>
        </is>
      </c>
      <c r="E1229" t="inlineStr"/>
      <c r="F1229" t="inlineStr"/>
      <c r="G1229" t="inlineStr">
        <is>
          <t>200</t>
        </is>
      </c>
      <c r="H1229" t="inlineStr"/>
      <c r="I1229" t="inlineStr"/>
      <c r="J1229" t="inlineStr">
        <is>
          <t>130 000 000</t>
        </is>
      </c>
      <c r="K1229" t="inlineStr"/>
      <c r="L1229" t="inlineStr"/>
      <c r="M1229" t="inlineStr">
        <is>
          <t>Нет у нас</t>
        </is>
      </c>
      <c r="N1229" t="inlineStr"/>
      <c r="O1229" t="inlineStr"/>
      <c r="P1229" t="inlineStr"/>
      <c r="Q1229">
        <f>HYPERLINK("https://knru.ru/catalog/bolshaya-zelenina-ul-d-31/","ссылка")</f>
        <v/>
      </c>
      <c r="R1229" t="inlineStr"/>
      <c r="S1229" t="inlineStr"/>
    </row>
    <row r="1230">
      <c r="A1230" t="inlineStr">
        <is>
          <t>Петроградский</t>
        </is>
      </c>
      <c r="B1230" t="inlineStr">
        <is>
          <t>Большая Зеленина ул, 8к2</t>
        </is>
      </c>
      <c r="C1230" t="inlineStr">
        <is>
          <t>sale</t>
        </is>
      </c>
      <c r="D1230" t="inlineStr">
        <is>
          <t>Да</t>
        </is>
      </c>
      <c r="E1230" t="inlineStr"/>
      <c r="F1230" t="inlineStr"/>
      <c r="G1230" t="inlineStr">
        <is>
          <t>177</t>
        </is>
      </c>
      <c r="H1230" t="inlineStr"/>
      <c r="I1230" t="inlineStr"/>
      <c r="J1230" t="inlineStr">
        <is>
          <t>40 000 000</t>
        </is>
      </c>
      <c r="K1230" t="inlineStr"/>
      <c r="L1230" t="inlineStr"/>
      <c r="M1230" t="inlineStr">
        <is>
          <t>По адресу есть, но площадь другая</t>
        </is>
      </c>
      <c r="N1230" t="inlineStr"/>
      <c r="O1230" t="inlineStr"/>
      <c r="P1230" t="inlineStr"/>
      <c r="Q1230">
        <f>HYPERLINK("https://knru.ru/catalog/ul-bolshaya-zelenina-d-8-k-2/","ссылка")</f>
        <v/>
      </c>
      <c r="R1230" t="inlineStr"/>
      <c r="S1230" t="inlineStr"/>
    </row>
    <row r="1231">
      <c r="A1231" t="inlineStr">
        <is>
          <t>Петроградский</t>
        </is>
      </c>
      <c r="B1231" t="inlineStr">
        <is>
          <t>Большая Монетная ул, 11</t>
        </is>
      </c>
      <c r="C1231" t="inlineStr">
        <is>
          <t>sale</t>
        </is>
      </c>
      <c r="D1231" t="inlineStr">
        <is>
          <t>Да</t>
        </is>
      </c>
      <c r="E1231" t="inlineStr"/>
      <c r="F1231" t="inlineStr"/>
      <c r="G1231" t="inlineStr">
        <is>
          <t>167</t>
        </is>
      </c>
      <c r="H1231" t="inlineStr"/>
      <c r="I1231" t="inlineStr"/>
      <c r="J1231" t="inlineStr">
        <is>
          <t>35 000 000</t>
        </is>
      </c>
      <c r="K1231" t="inlineStr"/>
      <c r="L1231" t="inlineStr"/>
      <c r="M1231" t="inlineStr">
        <is>
          <t>Нет у нас</t>
        </is>
      </c>
      <c r="N1231" t="inlineStr"/>
      <c r="O1231" t="inlineStr"/>
      <c r="P1231" t="inlineStr"/>
      <c r="Q1231">
        <f>HYPERLINK("https://knru.ru/catalog/bolshaya-monetnaya-ul-d-11/","ссылка")</f>
        <v/>
      </c>
      <c r="R1231" t="inlineStr"/>
      <c r="S1231" t="inlineStr"/>
    </row>
    <row r="1232">
      <c r="A1232" t="inlineStr">
        <is>
          <t>Петроградский</t>
        </is>
      </c>
      <c r="B1232" t="inlineStr">
        <is>
          <t>Большая Посадская ул, 12 А</t>
        </is>
      </c>
      <c r="C1232" t="inlineStr">
        <is>
          <t>sale</t>
        </is>
      </c>
      <c r="D1232" t="inlineStr">
        <is>
          <t>Да</t>
        </is>
      </c>
      <c r="E1232" t="inlineStr"/>
      <c r="F1232" t="inlineStr"/>
      <c r="G1232" t="inlineStr">
        <is>
          <t>1000</t>
        </is>
      </c>
      <c r="H1232" t="inlineStr"/>
      <c r="I1232" t="inlineStr"/>
      <c r="J1232" t="inlineStr">
        <is>
          <t>280 000 000</t>
        </is>
      </c>
      <c r="K1232" t="inlineStr"/>
      <c r="L1232" t="inlineStr"/>
      <c r="M1232" t="inlineStr">
        <is>
          <t>Нет у нас</t>
        </is>
      </c>
      <c r="N1232" t="inlineStr"/>
      <c r="O1232" t="inlineStr"/>
      <c r="P1232" t="inlineStr"/>
      <c r="Q1232">
        <f>HYPERLINK("https://knru.ru/catalog/bolshaya-posadskaya-d-12/","ссылка")</f>
        <v/>
      </c>
      <c r="R1232" t="inlineStr"/>
      <c r="S1232" t="inlineStr"/>
    </row>
    <row r="1233">
      <c r="A1233" t="inlineStr">
        <is>
          <t>Петроградский</t>
        </is>
      </c>
      <c r="B1233" t="inlineStr">
        <is>
          <t>Большая Разночинная ул, 4</t>
        </is>
      </c>
      <c r="C1233" t="inlineStr">
        <is>
          <t>sale</t>
        </is>
      </c>
      <c r="D1233" t="inlineStr">
        <is>
          <t>Да</t>
        </is>
      </c>
      <c r="E1233" t="inlineStr"/>
      <c r="F1233" t="inlineStr"/>
      <c r="G1233" t="inlineStr">
        <is>
          <t>82</t>
        </is>
      </c>
      <c r="H1233" t="inlineStr"/>
      <c r="I1233" t="inlineStr"/>
      <c r="J1233" t="inlineStr">
        <is>
          <t>6 000 000</t>
        </is>
      </c>
      <c r="K1233" t="inlineStr"/>
      <c r="L1233" t="inlineStr"/>
      <c r="M1233" t="inlineStr">
        <is>
          <t>Нет у нас</t>
        </is>
      </c>
      <c r="N1233" t="inlineStr"/>
      <c r="O1233" t="inlineStr"/>
      <c r="P1233" t="inlineStr"/>
      <c r="Q1233">
        <f>HYPERLINK("https://knru.ru/catalog/bolshaya-raznochinnaya-ul-4/","ссылка")</f>
        <v/>
      </c>
      <c r="R1233" t="inlineStr"/>
      <c r="S1233" t="inlineStr"/>
    </row>
    <row r="1234">
      <c r="A1234" t="inlineStr">
        <is>
          <t>Петроградский</t>
        </is>
      </c>
      <c r="B1234" t="inlineStr">
        <is>
          <t>Большой П.С. пр-кт, 31 А</t>
        </is>
      </c>
      <c r="C1234" t="inlineStr">
        <is>
          <t>sale</t>
        </is>
      </c>
      <c r="D1234" t="inlineStr"/>
      <c r="E1234" t="inlineStr">
        <is>
          <t>Да</t>
        </is>
      </c>
      <c r="F1234" t="inlineStr"/>
      <c r="G1234" t="inlineStr"/>
      <c r="H1234" t="inlineStr">
        <is>
          <t>200</t>
        </is>
      </c>
      <c r="I1234" t="inlineStr"/>
      <c r="J1234" t="inlineStr"/>
      <c r="K1234" t="inlineStr">
        <is>
          <t>34 500 000</t>
        </is>
      </c>
      <c r="L1234" t="inlineStr"/>
      <c r="M1234" t="inlineStr"/>
      <c r="N1234" t="inlineStr">
        <is>
          <t>Нет у нас</t>
        </is>
      </c>
      <c r="O1234" t="inlineStr"/>
      <c r="P1234" t="inlineStr"/>
      <c r="Q1234" t="inlineStr"/>
      <c r="R1234">
        <f>HYPERLINK("https://nordwestinvest.ru/real-estates/prodaza-200-m2-s-arendatorom-posle-remonta-1","ссылка")</f>
        <v/>
      </c>
      <c r="S1234" t="inlineStr"/>
    </row>
    <row r="1235">
      <c r="A1235" t="inlineStr">
        <is>
          <t>Петроградский</t>
        </is>
      </c>
      <c r="B1235" t="inlineStr">
        <is>
          <t>Большой П.С. пр-кт, 31 А</t>
        </is>
      </c>
      <c r="C1235" t="inlineStr">
        <is>
          <t>sale</t>
        </is>
      </c>
      <c r="D1235" t="inlineStr">
        <is>
          <t>Да</t>
        </is>
      </c>
      <c r="E1235" t="inlineStr"/>
      <c r="F1235" t="inlineStr"/>
      <c r="G1235" t="inlineStr">
        <is>
          <t>125</t>
        </is>
      </c>
      <c r="H1235" t="inlineStr"/>
      <c r="I1235" t="inlineStr"/>
      <c r="J1235" t="inlineStr">
        <is>
          <t>157 500 000</t>
        </is>
      </c>
      <c r="K1235" t="inlineStr"/>
      <c r="L1235" t="inlineStr"/>
      <c r="M1235" t="inlineStr">
        <is>
          <t>Нет у нас</t>
        </is>
      </c>
      <c r="N1235" t="inlineStr"/>
      <c r="O1235" t="inlineStr"/>
      <c r="P1235" t="inlineStr"/>
      <c r="Q1235">
        <f>HYPERLINK("https://knru.ru/catalog/bolshoy-pr-p-s-d-31/","ссылка")</f>
        <v/>
      </c>
      <c r="R1235" t="inlineStr"/>
      <c r="S1235" t="inlineStr"/>
    </row>
    <row r="1236">
      <c r="A1236" t="inlineStr">
        <is>
          <t>Петроградский</t>
        </is>
      </c>
      <c r="B1236" t="inlineStr">
        <is>
          <t>Большой П.С. пр-кт, 38 40</t>
        </is>
      </c>
      <c r="C1236" t="inlineStr">
        <is>
          <t>sale</t>
        </is>
      </c>
      <c r="D1236" t="inlineStr">
        <is>
          <t>Да</t>
        </is>
      </c>
      <c r="E1236" t="inlineStr"/>
      <c r="F1236" t="inlineStr"/>
      <c r="G1236" t="inlineStr">
        <is>
          <t>198</t>
        </is>
      </c>
      <c r="H1236" t="inlineStr"/>
      <c r="I1236" t="inlineStr"/>
      <c r="J1236" t="inlineStr">
        <is>
          <t>46 000 000</t>
        </is>
      </c>
      <c r="K1236" t="inlineStr"/>
      <c r="L1236" t="inlineStr"/>
      <c r="M1236" t="inlineStr">
        <is>
          <t>У нас аренда, у конкурента продажа</t>
        </is>
      </c>
      <c r="N1236" t="inlineStr"/>
      <c r="O1236" t="inlineStr"/>
      <c r="P1236" t="inlineStr"/>
      <c r="Q1236">
        <f>HYPERLINK("https://knru.ru/catalog/bolshoy-pr-ps-d-38-40-338921089/","ссылка")</f>
        <v/>
      </c>
      <c r="R1236" t="inlineStr"/>
      <c r="S1236" t="inlineStr"/>
    </row>
    <row r="1237">
      <c r="A1237" t="inlineStr">
        <is>
          <t>Петроградский</t>
        </is>
      </c>
      <c r="B1237" t="inlineStr">
        <is>
          <t>Большой П.С. пр-кт, 71 А</t>
        </is>
      </c>
      <c r="C1237" t="inlineStr">
        <is>
          <t>sale</t>
        </is>
      </c>
      <c r="D1237" t="inlineStr">
        <is>
          <t>Да</t>
        </is>
      </c>
      <c r="E1237" t="inlineStr"/>
      <c r="F1237" t="inlineStr"/>
      <c r="G1237" t="inlineStr">
        <is>
          <t>192</t>
        </is>
      </c>
      <c r="H1237" t="inlineStr"/>
      <c r="I1237" t="inlineStr"/>
      <c r="J1237" t="inlineStr">
        <is>
          <t>65 000 000</t>
        </is>
      </c>
      <c r="K1237" t="inlineStr"/>
      <c r="L1237" t="inlineStr"/>
      <c r="M1237" t="inlineStr">
        <is>
          <t>Нет у нас</t>
        </is>
      </c>
      <c r="N1237" t="inlineStr"/>
      <c r="O1237" t="inlineStr"/>
      <c r="P1237" t="inlineStr"/>
      <c r="Q1237">
        <f>HYPERLINK("https://knru.ru/catalog/bolshoy-pr-p-s-d-71a/","ссылка")</f>
        <v/>
      </c>
      <c r="R1237" t="inlineStr"/>
      <c r="S1237" t="inlineStr"/>
    </row>
    <row r="1238">
      <c r="A1238" t="inlineStr">
        <is>
          <t>Петроградский</t>
        </is>
      </c>
      <c r="B1238" t="inlineStr">
        <is>
          <t>Витебская ул, 31 А</t>
        </is>
      </c>
      <c r="C1238" t="inlineStr">
        <is>
          <t>sale</t>
        </is>
      </c>
      <c r="D1238" t="inlineStr"/>
      <c r="E1238" t="inlineStr">
        <is>
          <t>Да</t>
        </is>
      </c>
      <c r="F1238" t="inlineStr"/>
      <c r="G1238" t="inlineStr"/>
      <c r="H1238" t="inlineStr">
        <is>
          <t>40</t>
        </is>
      </c>
      <c r="I1238" t="inlineStr"/>
      <c r="J1238" t="inlineStr"/>
      <c r="K1238" t="inlineStr">
        <is>
          <t>6 850 000</t>
        </is>
      </c>
      <c r="L1238" t="inlineStr"/>
      <c r="M1238" t="inlineStr"/>
      <c r="N1238" t="inlineStr">
        <is>
          <t>Нет у нас</t>
        </is>
      </c>
      <c r="O1238" t="inlineStr"/>
      <c r="P1238" t="inlineStr"/>
      <c r="Q1238" t="inlineStr"/>
      <c r="R1238">
        <f>HYPERLINK("https://nordwestinvest.ru/real-estates/prodaza-40m-s-sikarnym-remontom","ссылка")</f>
        <v/>
      </c>
      <c r="S1238" t="inlineStr"/>
    </row>
    <row r="1239">
      <c r="A1239" t="inlineStr">
        <is>
          <t>Петроградский</t>
        </is>
      </c>
      <c r="B1239" t="inlineStr">
        <is>
          <t>Владимирский пр-кт, 9 А</t>
        </is>
      </c>
      <c r="C1239" t="inlineStr">
        <is>
          <t>sale</t>
        </is>
      </c>
      <c r="D1239" t="inlineStr">
        <is>
          <t>Да</t>
        </is>
      </c>
      <c r="E1239" t="inlineStr"/>
      <c r="F1239" t="inlineStr"/>
      <c r="G1239" t="inlineStr">
        <is>
          <t>40000</t>
        </is>
      </c>
      <c r="H1239" t="inlineStr"/>
      <c r="I1239" t="inlineStr"/>
      <c r="J1239" t="inlineStr">
        <is>
          <t>280 000 000</t>
        </is>
      </c>
      <c r="K1239" t="inlineStr"/>
      <c r="L1239" t="inlineStr"/>
      <c r="M1239" t="inlineStr">
        <is>
          <t>Нет у нас</t>
        </is>
      </c>
      <c r="N1239" t="inlineStr"/>
      <c r="O1239" t="inlineStr"/>
      <c r="P1239" t="inlineStr"/>
      <c r="Q1239">
        <f>HYPERLINK("https://knru.ru/catalog/vladimirskij-pr-kt-9-a/","ссылка")</f>
        <v/>
      </c>
      <c r="R1239" t="inlineStr"/>
      <c r="S1239" t="inlineStr"/>
    </row>
    <row r="1240">
      <c r="A1240" t="inlineStr">
        <is>
          <t>Петроградский</t>
        </is>
      </c>
      <c r="B1240" t="inlineStr">
        <is>
          <t>Вязовая ул, 10</t>
        </is>
      </c>
      <c r="C1240" t="inlineStr">
        <is>
          <t>sale</t>
        </is>
      </c>
      <c r="D1240" t="inlineStr">
        <is>
          <t>Да</t>
        </is>
      </c>
      <c r="E1240" t="inlineStr"/>
      <c r="F1240" t="inlineStr"/>
      <c r="G1240" t="inlineStr">
        <is>
          <t>341</t>
        </is>
      </c>
      <c r="H1240" t="inlineStr"/>
      <c r="I1240" t="inlineStr"/>
      <c r="J1240" t="inlineStr">
        <is>
          <t>153 600 000</t>
        </is>
      </c>
      <c r="K1240" t="inlineStr"/>
      <c r="L1240" t="inlineStr"/>
      <c r="M1240" t="inlineStr">
        <is>
          <t>Нет у нас</t>
        </is>
      </c>
      <c r="N1240" t="inlineStr"/>
      <c r="O1240" t="inlineStr"/>
      <c r="P1240" t="inlineStr"/>
      <c r="Q1240">
        <f>HYPERLINK("https://knru.ru/catalog/ul-vyazovaya-d-10/","ссылка")</f>
        <v/>
      </c>
      <c r="R1240" t="inlineStr"/>
      <c r="S1240" t="inlineStr"/>
    </row>
    <row r="1241">
      <c r="A1241" t="inlineStr">
        <is>
          <t>Петроградский</t>
        </is>
      </c>
      <c r="B1241" t="inlineStr">
        <is>
          <t>Гатчинская ул, 31-33</t>
        </is>
      </c>
      <c r="C1241" t="inlineStr">
        <is>
          <t>sale</t>
        </is>
      </c>
      <c r="D1241" t="inlineStr">
        <is>
          <t>Да</t>
        </is>
      </c>
      <c r="E1241" t="inlineStr"/>
      <c r="F1241" t="inlineStr"/>
      <c r="G1241" t="inlineStr">
        <is>
          <t>160</t>
        </is>
      </c>
      <c r="H1241" t="inlineStr"/>
      <c r="I1241" t="inlineStr"/>
      <c r="J1241" t="inlineStr">
        <is>
          <t>75 000 000</t>
        </is>
      </c>
      <c r="K1241" t="inlineStr"/>
      <c r="L1241" t="inlineStr"/>
      <c r="M1241" t="inlineStr">
        <is>
          <t>По адресу есть, но площадь другая</t>
        </is>
      </c>
      <c r="N1241" t="inlineStr"/>
      <c r="O1241" t="inlineStr"/>
      <c r="P1241" t="inlineStr"/>
      <c r="Q1241">
        <f>HYPERLINK("https://knru.ru/catalog/gatchinskaya-ul-d-31-33-1919600280/","ссылка")</f>
        <v/>
      </c>
      <c r="R1241" t="inlineStr"/>
      <c r="S1241" t="inlineStr"/>
    </row>
    <row r="1242">
      <c r="A1242" t="inlineStr">
        <is>
          <t>Петроградский</t>
        </is>
      </c>
      <c r="B1242" t="inlineStr">
        <is>
          <t>Гражданский пр-кт, 9 А</t>
        </is>
      </c>
      <c r="C1242" t="inlineStr">
        <is>
          <t>sale</t>
        </is>
      </c>
      <c r="D1242" t="inlineStr"/>
      <c r="E1242" t="inlineStr">
        <is>
          <t>Да</t>
        </is>
      </c>
      <c r="F1242" t="inlineStr"/>
      <c r="G1242" t="inlineStr"/>
      <c r="H1242" t="inlineStr">
        <is>
          <t>234</t>
        </is>
      </c>
      <c r="I1242" t="inlineStr"/>
      <c r="J1242" t="inlineStr"/>
      <c r="K1242" t="inlineStr">
        <is>
          <t>65 000 000</t>
        </is>
      </c>
      <c r="L1242" t="inlineStr"/>
      <c r="M1242" t="inlineStr"/>
      <c r="N1242" t="inlineStr">
        <is>
          <t>Нет у нас</t>
        </is>
      </c>
      <c r="O1242" t="inlineStr"/>
      <c r="P1242" t="inlineStr"/>
      <c r="Q1242" t="inlineStr"/>
      <c r="R1242">
        <f>HYPERLINK("https://nordwestinvest.ru/real-estates/prodaza-s-arendatorami-234-kvm-4","ссылка")</f>
        <v/>
      </c>
      <c r="S1242" t="inlineStr"/>
    </row>
    <row r="1243">
      <c r="A1243" t="inlineStr">
        <is>
          <t>Петроградский</t>
        </is>
      </c>
      <c r="B1243" t="inlineStr">
        <is>
          <t>Добролюбова пр-кт, 18а А</t>
        </is>
      </c>
      <c r="C1243" t="inlineStr">
        <is>
          <t>sale</t>
        </is>
      </c>
      <c r="D1243" t="inlineStr">
        <is>
          <t>Да</t>
        </is>
      </c>
      <c r="E1243" t="inlineStr"/>
      <c r="F1243" t="inlineStr"/>
      <c r="G1243" t="inlineStr">
        <is>
          <t>414</t>
        </is>
      </c>
      <c r="H1243" t="inlineStr"/>
      <c r="I1243" t="inlineStr"/>
      <c r="J1243" t="inlineStr">
        <is>
          <t>148 212 000</t>
        </is>
      </c>
      <c r="K1243" t="inlineStr"/>
      <c r="L1243" t="inlineStr"/>
      <c r="M1243" t="inlineStr">
        <is>
          <t>Нет у нас</t>
        </is>
      </c>
      <c r="N1243" t="inlineStr"/>
      <c r="O1243" t="inlineStr"/>
      <c r="P1243" t="inlineStr"/>
      <c r="Q1243">
        <f>HYPERLINK("https://knru.ru/catalog/ul-dobrolyubova-d-18a-1764319219/","ссылка")</f>
        <v/>
      </c>
      <c r="R1243" t="inlineStr"/>
      <c r="S1243" t="inlineStr"/>
    </row>
    <row r="1244">
      <c r="A1244" t="inlineStr">
        <is>
          <t>Петроградский</t>
        </is>
      </c>
      <c r="B1244" t="inlineStr">
        <is>
          <t>Зверинская ул, 42</t>
        </is>
      </c>
      <c r="C1244" t="inlineStr">
        <is>
          <t>sale</t>
        </is>
      </c>
      <c r="D1244" t="inlineStr">
        <is>
          <t>Да</t>
        </is>
      </c>
      <c r="E1244" t="inlineStr"/>
      <c r="F1244" t="inlineStr"/>
      <c r="G1244" t="inlineStr">
        <is>
          <t>118</t>
        </is>
      </c>
      <c r="H1244" t="inlineStr"/>
      <c r="I1244" t="inlineStr"/>
      <c r="J1244" t="inlineStr">
        <is>
          <t>16 500 000</t>
        </is>
      </c>
      <c r="K1244" t="inlineStr"/>
      <c r="L1244" t="inlineStr"/>
      <c r="M1244" t="inlineStr">
        <is>
          <t>По адресу есть, но площадь другая</t>
        </is>
      </c>
      <c r="N1244" t="inlineStr"/>
      <c r="O1244" t="inlineStr"/>
      <c r="P1244" t="inlineStr"/>
      <c r="Q1244">
        <f>HYPERLINK("https://knru.ru/catalog/zverinskaya-ul-d-42/","ссылка")</f>
        <v/>
      </c>
      <c r="R1244" t="inlineStr"/>
      <c r="S1244" t="inlineStr"/>
    </row>
    <row r="1245">
      <c r="A1245" t="inlineStr">
        <is>
          <t>Петроградский</t>
        </is>
      </c>
      <c r="B1245" t="inlineStr">
        <is>
          <t>Каменноостровский пр-кт, 11 А</t>
        </is>
      </c>
      <c r="C1245" t="inlineStr">
        <is>
          <t>sale</t>
        </is>
      </c>
      <c r="D1245" t="inlineStr">
        <is>
          <t>Да</t>
        </is>
      </c>
      <c r="E1245" t="inlineStr"/>
      <c r="F1245" t="inlineStr"/>
      <c r="G1245" t="inlineStr">
        <is>
          <t>1178</t>
        </is>
      </c>
      <c r="H1245" t="inlineStr"/>
      <c r="I1245" t="inlineStr"/>
      <c r="J1245" t="inlineStr">
        <is>
          <t>450 000 000</t>
        </is>
      </c>
      <c r="K1245" t="inlineStr"/>
      <c r="L1245" t="inlineStr"/>
      <c r="M1245" t="inlineStr">
        <is>
          <t>Нет у нас</t>
        </is>
      </c>
      <c r="N1245" t="inlineStr"/>
      <c r="O1245" t="inlineStr"/>
      <c r="P1245" t="inlineStr"/>
      <c r="Q1245">
        <f>HYPERLINK("https://knru.ru/catalog/kamennoostrovskiy-pr-kt-d-11/","ссылка")</f>
        <v/>
      </c>
      <c r="R1245" t="inlineStr"/>
      <c r="S1245" t="inlineStr"/>
    </row>
    <row r="1246">
      <c r="A1246" t="inlineStr">
        <is>
          <t>Петроградский</t>
        </is>
      </c>
      <c r="B1246" t="inlineStr">
        <is>
          <t>Константиновский пр-кт, 1/24 А</t>
        </is>
      </c>
      <c r="C1246" t="inlineStr">
        <is>
          <t>sale</t>
        </is>
      </c>
      <c r="D1246" t="inlineStr">
        <is>
          <t>Да</t>
        </is>
      </c>
      <c r="E1246" t="inlineStr"/>
      <c r="F1246" t="inlineStr"/>
      <c r="G1246" t="inlineStr">
        <is>
          <t>200</t>
        </is>
      </c>
      <c r="H1246" t="inlineStr"/>
      <c r="I1246" t="inlineStr"/>
      <c r="J1246" t="inlineStr">
        <is>
          <t>80 000 000</t>
        </is>
      </c>
      <c r="K1246" t="inlineStr"/>
      <c r="L1246" t="inlineStr"/>
      <c r="M1246" t="inlineStr">
        <is>
          <t>Нет у нас</t>
        </is>
      </c>
      <c r="N1246" t="inlineStr"/>
      <c r="O1246" t="inlineStr"/>
      <c r="P1246" t="inlineStr"/>
      <c r="Q1246">
        <f>HYPERLINK("https://knru.ru/catalog/konstantinovskiy-pr-d-1-24/","ссылка")</f>
        <v/>
      </c>
      <c r="R1246" t="inlineStr"/>
      <c r="S1246" t="inlineStr"/>
    </row>
    <row r="1247">
      <c r="A1247" t="inlineStr">
        <is>
          <t>Петроградский</t>
        </is>
      </c>
      <c r="B1247" t="inlineStr">
        <is>
          <t>Крестовский пр-кт, 15</t>
        </is>
      </c>
      <c r="C1247" t="inlineStr">
        <is>
          <t>sale</t>
        </is>
      </c>
      <c r="D1247" t="inlineStr">
        <is>
          <t>Да</t>
        </is>
      </c>
      <c r="E1247" t="inlineStr"/>
      <c r="F1247" t="inlineStr"/>
      <c r="G1247" t="inlineStr">
        <is>
          <t>220</t>
        </is>
      </c>
      <c r="H1247" t="inlineStr"/>
      <c r="I1247" t="inlineStr"/>
      <c r="J1247" t="inlineStr">
        <is>
          <t>130 000 000</t>
        </is>
      </c>
      <c r="K1247" t="inlineStr"/>
      <c r="L1247" t="inlineStr"/>
      <c r="M1247" t="inlineStr">
        <is>
          <t>Нет у нас</t>
        </is>
      </c>
      <c r="N1247" t="inlineStr"/>
      <c r="O1247" t="inlineStr"/>
      <c r="P1247" t="inlineStr"/>
      <c r="Q1247">
        <f>HYPERLINK("https://knru.ru/catalog/krestovskiy-pr-d-15/","ссылка")</f>
        <v/>
      </c>
      <c r="R1247" t="inlineStr"/>
      <c r="S1247" t="inlineStr"/>
    </row>
    <row r="1248">
      <c r="A1248" t="inlineStr">
        <is>
          <t>Петроградский</t>
        </is>
      </c>
      <c r="B1248" t="inlineStr">
        <is>
          <t>Лодейнопольская ул, 7стр1</t>
        </is>
      </c>
      <c r="C1248" t="inlineStr">
        <is>
          <t>sale</t>
        </is>
      </c>
      <c r="D1248" t="inlineStr">
        <is>
          <t>Да</t>
        </is>
      </c>
      <c r="E1248" t="inlineStr"/>
      <c r="F1248" t="inlineStr"/>
      <c r="G1248" t="inlineStr">
        <is>
          <t>85.4</t>
        </is>
      </c>
      <c r="H1248" t="inlineStr"/>
      <c r="I1248" t="inlineStr"/>
      <c r="J1248" t="inlineStr">
        <is>
          <t>32 720 758</t>
        </is>
      </c>
      <c r="K1248" t="inlineStr"/>
      <c r="L1248" t="inlineStr"/>
      <c r="M1248" t="inlineStr">
        <is>
          <t>Нет у нас</t>
        </is>
      </c>
      <c r="N1248" t="inlineStr"/>
      <c r="O1248" t="inlineStr"/>
      <c r="P1248" t="inlineStr"/>
      <c r="Q1248">
        <f>HYPERLINK("https://knru.ru/catalog/lodejnopolskaya-ul-d-7/","ссылка")</f>
        <v/>
      </c>
      <c r="R1248" t="inlineStr"/>
      <c r="S1248" t="inlineStr"/>
    </row>
    <row r="1249">
      <c r="A1249" t="inlineStr">
        <is>
          <t>Петроградский</t>
        </is>
      </c>
      <c r="B1249" t="inlineStr">
        <is>
          <t>Льва Толстого ул, 9 А</t>
        </is>
      </c>
      <c r="C1249" t="inlineStr">
        <is>
          <t>sale</t>
        </is>
      </c>
      <c r="D1249" t="inlineStr">
        <is>
          <t>Да</t>
        </is>
      </c>
      <c r="E1249" t="inlineStr"/>
      <c r="F1249" t="inlineStr"/>
      <c r="G1249" t="inlineStr">
        <is>
          <t>10080</t>
        </is>
      </c>
      <c r="H1249" t="inlineStr"/>
      <c r="I1249" t="inlineStr"/>
      <c r="J1249" t="inlineStr">
        <is>
          <t>2 016 000 000</t>
        </is>
      </c>
      <c r="K1249" t="inlineStr"/>
      <c r="L1249" t="inlineStr"/>
      <c r="M1249" t="inlineStr">
        <is>
          <t>Нет у нас</t>
        </is>
      </c>
      <c r="N1249" t="inlineStr"/>
      <c r="O1249" t="inlineStr"/>
      <c r="P1249" t="inlineStr"/>
      <c r="Q1249">
        <f>HYPERLINK("https://knru.ru/catalog/ul-lva-tolstogo-d-9-bts-tolstoj-skver/","ссылка")</f>
        <v/>
      </c>
      <c r="R1249" t="inlineStr"/>
      <c r="S1249" t="inlineStr"/>
    </row>
    <row r="1250">
      <c r="A1250" t="inlineStr">
        <is>
          <t>Петроградский</t>
        </is>
      </c>
      <c r="B1250" t="inlineStr">
        <is>
          <t>Малый П.С. пр-кт, 79-81-83</t>
        </is>
      </c>
      <c r="C1250" t="inlineStr">
        <is>
          <t>sale</t>
        </is>
      </c>
      <c r="D1250" t="inlineStr">
        <is>
          <t>Да</t>
        </is>
      </c>
      <c r="E1250" t="inlineStr"/>
      <c r="F1250" t="inlineStr"/>
      <c r="G1250" t="inlineStr">
        <is>
          <t>91.6</t>
        </is>
      </c>
      <c r="H1250" t="inlineStr"/>
      <c r="I1250" t="inlineStr"/>
      <c r="J1250" t="inlineStr">
        <is>
          <t>52 000 000</t>
        </is>
      </c>
      <c r="K1250" t="inlineStr"/>
      <c r="L1250" t="inlineStr"/>
      <c r="M1250" t="inlineStr">
        <is>
          <t>По адресу есть, но площадь другая</t>
        </is>
      </c>
      <c r="N1250" t="inlineStr"/>
      <c r="O1250" t="inlineStr"/>
      <c r="P1250" t="inlineStr"/>
      <c r="Q1250">
        <f>HYPERLINK("https://knru.ru/catalog/malyy-pr-79-81-83/","ссылка")</f>
        <v/>
      </c>
      <c r="R1250" t="inlineStr"/>
      <c r="S1250" t="inlineStr"/>
    </row>
    <row r="1251">
      <c r="A1251" t="inlineStr">
        <is>
          <t>Петроградский</t>
        </is>
      </c>
      <c r="B1251" t="inlineStr">
        <is>
          <t>Петровская коса, 6к1</t>
        </is>
      </c>
      <c r="C1251" t="inlineStr">
        <is>
          <t>sale</t>
        </is>
      </c>
      <c r="D1251" t="inlineStr">
        <is>
          <t>Да</t>
        </is>
      </c>
      <c r="E1251" t="inlineStr"/>
      <c r="F1251" t="inlineStr"/>
      <c r="G1251" t="inlineStr">
        <is>
          <t>180.5</t>
        </is>
      </c>
      <c r="H1251" t="inlineStr"/>
      <c r="I1251" t="inlineStr"/>
      <c r="J1251" t="inlineStr">
        <is>
          <t>53 496 090</t>
        </is>
      </c>
      <c r="K1251" t="inlineStr"/>
      <c r="L1251" t="inlineStr"/>
      <c r="M1251" t="inlineStr">
        <is>
          <t>По адресу есть, но площадь другая</t>
        </is>
      </c>
      <c r="N1251" t="inlineStr"/>
      <c r="O1251" t="inlineStr"/>
      <c r="P1251" t="inlineStr"/>
      <c r="Q1251">
        <f>HYPERLINK("https://knru.ru/catalog/petrovskaya-kosa-d-6-k-1/","ссылка")</f>
        <v/>
      </c>
      <c r="R1251" t="inlineStr"/>
      <c r="S1251" t="inlineStr"/>
    </row>
    <row r="1252">
      <c r="A1252" t="inlineStr">
        <is>
          <t>Петроградский</t>
        </is>
      </c>
      <c r="B1252" t="inlineStr">
        <is>
          <t>Профессора Попова ул, 38</t>
        </is>
      </c>
      <c r="C1252" t="inlineStr">
        <is>
          <t>sale</t>
        </is>
      </c>
      <c r="D1252" t="inlineStr">
        <is>
          <t>Да</t>
        </is>
      </c>
      <c r="E1252" t="inlineStr"/>
      <c r="F1252" t="inlineStr"/>
      <c r="G1252" t="inlineStr">
        <is>
          <t>5992</t>
        </is>
      </c>
      <c r="H1252" t="inlineStr"/>
      <c r="I1252" t="inlineStr"/>
      <c r="J1252" t="inlineStr">
        <is>
          <t>2 454 409 000</t>
        </is>
      </c>
      <c r="K1252" t="inlineStr"/>
      <c r="L1252" t="inlineStr"/>
      <c r="M1252" t="inlineStr">
        <is>
          <t>По адресу есть, но площадь другая</t>
        </is>
      </c>
      <c r="N1252" t="inlineStr"/>
      <c r="O1252" t="inlineStr"/>
      <c r="P1252" t="inlineStr"/>
      <c r="Q1252">
        <f>HYPERLINK("https://knru.ru/catalog/professora-popova-ul-38/","ссылка")</f>
        <v/>
      </c>
      <c r="R1252" t="inlineStr"/>
      <c r="S1252" t="inlineStr"/>
    </row>
    <row r="1253">
      <c r="A1253" t="inlineStr">
        <is>
          <t>Петроградский</t>
        </is>
      </c>
      <c r="B1253" t="inlineStr">
        <is>
          <t>Профессора Попова ул, 47к1</t>
        </is>
      </c>
      <c r="C1253" t="inlineStr">
        <is>
          <t>sale</t>
        </is>
      </c>
      <c r="D1253" t="inlineStr">
        <is>
          <t>Да</t>
        </is>
      </c>
      <c r="E1253" t="inlineStr"/>
      <c r="F1253" t="inlineStr"/>
      <c r="G1253" t="inlineStr">
        <is>
          <t>115.8</t>
        </is>
      </c>
      <c r="H1253" t="inlineStr"/>
      <c r="I1253" t="inlineStr"/>
      <c r="J1253" t="inlineStr">
        <is>
          <t>100 801 984</t>
        </is>
      </c>
      <c r="K1253" t="inlineStr"/>
      <c r="L1253" t="inlineStr"/>
      <c r="M1253" t="inlineStr">
        <is>
          <t>По адресу есть, но площадь другая</t>
        </is>
      </c>
      <c r="N1253" t="inlineStr"/>
      <c r="O1253" t="inlineStr"/>
      <c r="P1253" t="inlineStr"/>
      <c r="Q1253">
        <f>HYPERLINK("https://knru.ru/catalog/professora-popova-ul-47k1/","ссылка")</f>
        <v/>
      </c>
      <c r="R1253" t="inlineStr"/>
      <c r="S1253" t="inlineStr"/>
    </row>
    <row r="1254">
      <c r="A1254" t="inlineStr">
        <is>
          <t>Петроградский</t>
        </is>
      </c>
      <c r="B1254" t="inlineStr">
        <is>
          <t>Профессора Попова ул, 47к2</t>
        </is>
      </c>
      <c r="C1254" t="inlineStr">
        <is>
          <t>sale</t>
        </is>
      </c>
      <c r="D1254" t="inlineStr">
        <is>
          <t>Да</t>
        </is>
      </c>
      <c r="E1254" t="inlineStr"/>
      <c r="F1254" t="inlineStr"/>
      <c r="G1254" t="inlineStr">
        <is>
          <t>84.4</t>
        </is>
      </c>
      <c r="H1254" t="inlineStr"/>
      <c r="I1254" t="inlineStr"/>
      <c r="J1254" t="inlineStr">
        <is>
          <t>50 978 351</t>
        </is>
      </c>
      <c r="K1254" t="inlineStr"/>
      <c r="L1254" t="inlineStr"/>
      <c r="M1254" t="inlineStr">
        <is>
          <t>По адресу есть, но площадь другая</t>
        </is>
      </c>
      <c r="N1254" t="inlineStr"/>
      <c r="O1254" t="inlineStr"/>
      <c r="P1254" t="inlineStr"/>
      <c r="Q1254">
        <f>HYPERLINK("https://knru.ru/catalog/professora-popova-ul-47k2-1056353155/","ссылка")</f>
        <v/>
      </c>
      <c r="R1254" t="inlineStr"/>
      <c r="S1254" t="inlineStr"/>
    </row>
    <row r="1255">
      <c r="A1255" t="inlineStr">
        <is>
          <t>Петроградский</t>
        </is>
      </c>
      <c r="B1255" t="inlineStr">
        <is>
          <t>Профессора Попова ул, 47к2</t>
        </is>
      </c>
      <c r="C1255" t="inlineStr">
        <is>
          <t>sale</t>
        </is>
      </c>
      <c r="D1255" t="inlineStr">
        <is>
          <t>Да</t>
        </is>
      </c>
      <c r="E1255" t="inlineStr"/>
      <c r="F1255" t="inlineStr"/>
      <c r="G1255" t="inlineStr">
        <is>
          <t>118.8</t>
        </is>
      </c>
      <c r="H1255" t="inlineStr"/>
      <c r="I1255" t="inlineStr"/>
      <c r="J1255" t="inlineStr">
        <is>
          <t>100 247 715</t>
        </is>
      </c>
      <c r="K1255" t="inlineStr"/>
      <c r="L1255" t="inlineStr"/>
      <c r="M1255" t="inlineStr">
        <is>
          <t>По адресу есть, но площадь другая</t>
        </is>
      </c>
      <c r="N1255" t="inlineStr"/>
      <c r="O1255" t="inlineStr"/>
      <c r="P1255" t="inlineStr"/>
      <c r="Q1255">
        <f>HYPERLINK("https://knru.ru/catalog/professora-popova-ul-47k2/","ссылка")</f>
        <v/>
      </c>
      <c r="R1255" t="inlineStr"/>
      <c r="S1255" t="inlineStr"/>
    </row>
    <row r="1256">
      <c r="A1256" t="inlineStr">
        <is>
          <t>Петроградский</t>
        </is>
      </c>
      <c r="B1256" t="inlineStr">
        <is>
          <t>Профессора Попова ул, 47к3</t>
        </is>
      </c>
      <c r="C1256" t="inlineStr">
        <is>
          <t>sale</t>
        </is>
      </c>
      <c r="D1256" t="inlineStr">
        <is>
          <t>Да</t>
        </is>
      </c>
      <c r="E1256" t="inlineStr"/>
      <c r="F1256" t="inlineStr"/>
      <c r="G1256" t="inlineStr">
        <is>
          <t>81.8</t>
        </is>
      </c>
      <c r="H1256" t="inlineStr"/>
      <c r="I1256" t="inlineStr"/>
      <c r="J1256" t="inlineStr">
        <is>
          <t>56 173 128</t>
        </is>
      </c>
      <c r="K1256" t="inlineStr"/>
      <c r="L1256" t="inlineStr"/>
      <c r="M1256" t="inlineStr">
        <is>
          <t>По адресу есть, но площадь другая</t>
        </is>
      </c>
      <c r="N1256" t="inlineStr"/>
      <c r="O1256" t="inlineStr"/>
      <c r="P1256" t="inlineStr"/>
      <c r="Q1256">
        <f>HYPERLINK("https://knru.ru/catalog/professora-popova-ul-47k3/","ссылка")</f>
        <v/>
      </c>
      <c r="R1256" t="inlineStr"/>
      <c r="S1256" t="inlineStr"/>
    </row>
    <row r="1257">
      <c r="A1257" t="inlineStr">
        <is>
          <t>Петроградский</t>
        </is>
      </c>
      <c r="B1257" t="inlineStr">
        <is>
          <t>Профессора Попова ул, 47к6</t>
        </is>
      </c>
      <c r="C1257" t="inlineStr">
        <is>
          <t>sale</t>
        </is>
      </c>
      <c r="D1257" t="inlineStr">
        <is>
          <t>Да</t>
        </is>
      </c>
      <c r="E1257" t="inlineStr"/>
      <c r="F1257" t="inlineStr"/>
      <c r="G1257" t="inlineStr">
        <is>
          <t>73.4</t>
        </is>
      </c>
      <c r="H1257" t="inlineStr"/>
      <c r="I1257" t="inlineStr"/>
      <c r="J1257" t="inlineStr">
        <is>
          <t>41 090 819</t>
        </is>
      </c>
      <c r="K1257" t="inlineStr"/>
      <c r="L1257" t="inlineStr"/>
      <c r="M1257" t="inlineStr">
        <is>
          <t>По адресу есть, но площадь другая</t>
        </is>
      </c>
      <c r="N1257" t="inlineStr"/>
      <c r="O1257" t="inlineStr"/>
      <c r="P1257" t="inlineStr"/>
      <c r="Q1257">
        <f>HYPERLINK("https://knru.ru/catalog/professora-popova-ul-47k6/","ссылка")</f>
        <v/>
      </c>
      <c r="R1257" t="inlineStr"/>
      <c r="S1257" t="inlineStr"/>
    </row>
    <row r="1258">
      <c r="A1258" t="inlineStr">
        <is>
          <t>Петроградский</t>
        </is>
      </c>
      <c r="B1258" t="inlineStr">
        <is>
          <t>Профессора Попова ул, 47к7</t>
        </is>
      </c>
      <c r="C1258" t="inlineStr">
        <is>
          <t>sale</t>
        </is>
      </c>
      <c r="D1258" t="inlineStr">
        <is>
          <t>Да</t>
        </is>
      </c>
      <c r="E1258" t="inlineStr"/>
      <c r="F1258" t="inlineStr"/>
      <c r="G1258" t="inlineStr">
        <is>
          <t>86.1</t>
        </is>
      </c>
      <c r="H1258" t="inlineStr"/>
      <c r="I1258" t="inlineStr"/>
      <c r="J1258" t="inlineStr">
        <is>
          <t>75 713 406</t>
        </is>
      </c>
      <c r="K1258" t="inlineStr"/>
      <c r="L1258" t="inlineStr"/>
      <c r="M1258" t="inlineStr">
        <is>
          <t>По адресу есть, но площадь другая</t>
        </is>
      </c>
      <c r="N1258" t="inlineStr"/>
      <c r="O1258" t="inlineStr"/>
      <c r="P1258" t="inlineStr"/>
      <c r="Q1258">
        <f>HYPERLINK("https://knru.ru/catalog/professora-popova-ul-47k7-52100754/","ссылка")</f>
        <v/>
      </c>
      <c r="R1258" t="inlineStr"/>
      <c r="S1258" t="inlineStr"/>
    </row>
    <row r="1259">
      <c r="A1259" t="inlineStr">
        <is>
          <t>Петроградский</t>
        </is>
      </c>
      <c r="B1259" t="inlineStr">
        <is>
          <t>Профессора Попова ул, 47к7</t>
        </is>
      </c>
      <c r="C1259" t="inlineStr">
        <is>
          <t>sale</t>
        </is>
      </c>
      <c r="D1259" t="inlineStr">
        <is>
          <t>Да</t>
        </is>
      </c>
      <c r="E1259" t="inlineStr"/>
      <c r="F1259" t="inlineStr"/>
      <c r="G1259" t="inlineStr">
        <is>
          <t>124.8</t>
        </is>
      </c>
      <c r="H1259" t="inlineStr"/>
      <c r="I1259" t="inlineStr"/>
      <c r="J1259" t="inlineStr">
        <is>
          <t>108 636 334</t>
        </is>
      </c>
      <c r="K1259" t="inlineStr"/>
      <c r="L1259" t="inlineStr"/>
      <c r="M1259" t="inlineStr">
        <is>
          <t>По адресу есть, но площадь другая</t>
        </is>
      </c>
      <c r="N1259" t="inlineStr"/>
      <c r="O1259" t="inlineStr"/>
      <c r="P1259" t="inlineStr"/>
      <c r="Q1259">
        <f>HYPERLINK("https://knru.ru/catalog/professora-popova-ul-47k7/","ссылка")</f>
        <v/>
      </c>
      <c r="R1259" t="inlineStr"/>
      <c r="S1259" t="inlineStr"/>
    </row>
    <row r="1260">
      <c r="A1260" t="inlineStr">
        <is>
          <t>Петроградский</t>
        </is>
      </c>
      <c r="B1260" t="inlineStr">
        <is>
          <t>реки Карповки наб, 27А</t>
        </is>
      </c>
      <c r="C1260" t="inlineStr">
        <is>
          <t>sale</t>
        </is>
      </c>
      <c r="D1260" t="inlineStr">
        <is>
          <t>Да</t>
        </is>
      </c>
      <c r="E1260" t="inlineStr"/>
      <c r="F1260" t="inlineStr"/>
      <c r="G1260" t="inlineStr">
        <is>
          <t>1300</t>
        </is>
      </c>
      <c r="H1260" t="inlineStr"/>
      <c r="I1260" t="inlineStr"/>
      <c r="J1260" t="inlineStr">
        <is>
          <t>650 000 000</t>
        </is>
      </c>
      <c r="K1260" t="inlineStr"/>
      <c r="L1260" t="inlineStr"/>
      <c r="M1260" t="inlineStr">
        <is>
          <t>Нет у нас</t>
        </is>
      </c>
      <c r="N1260" t="inlineStr"/>
      <c r="O1260" t="inlineStr"/>
      <c r="P1260" t="inlineStr"/>
      <c r="Q1260">
        <f>HYPERLINK("https://knru.ru/catalog/sankt-peterburg-nab-reki-karpovki-27-609964991/","ссылка")</f>
        <v/>
      </c>
      <c r="R1260" t="inlineStr"/>
      <c r="S1260" t="inlineStr"/>
    </row>
    <row r="1261">
      <c r="A1261" t="inlineStr">
        <is>
          <t>Петроградский</t>
        </is>
      </c>
      <c r="B1261" t="inlineStr">
        <is>
          <t>реки Карповки наб, 27А</t>
        </is>
      </c>
      <c r="C1261" t="inlineStr">
        <is>
          <t>sale</t>
        </is>
      </c>
      <c r="D1261" t="inlineStr">
        <is>
          <t>Да</t>
        </is>
      </c>
      <c r="E1261" t="inlineStr"/>
      <c r="F1261" t="inlineStr"/>
      <c r="G1261" t="inlineStr">
        <is>
          <t>147</t>
        </is>
      </c>
      <c r="H1261" t="inlineStr"/>
      <c r="I1261" t="inlineStr"/>
      <c r="J1261" t="inlineStr">
        <is>
          <t>73 500 000</t>
        </is>
      </c>
      <c r="K1261" t="inlineStr"/>
      <c r="L1261" t="inlineStr"/>
      <c r="M1261" t="inlineStr">
        <is>
          <t>Нет у нас</t>
        </is>
      </c>
      <c r="N1261" t="inlineStr"/>
      <c r="O1261" t="inlineStr"/>
      <c r="P1261" t="inlineStr"/>
      <c r="Q1261">
        <f>HYPERLINK("https://knru.ru/catalog/sankt-peterburg-nab-reki-karpovki-27-1002384166/","ссылка")</f>
        <v/>
      </c>
      <c r="R1261" t="inlineStr"/>
      <c r="S1261" t="inlineStr"/>
    </row>
    <row r="1262">
      <c r="A1262" t="inlineStr">
        <is>
          <t>Петроградский</t>
        </is>
      </c>
      <c r="B1262" t="inlineStr">
        <is>
          <t>реки Карповки наб, 27А</t>
        </is>
      </c>
      <c r="C1262" t="inlineStr">
        <is>
          <t>sale</t>
        </is>
      </c>
      <c r="D1262" t="inlineStr">
        <is>
          <t>Да</t>
        </is>
      </c>
      <c r="E1262" t="inlineStr"/>
      <c r="F1262" t="inlineStr"/>
      <c r="G1262" t="inlineStr">
        <is>
          <t>987</t>
        </is>
      </c>
      <c r="H1262" t="inlineStr"/>
      <c r="I1262" t="inlineStr"/>
      <c r="J1262" t="inlineStr">
        <is>
          <t>481 800 000</t>
        </is>
      </c>
      <c r="K1262" t="inlineStr"/>
      <c r="L1262" t="inlineStr"/>
      <c r="M1262" t="inlineStr">
        <is>
          <t>Нет у нас</t>
        </is>
      </c>
      <c r="N1262" t="inlineStr"/>
      <c r="O1262" t="inlineStr"/>
      <c r="P1262" t="inlineStr"/>
      <c r="Q1262">
        <f>HYPERLINK("https://knru.ru/catalog/sankt-peterburg-nab-reki-karpovki-27-529607626/","ссылка")</f>
        <v/>
      </c>
      <c r="R1262" t="inlineStr"/>
      <c r="S1262" t="inlineStr"/>
    </row>
    <row r="1263">
      <c r="A1263" t="inlineStr">
        <is>
          <t>Петроградский</t>
        </is>
      </c>
      <c r="B1263" t="inlineStr">
        <is>
          <t>Реки Карповки наб, 31</t>
        </is>
      </c>
      <c r="C1263" t="inlineStr">
        <is>
          <t>sale</t>
        </is>
      </c>
      <c r="D1263" t="inlineStr">
        <is>
          <t>Да</t>
        </is>
      </c>
      <c r="E1263" t="inlineStr"/>
      <c r="F1263" t="inlineStr"/>
      <c r="G1263" t="inlineStr">
        <is>
          <t>305.6</t>
        </is>
      </c>
      <c r="H1263" t="inlineStr"/>
      <c r="I1263" t="inlineStr"/>
      <c r="J1263" t="inlineStr">
        <is>
          <t>110 016 000</t>
        </is>
      </c>
      <c r="K1263" t="inlineStr"/>
      <c r="L1263" t="inlineStr"/>
      <c r="M1263" t="inlineStr">
        <is>
          <t>Нет у нас</t>
        </is>
      </c>
      <c r="N1263" t="inlineStr"/>
      <c r="O1263" t="inlineStr"/>
      <c r="P1263" t="inlineStr"/>
      <c r="Q1263">
        <f>HYPERLINK("https://knru.ru/catalog/nab-reki-karpovki-d-31-1731214469/","ссылка")</f>
        <v/>
      </c>
      <c r="R1263" t="inlineStr"/>
      <c r="S1263" t="inlineStr"/>
    </row>
    <row r="1264">
      <c r="A1264" t="inlineStr">
        <is>
          <t>Петроградский</t>
        </is>
      </c>
      <c r="B1264" t="inlineStr">
        <is>
          <t>Реки Карповки наб, 31</t>
        </is>
      </c>
      <c r="C1264" t="inlineStr">
        <is>
          <t>sale</t>
        </is>
      </c>
      <c r="D1264" t="inlineStr">
        <is>
          <t>Да</t>
        </is>
      </c>
      <c r="E1264" t="inlineStr"/>
      <c r="F1264" t="inlineStr"/>
      <c r="G1264" t="inlineStr">
        <is>
          <t>172.1</t>
        </is>
      </c>
      <c r="H1264" t="inlineStr"/>
      <c r="I1264" t="inlineStr"/>
      <c r="J1264" t="inlineStr">
        <is>
          <t>63 677 000</t>
        </is>
      </c>
      <c r="K1264" t="inlineStr"/>
      <c r="L1264" t="inlineStr"/>
      <c r="M1264" t="inlineStr">
        <is>
          <t>Нет у нас</t>
        </is>
      </c>
      <c r="N1264" t="inlineStr"/>
      <c r="O1264" t="inlineStr"/>
      <c r="P1264" t="inlineStr"/>
      <c r="Q1264">
        <f>HYPERLINK("https://knru.ru/catalog/nab-reki-karpovki-d-31-812113528/","ссылка")</f>
        <v/>
      </c>
      <c r="R1264" t="inlineStr"/>
      <c r="S1264" t="inlineStr"/>
    </row>
    <row r="1265">
      <c r="A1265" t="inlineStr">
        <is>
          <t>Петроградский</t>
        </is>
      </c>
      <c r="B1265" t="inlineStr">
        <is>
          <t>Реки Карповки наб, 31</t>
        </is>
      </c>
      <c r="C1265" t="inlineStr">
        <is>
          <t>sale</t>
        </is>
      </c>
      <c r="D1265" t="inlineStr">
        <is>
          <t>Да</t>
        </is>
      </c>
      <c r="E1265" t="inlineStr"/>
      <c r="F1265" t="inlineStr"/>
      <c r="G1265" t="inlineStr">
        <is>
          <t>160</t>
        </is>
      </c>
      <c r="H1265" t="inlineStr"/>
      <c r="I1265" t="inlineStr"/>
      <c r="J1265" t="inlineStr">
        <is>
          <t>59 200 000</t>
        </is>
      </c>
      <c r="K1265" t="inlineStr"/>
      <c r="L1265" t="inlineStr"/>
      <c r="M1265" t="inlineStr">
        <is>
          <t>Нет у нас</t>
        </is>
      </c>
      <c r="N1265" t="inlineStr"/>
      <c r="O1265" t="inlineStr"/>
      <c r="P1265" t="inlineStr"/>
      <c r="Q1265">
        <f>HYPERLINK("https://knru.ru/catalog/nab-reki-karpovki-d-31-1420508353/","ссылка")</f>
        <v/>
      </c>
      <c r="R1265" t="inlineStr"/>
      <c r="S1265" t="inlineStr"/>
    </row>
    <row r="1266">
      <c r="A1266" t="inlineStr">
        <is>
          <t>Петроградский</t>
        </is>
      </c>
      <c r="B1266" t="inlineStr">
        <is>
          <t>Реки Карповки наб, 31</t>
        </is>
      </c>
      <c r="C1266" t="inlineStr">
        <is>
          <t>sale</t>
        </is>
      </c>
      <c r="D1266" t="inlineStr">
        <is>
          <t>Да</t>
        </is>
      </c>
      <c r="E1266" t="inlineStr"/>
      <c r="F1266" t="inlineStr"/>
      <c r="G1266" t="inlineStr">
        <is>
          <t>1186</t>
        </is>
      </c>
      <c r="H1266" t="inlineStr"/>
      <c r="I1266" t="inlineStr"/>
      <c r="J1266" t="inlineStr">
        <is>
          <t>446 770 000</t>
        </is>
      </c>
      <c r="K1266" t="inlineStr"/>
      <c r="L1266" t="inlineStr"/>
      <c r="M1266" t="inlineStr">
        <is>
          <t>Нет у нас</t>
        </is>
      </c>
      <c r="N1266" t="inlineStr"/>
      <c r="O1266" t="inlineStr"/>
      <c r="P1266" t="inlineStr"/>
      <c r="Q1266">
        <f>HYPERLINK("https://knru.ru/catalog/nab-reki-karpovki-d-31/","ссылка")</f>
        <v/>
      </c>
      <c r="R1266" t="inlineStr"/>
      <c r="S1266" t="inlineStr"/>
    </row>
    <row r="1267">
      <c r="A1267" t="inlineStr">
        <is>
          <t>Петроградский</t>
        </is>
      </c>
      <c r="B1267" t="inlineStr">
        <is>
          <t>Реки Малой Невки наб, 33а</t>
        </is>
      </c>
      <c r="C1267" t="inlineStr">
        <is>
          <t>sale</t>
        </is>
      </c>
      <c r="D1267" t="inlineStr">
        <is>
          <t>Да</t>
        </is>
      </c>
      <c r="E1267" t="inlineStr"/>
      <c r="F1267" t="inlineStr"/>
      <c r="G1267" t="inlineStr">
        <is>
          <t>1465.5</t>
        </is>
      </c>
      <c r="H1267" t="inlineStr"/>
      <c r="I1267" t="inlineStr"/>
      <c r="J1267" t="inlineStr">
        <is>
          <t>600 000 000</t>
        </is>
      </c>
      <c r="K1267" t="inlineStr"/>
      <c r="L1267" t="inlineStr"/>
      <c r="M1267" t="inlineStr">
        <is>
          <t>Нет у нас</t>
        </is>
      </c>
      <c r="N1267" t="inlineStr"/>
      <c r="O1267" t="inlineStr"/>
      <c r="P1267" t="inlineStr"/>
      <c r="Q1267">
        <f>HYPERLINK("https://knru.ru/catalog/reki-maloy-nevki-nab-33a/","ссылка")</f>
        <v/>
      </c>
      <c r="R1267" t="inlineStr"/>
      <c r="S1267" t="inlineStr"/>
    </row>
    <row r="1268">
      <c r="A1268" t="inlineStr">
        <is>
          <t>Петроградский</t>
        </is>
      </c>
      <c r="B1268" t="inlineStr">
        <is>
          <t>Ремесленная ул, 15</t>
        </is>
      </c>
      <c r="C1268" t="inlineStr">
        <is>
          <t>sale</t>
        </is>
      </c>
      <c r="D1268" t="inlineStr">
        <is>
          <t>Да</t>
        </is>
      </c>
      <c r="E1268" t="inlineStr"/>
      <c r="F1268" t="inlineStr"/>
      <c r="G1268" t="inlineStr">
        <is>
          <t>1322</t>
        </is>
      </c>
      <c r="H1268" t="inlineStr"/>
      <c r="I1268" t="inlineStr"/>
      <c r="J1268" t="inlineStr">
        <is>
          <t>132 210 000</t>
        </is>
      </c>
      <c r="K1268" t="inlineStr"/>
      <c r="L1268" t="inlineStr"/>
      <c r="M1268" t="inlineStr">
        <is>
          <t>Нет у нас</t>
        </is>
      </c>
      <c r="N1268" t="inlineStr"/>
      <c r="O1268" t="inlineStr"/>
      <c r="P1268" t="inlineStr"/>
      <c r="Q1268">
        <f>HYPERLINK("https://knru.ru/catalog/ul-remeslennaya-d-15str1-956244200/","ссылка")</f>
        <v/>
      </c>
      <c r="R1268" t="inlineStr"/>
      <c r="S1268" t="inlineStr"/>
    </row>
    <row r="1269">
      <c r="A1269" t="inlineStr">
        <is>
          <t>Петроградский</t>
        </is>
      </c>
      <c r="B1269" t="inlineStr">
        <is>
          <t>Рентгена ул, 25</t>
        </is>
      </c>
      <c r="C1269" t="inlineStr">
        <is>
          <t>sale</t>
        </is>
      </c>
      <c r="D1269" t="inlineStr">
        <is>
          <t>Да</t>
        </is>
      </c>
      <c r="E1269" t="inlineStr"/>
      <c r="F1269" t="inlineStr"/>
      <c r="G1269" t="inlineStr">
        <is>
          <t>327</t>
        </is>
      </c>
      <c r="H1269" t="inlineStr"/>
      <c r="I1269" t="inlineStr"/>
      <c r="J1269" t="inlineStr">
        <is>
          <t>115 000 000</t>
        </is>
      </c>
      <c r="K1269" t="inlineStr"/>
      <c r="L1269" t="inlineStr"/>
      <c r="M1269" t="inlineStr">
        <is>
          <t>Нет у нас</t>
        </is>
      </c>
      <c r="N1269" t="inlineStr"/>
      <c r="O1269" t="inlineStr"/>
      <c r="P1269" t="inlineStr"/>
      <c r="Q1269">
        <f>HYPERLINK("https://knru.ru/catalog/rentgena-ul-d-25-547140/","ссылка")</f>
        <v/>
      </c>
      <c r="R1269" t="inlineStr"/>
      <c r="S1269" t="inlineStr"/>
    </row>
    <row r="1270">
      <c r="A1270" t="inlineStr">
        <is>
          <t>Петроградский</t>
        </is>
      </c>
      <c r="B1270" t="inlineStr">
        <is>
          <t>Рентгена ул, 25стр1</t>
        </is>
      </c>
      <c r="C1270" t="inlineStr">
        <is>
          <t>sale</t>
        </is>
      </c>
      <c r="D1270" t="inlineStr">
        <is>
          <t>Да</t>
        </is>
      </c>
      <c r="E1270" t="inlineStr"/>
      <c r="F1270" t="inlineStr"/>
      <c r="G1270" t="inlineStr">
        <is>
          <t>327</t>
        </is>
      </c>
      <c r="H1270" t="inlineStr"/>
      <c r="I1270" t="inlineStr"/>
      <c r="J1270" t="inlineStr">
        <is>
          <t>115 000 000</t>
        </is>
      </c>
      <c r="K1270" t="inlineStr"/>
      <c r="L1270" t="inlineStr"/>
      <c r="M1270" t="inlineStr">
        <is>
          <t>Нет у нас</t>
        </is>
      </c>
      <c r="N1270" t="inlineStr"/>
      <c r="O1270" t="inlineStr"/>
      <c r="P1270" t="inlineStr"/>
      <c r="Q1270">
        <f>HYPERLINK("https://knru.ru/catalog/rentgena-ul-d-25-1144211576/","ссылка")</f>
        <v/>
      </c>
      <c r="R1270" t="inlineStr"/>
      <c r="S1270" t="inlineStr"/>
    </row>
    <row r="1271">
      <c r="A1271" t="inlineStr">
        <is>
          <t>Петроградский</t>
        </is>
      </c>
      <c r="B1271" t="inlineStr">
        <is>
          <t>Чапаева ул, 17к2 стр 1</t>
        </is>
      </c>
      <c r="C1271" t="inlineStr">
        <is>
          <t>sale</t>
        </is>
      </c>
      <c r="D1271" t="inlineStr">
        <is>
          <t>Да</t>
        </is>
      </c>
      <c r="E1271" t="inlineStr"/>
      <c r="F1271" t="inlineStr"/>
      <c r="G1271" t="inlineStr">
        <is>
          <t>121</t>
        </is>
      </c>
      <c r="H1271" t="inlineStr"/>
      <c r="I1271" t="inlineStr"/>
      <c r="J1271" t="inlineStr">
        <is>
          <t>51 987 000</t>
        </is>
      </c>
      <c r="K1271" t="inlineStr"/>
      <c r="L1271" t="inlineStr"/>
      <c r="M1271" t="inlineStr">
        <is>
          <t>Совпало</t>
        </is>
      </c>
      <c r="N1271" t="inlineStr"/>
      <c r="O1271" t="inlineStr"/>
      <c r="P1271" t="inlineStr"/>
      <c r="Q1271">
        <f>HYPERLINK("https://knru.ru/catalog/ul-chapaeva-d-17k2/","ссылка")</f>
        <v/>
      </c>
      <c r="R1271" t="inlineStr"/>
      <c r="S1271" t="inlineStr"/>
    </row>
    <row r="1272">
      <c r="A1272" t="inlineStr">
        <is>
          <t>Петродворцовый</t>
        </is>
      </c>
      <c r="B1272" t="inlineStr">
        <is>
          <t>Буденного пр., д. 24 к 2 стр 1</t>
        </is>
      </c>
      <c r="C1272" t="inlineStr">
        <is>
          <t>sale</t>
        </is>
      </c>
      <c r="D1272" t="inlineStr">
        <is>
          <t>Да</t>
        </is>
      </c>
      <c r="E1272" t="inlineStr"/>
      <c r="F1272" t="inlineStr"/>
      <c r="G1272" t="inlineStr">
        <is>
          <t>70.4</t>
        </is>
      </c>
      <c r="H1272" t="inlineStr"/>
      <c r="I1272" t="inlineStr"/>
      <c r="J1272" t="inlineStr">
        <is>
          <t>21 045 000</t>
        </is>
      </c>
      <c r="K1272" t="inlineStr"/>
      <c r="L1272" t="inlineStr"/>
      <c r="M1272" t="inlineStr">
        <is>
          <t>Нет у нас</t>
        </is>
      </c>
      <c r="N1272" t="inlineStr"/>
      <c r="O1272" t="inlineStr"/>
      <c r="P1272" t="inlineStr"/>
      <c r="Q1272">
        <f>HYPERLINK("https://knru.ru/catalog/budennogo-pr-d-24-k-2-str-1-1707299203/","ссылка")</f>
        <v/>
      </c>
      <c r="R1272" t="inlineStr"/>
      <c r="S1272" t="inlineStr"/>
    </row>
    <row r="1273">
      <c r="A1273" t="inlineStr">
        <is>
          <t>Петродворцовый</t>
        </is>
      </c>
      <c r="B1273" t="inlineStr">
        <is>
          <t>Буденного пр., д. 24 к 2 стр 1</t>
        </is>
      </c>
      <c r="C1273" t="inlineStr">
        <is>
          <t>sale</t>
        </is>
      </c>
      <c r="D1273" t="inlineStr">
        <is>
          <t>Да</t>
        </is>
      </c>
      <c r="E1273" t="inlineStr"/>
      <c r="F1273" t="inlineStr"/>
      <c r="G1273" t="inlineStr">
        <is>
          <t>100.5</t>
        </is>
      </c>
      <c r="H1273" t="inlineStr"/>
      <c r="I1273" t="inlineStr"/>
      <c r="J1273" t="inlineStr">
        <is>
          <t>26 989 200</t>
        </is>
      </c>
      <c r="K1273" t="inlineStr"/>
      <c r="L1273" t="inlineStr"/>
      <c r="M1273" t="inlineStr">
        <is>
          <t>Нет у нас</t>
        </is>
      </c>
      <c r="N1273" t="inlineStr"/>
      <c r="O1273" t="inlineStr"/>
      <c r="P1273" t="inlineStr"/>
      <c r="Q1273">
        <f>HYPERLINK("https://knru.ru/catalog/budennogo-pr-d-24-k-2-str-1-1720258633/","ссылка")</f>
        <v/>
      </c>
      <c r="R1273" t="inlineStr"/>
      <c r="S1273" t="inlineStr"/>
    </row>
    <row r="1274">
      <c r="A1274" t="inlineStr">
        <is>
          <t>Петродворцовый</t>
        </is>
      </c>
      <c r="B1274" t="inlineStr">
        <is>
          <t>Буденного пр., д. 24 к 2 стр 1</t>
        </is>
      </c>
      <c r="C1274" t="inlineStr">
        <is>
          <t>sale</t>
        </is>
      </c>
      <c r="D1274" t="inlineStr">
        <is>
          <t>Да</t>
        </is>
      </c>
      <c r="E1274" t="inlineStr"/>
      <c r="F1274" t="inlineStr"/>
      <c r="G1274" t="inlineStr">
        <is>
          <t>57</t>
        </is>
      </c>
      <c r="H1274" t="inlineStr"/>
      <c r="I1274" t="inlineStr"/>
      <c r="J1274" t="inlineStr">
        <is>
          <t>18 089 600</t>
        </is>
      </c>
      <c r="K1274" t="inlineStr"/>
      <c r="L1274" t="inlineStr"/>
      <c r="M1274" t="inlineStr">
        <is>
          <t>Нет у нас</t>
        </is>
      </c>
      <c r="N1274" t="inlineStr"/>
      <c r="O1274" t="inlineStr"/>
      <c r="P1274" t="inlineStr"/>
      <c r="Q1274">
        <f>HYPERLINK("https://knru.ru/catalog/budennogo-pr-d-24-k-2-str-1/","ссылка")</f>
        <v/>
      </c>
      <c r="R1274" t="inlineStr"/>
      <c r="S1274" t="inlineStr"/>
    </row>
    <row r="1275">
      <c r="A1275" t="inlineStr">
        <is>
          <t>Петродворцовый</t>
        </is>
      </c>
      <c r="B1275" t="inlineStr">
        <is>
          <t>Буденного пр., д. 24 к 3 стр 1</t>
        </is>
      </c>
      <c r="C1275" t="inlineStr">
        <is>
          <t>sale</t>
        </is>
      </c>
      <c r="D1275" t="inlineStr">
        <is>
          <t>Да</t>
        </is>
      </c>
      <c r="E1275" t="inlineStr"/>
      <c r="F1275" t="inlineStr"/>
      <c r="G1275" t="inlineStr">
        <is>
          <t>54.9</t>
        </is>
      </c>
      <c r="H1275" t="inlineStr"/>
      <c r="I1275" t="inlineStr"/>
      <c r="J1275" t="inlineStr">
        <is>
          <t>14 825 250</t>
        </is>
      </c>
      <c r="K1275" t="inlineStr"/>
      <c r="L1275" t="inlineStr"/>
      <c r="M1275" t="inlineStr">
        <is>
          <t>Нет у нас</t>
        </is>
      </c>
      <c r="N1275" t="inlineStr"/>
      <c r="O1275" t="inlineStr"/>
      <c r="P1275" t="inlineStr"/>
      <c r="Q1275">
        <f>HYPERLINK("https://knru.ru/catalog/budennogo-pr-d-24-k-3-str-1/","ссылка")</f>
        <v/>
      </c>
      <c r="R1275" t="inlineStr"/>
      <c r="S1275" t="inlineStr"/>
    </row>
    <row r="1276">
      <c r="A1276" t="inlineStr">
        <is>
          <t>Петродворцовый</t>
        </is>
      </c>
      <c r="B1276" t="inlineStr">
        <is>
          <t>Буденного пр-кт, 20к1стр1</t>
        </is>
      </c>
      <c r="C1276" t="inlineStr">
        <is>
          <t>sale</t>
        </is>
      </c>
      <c r="D1276" t="inlineStr">
        <is>
          <t>Да</t>
        </is>
      </c>
      <c r="E1276" t="inlineStr"/>
      <c r="F1276" t="inlineStr"/>
      <c r="G1276" t="inlineStr">
        <is>
          <t>34.9</t>
        </is>
      </c>
      <c r="H1276" t="inlineStr"/>
      <c r="I1276" t="inlineStr"/>
      <c r="J1276" t="inlineStr">
        <is>
          <t>10 042 560</t>
        </is>
      </c>
      <c r="K1276" t="inlineStr"/>
      <c r="L1276" t="inlineStr"/>
      <c r="M1276" t="inlineStr">
        <is>
          <t>Нет у нас</t>
        </is>
      </c>
      <c r="N1276" t="inlineStr"/>
      <c r="O1276" t="inlineStr"/>
      <c r="P1276" t="inlineStr"/>
      <c r="Q1276">
        <f>HYPERLINK("https://knru.ru/catalog/p-strelna-pr-budyennogo-d-20-k-1-561299/","ссылка")</f>
        <v/>
      </c>
      <c r="R1276" t="inlineStr"/>
      <c r="S1276" t="inlineStr"/>
    </row>
    <row r="1277">
      <c r="A1277" t="inlineStr">
        <is>
          <t>Петродворцовый</t>
        </is>
      </c>
      <c r="B1277" t="inlineStr">
        <is>
          <t>Буденного пр-кт, 20к1стр1</t>
        </is>
      </c>
      <c r="C1277" t="inlineStr">
        <is>
          <t>sale</t>
        </is>
      </c>
      <c r="D1277" t="inlineStr">
        <is>
          <t>Да</t>
        </is>
      </c>
      <c r="E1277" t="inlineStr"/>
      <c r="F1277" t="inlineStr"/>
      <c r="G1277" t="inlineStr">
        <is>
          <t>75.5</t>
        </is>
      </c>
      <c r="H1277" t="inlineStr"/>
      <c r="I1277" t="inlineStr"/>
      <c r="J1277" t="inlineStr">
        <is>
          <t>19 702 890</t>
        </is>
      </c>
      <c r="K1277" t="inlineStr"/>
      <c r="L1277" t="inlineStr"/>
      <c r="M1277" t="inlineStr">
        <is>
          <t>Нет у нас</t>
        </is>
      </c>
      <c r="N1277" t="inlineStr"/>
      <c r="O1277" t="inlineStr"/>
      <c r="P1277" t="inlineStr"/>
      <c r="Q1277">
        <f>HYPERLINK("https://knru.ru/catalog/p-strelna-pr-budyennogo-d-20-k-1-561298/","ссылка")</f>
        <v/>
      </c>
      <c r="R1277" t="inlineStr"/>
      <c r="S1277" t="inlineStr"/>
    </row>
    <row r="1278">
      <c r="A1278" t="inlineStr">
        <is>
          <t>Петродворцовый</t>
        </is>
      </c>
      <c r="B1278" t="inlineStr">
        <is>
          <t>Буденного пр-кт, 20к1стр1</t>
        </is>
      </c>
      <c r="C1278" t="inlineStr">
        <is>
          <t>sale</t>
        </is>
      </c>
      <c r="D1278" t="inlineStr">
        <is>
          <t>Да</t>
        </is>
      </c>
      <c r="E1278" t="inlineStr"/>
      <c r="F1278" t="inlineStr"/>
      <c r="G1278" t="inlineStr">
        <is>
          <t>29.2</t>
        </is>
      </c>
      <c r="H1278" t="inlineStr"/>
      <c r="I1278" t="inlineStr"/>
      <c r="J1278" t="inlineStr">
        <is>
          <t>14 155 830</t>
        </is>
      </c>
      <c r="K1278" t="inlineStr"/>
      <c r="L1278" t="inlineStr"/>
      <c r="M1278" t="inlineStr">
        <is>
          <t>Нет у нас</t>
        </is>
      </c>
      <c r="N1278" t="inlineStr"/>
      <c r="O1278" t="inlineStr"/>
      <c r="P1278" t="inlineStr"/>
      <c r="Q1278">
        <f>HYPERLINK("https://knru.ru/catalog/p-strelna-pr-budyennogo-d-20-k-1-561297/","ссылка")</f>
        <v/>
      </c>
      <c r="R1278" t="inlineStr"/>
      <c r="S1278" t="inlineStr"/>
    </row>
    <row r="1279">
      <c r="A1279" t="inlineStr">
        <is>
          <t>Петродворцовый</t>
        </is>
      </c>
      <c r="B1279" t="inlineStr">
        <is>
          <t>Буденного пр-кт, 20к1стр1</t>
        </is>
      </c>
      <c r="C1279" t="inlineStr">
        <is>
          <t>sale</t>
        </is>
      </c>
      <c r="D1279" t="inlineStr">
        <is>
          <t>Да</t>
        </is>
      </c>
      <c r="E1279" t="inlineStr"/>
      <c r="F1279" t="inlineStr"/>
      <c r="G1279" t="inlineStr">
        <is>
          <t>59.9</t>
        </is>
      </c>
      <c r="H1279" t="inlineStr"/>
      <c r="I1279" t="inlineStr"/>
      <c r="J1279" t="inlineStr">
        <is>
          <t>17 796 240</t>
        </is>
      </c>
      <c r="K1279" t="inlineStr"/>
      <c r="L1279" t="inlineStr"/>
      <c r="M1279" t="inlineStr">
        <is>
          <t>Нет у нас</t>
        </is>
      </c>
      <c r="N1279" t="inlineStr"/>
      <c r="O1279" t="inlineStr"/>
      <c r="P1279" t="inlineStr"/>
      <c r="Q1279">
        <f>HYPERLINK("https://knru.ru/catalog/p-strelna-pr-budyennogo-d-20-k-1-561296/","ссылка")</f>
        <v/>
      </c>
      <c r="R1279" t="inlineStr"/>
      <c r="S1279" t="inlineStr"/>
    </row>
    <row r="1280">
      <c r="A1280" t="inlineStr">
        <is>
          <t>Петродворцовый</t>
        </is>
      </c>
      <c r="B1280" t="inlineStr">
        <is>
          <t>Буденного пр-кт, 20к1стр1</t>
        </is>
      </c>
      <c r="C1280" t="inlineStr">
        <is>
          <t>sale</t>
        </is>
      </c>
      <c r="D1280" t="inlineStr">
        <is>
          <t>Да</t>
        </is>
      </c>
      <c r="E1280" t="inlineStr"/>
      <c r="F1280" t="inlineStr"/>
      <c r="G1280" t="inlineStr">
        <is>
          <t>42.5</t>
        </is>
      </c>
      <c r="H1280" t="inlineStr"/>
      <c r="I1280" t="inlineStr"/>
      <c r="J1280" t="inlineStr">
        <is>
          <t>14 155 830</t>
        </is>
      </c>
      <c r="K1280" t="inlineStr"/>
      <c r="L1280" t="inlineStr"/>
      <c r="M1280" t="inlineStr">
        <is>
          <t>Нет у нас</t>
        </is>
      </c>
      <c r="N1280" t="inlineStr"/>
      <c r="O1280" t="inlineStr"/>
      <c r="P1280" t="inlineStr"/>
      <c r="Q1280">
        <f>HYPERLINK("https://knru.ru/catalog/p-strelna-pr-budyennogo-d-20-k-1-561295/","ссылка")</f>
        <v/>
      </c>
      <c r="R1280" t="inlineStr"/>
      <c r="S1280" t="inlineStr"/>
    </row>
    <row r="1281">
      <c r="A1281" t="inlineStr">
        <is>
          <t>Петродворцовый</t>
        </is>
      </c>
      <c r="B1281" t="inlineStr">
        <is>
          <t>Буденного пр-кт, вл. 16</t>
        </is>
      </c>
      <c r="C1281" t="inlineStr">
        <is>
          <t>sale</t>
        </is>
      </c>
      <c r="D1281" t="inlineStr">
        <is>
          <t>Да</t>
        </is>
      </c>
      <c r="E1281" t="inlineStr"/>
      <c r="F1281" t="inlineStr"/>
      <c r="G1281" t="inlineStr">
        <is>
          <t>34.9</t>
        </is>
      </c>
      <c r="H1281" t="inlineStr"/>
      <c r="I1281" t="inlineStr"/>
      <c r="J1281" t="inlineStr">
        <is>
          <t>10 042 560</t>
        </is>
      </c>
      <c r="K1281" t="inlineStr"/>
      <c r="L1281" t="inlineStr"/>
      <c r="M1281" t="inlineStr">
        <is>
          <t>Нет у нас</t>
        </is>
      </c>
      <c r="N1281" t="inlineStr"/>
      <c r="O1281" t="inlineStr"/>
      <c r="P1281" t="inlineStr"/>
      <c r="Q1281">
        <f>HYPERLINK("https://knru.ru/catalog/strelna-pr-budennogo-uch-16-1296555493/","ссылка")</f>
        <v/>
      </c>
      <c r="R1281" t="inlineStr"/>
      <c r="S1281" t="inlineStr"/>
    </row>
    <row r="1282">
      <c r="A1282" t="inlineStr">
        <is>
          <t>Петродворцовый</t>
        </is>
      </c>
      <c r="B1282" t="inlineStr">
        <is>
          <t>Буденного пр-кт, вл. 16</t>
        </is>
      </c>
      <c r="C1282" t="inlineStr">
        <is>
          <t>sale</t>
        </is>
      </c>
      <c r="D1282" t="inlineStr">
        <is>
          <t>Да</t>
        </is>
      </c>
      <c r="E1282" t="inlineStr"/>
      <c r="F1282" t="inlineStr"/>
      <c r="G1282" t="inlineStr">
        <is>
          <t>75.5</t>
        </is>
      </c>
      <c r="H1282" t="inlineStr"/>
      <c r="I1282" t="inlineStr"/>
      <c r="J1282" t="inlineStr">
        <is>
          <t>19 702 890</t>
        </is>
      </c>
      <c r="K1282" t="inlineStr"/>
      <c r="L1282" t="inlineStr"/>
      <c r="M1282" t="inlineStr">
        <is>
          <t>Нет у нас</t>
        </is>
      </c>
      <c r="N1282" t="inlineStr"/>
      <c r="O1282" t="inlineStr"/>
      <c r="P1282" t="inlineStr"/>
      <c r="Q1282">
        <f>HYPERLINK("https://knru.ru/catalog/strelna-pr-budennogo-uch-16-1681410694/","ссылка")</f>
        <v/>
      </c>
      <c r="R1282" t="inlineStr"/>
      <c r="S1282" t="inlineStr"/>
    </row>
    <row r="1283">
      <c r="A1283" t="inlineStr">
        <is>
          <t>Петродворцовый</t>
        </is>
      </c>
      <c r="B1283" t="inlineStr">
        <is>
          <t>Буденного пр-кт, вл. 16</t>
        </is>
      </c>
      <c r="C1283" t="inlineStr">
        <is>
          <t>sale</t>
        </is>
      </c>
      <c r="D1283" t="inlineStr">
        <is>
          <t>Да</t>
        </is>
      </c>
      <c r="E1283" t="inlineStr"/>
      <c r="F1283" t="inlineStr"/>
      <c r="G1283" t="inlineStr">
        <is>
          <t>29.2</t>
        </is>
      </c>
      <c r="H1283" t="inlineStr"/>
      <c r="I1283" t="inlineStr"/>
      <c r="J1283" t="inlineStr">
        <is>
          <t>11 033 820</t>
        </is>
      </c>
      <c r="K1283" t="inlineStr"/>
      <c r="L1283" t="inlineStr"/>
      <c r="M1283" t="inlineStr">
        <is>
          <t>Нет у нас</t>
        </is>
      </c>
      <c r="N1283" t="inlineStr"/>
      <c r="O1283" t="inlineStr"/>
      <c r="P1283" t="inlineStr"/>
      <c r="Q1283">
        <f>HYPERLINK("https://knru.ru/catalog/strelna-pr-budennogo-uch-16-539085765/","ссылка")</f>
        <v/>
      </c>
      <c r="R1283" t="inlineStr"/>
      <c r="S1283" t="inlineStr"/>
    </row>
    <row r="1284">
      <c r="A1284" t="inlineStr">
        <is>
          <t>Петродворцовый</t>
        </is>
      </c>
      <c r="B1284" t="inlineStr">
        <is>
          <t>Буденного пр-кт, вл. 16</t>
        </is>
      </c>
      <c r="C1284" t="inlineStr">
        <is>
          <t>sale</t>
        </is>
      </c>
      <c r="D1284" t="inlineStr">
        <is>
          <t>Да</t>
        </is>
      </c>
      <c r="E1284" t="inlineStr"/>
      <c r="F1284" t="inlineStr"/>
      <c r="G1284" t="inlineStr">
        <is>
          <t>59.9</t>
        </is>
      </c>
      <c r="H1284" t="inlineStr"/>
      <c r="I1284" t="inlineStr"/>
      <c r="J1284" t="inlineStr">
        <is>
          <t>17 796 240</t>
        </is>
      </c>
      <c r="K1284" t="inlineStr"/>
      <c r="L1284" t="inlineStr"/>
      <c r="M1284" t="inlineStr">
        <is>
          <t>Нет у нас</t>
        </is>
      </c>
      <c r="N1284" t="inlineStr"/>
      <c r="O1284" t="inlineStr"/>
      <c r="P1284" t="inlineStr"/>
      <c r="Q1284">
        <f>HYPERLINK("https://knru.ru/catalog/strelna-pr-budennogo-uch-16-677013530/","ссылка")</f>
        <v/>
      </c>
      <c r="R1284" t="inlineStr"/>
      <c r="S1284" t="inlineStr"/>
    </row>
    <row r="1285">
      <c r="A1285" t="inlineStr">
        <is>
          <t>Петродворцовый</t>
        </is>
      </c>
      <c r="B1285" t="inlineStr">
        <is>
          <t>Буденного пр-кт, вл. 16</t>
        </is>
      </c>
      <c r="C1285" t="inlineStr">
        <is>
          <t>sale</t>
        </is>
      </c>
      <c r="D1285" t="inlineStr">
        <is>
          <t>Да</t>
        </is>
      </c>
      <c r="E1285" t="inlineStr"/>
      <c r="F1285" t="inlineStr"/>
      <c r="G1285" t="inlineStr">
        <is>
          <t>42.5</t>
        </is>
      </c>
      <c r="H1285" t="inlineStr"/>
      <c r="I1285" t="inlineStr"/>
      <c r="J1285" t="inlineStr">
        <is>
          <t>14 155 830</t>
        </is>
      </c>
      <c r="K1285" t="inlineStr"/>
      <c r="L1285" t="inlineStr"/>
      <c r="M1285" t="inlineStr">
        <is>
          <t>Нет у нас</t>
        </is>
      </c>
      <c r="N1285" t="inlineStr"/>
      <c r="O1285" t="inlineStr"/>
      <c r="P1285" t="inlineStr"/>
      <c r="Q1285">
        <f>HYPERLINK("https://knru.ru/catalog/strelna-pr-budennogo-uch-16-1799608102/","ссылка")</f>
        <v/>
      </c>
      <c r="R1285" t="inlineStr"/>
      <c r="S1285" t="inlineStr"/>
    </row>
    <row r="1286">
      <c r="A1286" t="inlineStr">
        <is>
          <t>Петродворцовый</t>
        </is>
      </c>
      <c r="B1286" t="inlineStr">
        <is>
          <t>Буденного пр-кт, вл. 16</t>
        </is>
      </c>
      <c r="C1286" t="inlineStr">
        <is>
          <t>sale</t>
        </is>
      </c>
      <c r="D1286" t="inlineStr">
        <is>
          <t>Да</t>
        </is>
      </c>
      <c r="E1286" t="inlineStr"/>
      <c r="F1286" t="inlineStr"/>
      <c r="G1286" t="inlineStr">
        <is>
          <t>54</t>
        </is>
      </c>
      <c r="H1286" t="inlineStr"/>
      <c r="I1286" t="inlineStr"/>
      <c r="J1286" t="inlineStr">
        <is>
          <t>17 978 670</t>
        </is>
      </c>
      <c r="K1286" t="inlineStr"/>
      <c r="L1286" t="inlineStr"/>
      <c r="M1286" t="inlineStr">
        <is>
          <t>Нет у нас</t>
        </is>
      </c>
      <c r="N1286" t="inlineStr"/>
      <c r="O1286" t="inlineStr"/>
      <c r="P1286" t="inlineStr"/>
      <c r="Q1286">
        <f>HYPERLINK("https://knru.ru/catalog/strelna-pr-budennogo-uch-16-623589391/","ссылка")</f>
        <v/>
      </c>
      <c r="R1286" t="inlineStr"/>
      <c r="S1286" t="inlineStr"/>
    </row>
    <row r="1287">
      <c r="A1287" t="inlineStr">
        <is>
          <t>Петродворцовый</t>
        </is>
      </c>
      <c r="B1287" t="inlineStr">
        <is>
          <t>Буденного пр-кт, вл. 16</t>
        </is>
      </c>
      <c r="C1287" t="inlineStr">
        <is>
          <t>sale</t>
        </is>
      </c>
      <c r="D1287" t="inlineStr">
        <is>
          <t>Да</t>
        </is>
      </c>
      <c r="E1287" t="inlineStr"/>
      <c r="F1287" t="inlineStr"/>
      <c r="G1287" t="inlineStr">
        <is>
          <t>68</t>
        </is>
      </c>
      <c r="H1287" t="inlineStr"/>
      <c r="I1287" t="inlineStr"/>
      <c r="J1287" t="inlineStr">
        <is>
          <t>17 761 050</t>
        </is>
      </c>
      <c r="K1287" t="inlineStr"/>
      <c r="L1287" t="inlineStr"/>
      <c r="M1287" t="inlineStr">
        <is>
          <t>Нет у нас</t>
        </is>
      </c>
      <c r="N1287" t="inlineStr"/>
      <c r="O1287" t="inlineStr"/>
      <c r="P1287" t="inlineStr"/>
      <c r="Q1287">
        <f>HYPERLINK("https://knru.ru/catalog/strelna-pr-budennogo-uch-16/","ссылка")</f>
        <v/>
      </c>
      <c r="R1287" t="inlineStr"/>
      <c r="S1287" t="inlineStr"/>
    </row>
    <row r="1288">
      <c r="A1288" t="inlineStr">
        <is>
          <t>Петродворцовый</t>
        </is>
      </c>
      <c r="B1288" t="inlineStr">
        <is>
          <t>Буденного пр-кт, к.4.2</t>
        </is>
      </c>
      <c r="C1288" t="inlineStr">
        <is>
          <t>sale</t>
        </is>
      </c>
      <c r="D1288" t="inlineStr">
        <is>
          <t>Да</t>
        </is>
      </c>
      <c r="E1288" t="inlineStr"/>
      <c r="F1288" t="inlineStr"/>
      <c r="G1288" t="inlineStr">
        <is>
          <t>114.5</t>
        </is>
      </c>
      <c r="H1288" t="inlineStr"/>
      <c r="I1288" t="inlineStr"/>
      <c r="J1288" t="inlineStr">
        <is>
          <t>40 000 000</t>
        </is>
      </c>
      <c r="K1288" t="inlineStr"/>
      <c r="L1288" t="inlineStr"/>
      <c r="M1288" t="inlineStr">
        <is>
          <t>Нет у нас</t>
        </is>
      </c>
      <c r="N1288" t="inlineStr"/>
      <c r="O1288" t="inlineStr"/>
      <c r="P1288" t="inlineStr"/>
      <c r="Q1288">
        <f>HYPERLINK("https://knru.ru/catalog/p-strelna-pr-budyennogo-k-4-2-883746955/","ссылка")</f>
        <v/>
      </c>
      <c r="R1288" t="inlineStr"/>
      <c r="S1288" t="inlineStr"/>
    </row>
    <row r="1289">
      <c r="A1289" t="inlineStr">
        <is>
          <t>Петродворцовый</t>
        </is>
      </c>
      <c r="B1289" t="inlineStr">
        <is>
          <t>Буденного пр-кт, к.4.2</t>
        </is>
      </c>
      <c r="C1289" t="inlineStr">
        <is>
          <t>sale</t>
        </is>
      </c>
      <c r="D1289" t="inlineStr">
        <is>
          <t>Да</t>
        </is>
      </c>
      <c r="E1289" t="inlineStr"/>
      <c r="F1289" t="inlineStr"/>
      <c r="G1289" t="inlineStr">
        <is>
          <t>51.9</t>
        </is>
      </c>
      <c r="H1289" t="inlineStr"/>
      <c r="I1289" t="inlineStr"/>
      <c r="J1289" t="inlineStr">
        <is>
          <t>18 209 880</t>
        </is>
      </c>
      <c r="K1289" t="inlineStr"/>
      <c r="L1289" t="inlineStr"/>
      <c r="M1289" t="inlineStr">
        <is>
          <t>Нет у нас</t>
        </is>
      </c>
      <c r="N1289" t="inlineStr"/>
      <c r="O1289" t="inlineStr"/>
      <c r="P1289" t="inlineStr"/>
      <c r="Q1289">
        <f>HYPERLINK("https://knru.ru/catalog/p-strelna-pr-budyennogo-k-4-2-1971648670/","ссылка")</f>
        <v/>
      </c>
      <c r="R1289" t="inlineStr"/>
      <c r="S1289" t="inlineStr"/>
    </row>
    <row r="1290">
      <c r="A1290" t="inlineStr">
        <is>
          <t>Петродворцовый</t>
        </is>
      </c>
      <c r="B1290" t="inlineStr">
        <is>
          <t>Буденного пр-кт, к.4.2</t>
        </is>
      </c>
      <c r="C1290" t="inlineStr">
        <is>
          <t>sale</t>
        </is>
      </c>
      <c r="D1290" t="inlineStr">
        <is>
          <t>Да</t>
        </is>
      </c>
      <c r="E1290" t="inlineStr"/>
      <c r="F1290" t="inlineStr"/>
      <c r="G1290" t="inlineStr">
        <is>
          <t>30.1</t>
        </is>
      </c>
      <c r="H1290" t="inlineStr"/>
      <c r="I1290" t="inlineStr"/>
      <c r="J1290" t="inlineStr">
        <is>
          <t>10 842 200</t>
        </is>
      </c>
      <c r="K1290" t="inlineStr"/>
      <c r="L1290" t="inlineStr"/>
      <c r="M1290" t="inlineStr">
        <is>
          <t>Нет у нас</t>
        </is>
      </c>
      <c r="N1290" t="inlineStr"/>
      <c r="O1290" t="inlineStr"/>
      <c r="P1290" t="inlineStr"/>
      <c r="Q1290">
        <f>HYPERLINK("https://knru.ru/catalog/p-strelna-pr-budyennogo-k-4-2-1676499610/","ссылка")</f>
        <v/>
      </c>
      <c r="R1290" t="inlineStr"/>
      <c r="S1290" t="inlineStr"/>
    </row>
    <row r="1291">
      <c r="A1291" t="inlineStr">
        <is>
          <t>Петродворцовый</t>
        </is>
      </c>
      <c r="B1291" t="inlineStr">
        <is>
          <t>Буденного пр-кт, к.4.2</t>
        </is>
      </c>
      <c r="C1291" t="inlineStr">
        <is>
          <t>sale</t>
        </is>
      </c>
      <c r="D1291" t="inlineStr">
        <is>
          <t>Да</t>
        </is>
      </c>
      <c r="E1291" t="inlineStr"/>
      <c r="F1291" t="inlineStr"/>
      <c r="G1291" t="inlineStr">
        <is>
          <t>62.2</t>
        </is>
      </c>
      <c r="H1291" t="inlineStr"/>
      <c r="I1291" t="inlineStr"/>
      <c r="J1291" t="inlineStr">
        <is>
          <t>19 608 750</t>
        </is>
      </c>
      <c r="K1291" t="inlineStr"/>
      <c r="L1291" t="inlineStr"/>
      <c r="M1291" t="inlineStr">
        <is>
          <t>Нет у нас</t>
        </is>
      </c>
      <c r="N1291" t="inlineStr"/>
      <c r="O1291" t="inlineStr"/>
      <c r="P1291" t="inlineStr"/>
      <c r="Q1291">
        <f>HYPERLINK("https://knru.ru/catalog/p-strelna-pr-budyennogo-k-4-2/","ссылка")</f>
        <v/>
      </c>
      <c r="R1291" t="inlineStr"/>
      <c r="S1291" t="inlineStr"/>
    </row>
    <row r="1292">
      <c r="A1292" t="inlineStr">
        <is>
          <t>Петродворцовый</t>
        </is>
      </c>
      <c r="B1292" t="inlineStr">
        <is>
          <t>Буденного пр-кт, к.4.2</t>
        </is>
      </c>
      <c r="C1292" t="inlineStr">
        <is>
          <t>sale</t>
        </is>
      </c>
      <c r="D1292" t="inlineStr">
        <is>
          <t>Да</t>
        </is>
      </c>
      <c r="E1292" t="inlineStr"/>
      <c r="F1292" t="inlineStr"/>
      <c r="G1292" t="inlineStr">
        <is>
          <t>82.3</t>
        </is>
      </c>
      <c r="H1292" t="inlineStr"/>
      <c r="I1292" t="inlineStr"/>
      <c r="J1292" t="inlineStr">
        <is>
          <t>20 737 080</t>
        </is>
      </c>
      <c r="K1292" t="inlineStr"/>
      <c r="L1292" t="inlineStr"/>
      <c r="M1292" t="inlineStr">
        <is>
          <t>Нет у нас</t>
        </is>
      </c>
      <c r="N1292" t="inlineStr"/>
      <c r="O1292" t="inlineStr"/>
      <c r="P1292" t="inlineStr"/>
      <c r="Q1292">
        <f>HYPERLINK("https://knru.ru/catalog/p-strelna-pr-budyennogo-d-20-k-1-1629824113/","ссылка")</f>
        <v/>
      </c>
      <c r="R1292" t="inlineStr"/>
      <c r="S1292" t="inlineStr"/>
    </row>
    <row r="1293">
      <c r="A1293" t="inlineStr">
        <is>
          <t>Петродворцовый</t>
        </is>
      </c>
      <c r="B1293" t="inlineStr">
        <is>
          <t>Дворцовый пр-кт, 22</t>
        </is>
      </c>
      <c r="C1293" t="inlineStr">
        <is>
          <t>sale</t>
        </is>
      </c>
      <c r="D1293" t="inlineStr">
        <is>
          <t>Да</t>
        </is>
      </c>
      <c r="E1293" t="inlineStr"/>
      <c r="F1293" t="inlineStr"/>
      <c r="G1293" t="inlineStr">
        <is>
          <t>938</t>
        </is>
      </c>
      <c r="H1293" t="inlineStr"/>
      <c r="I1293" t="inlineStr"/>
      <c r="J1293" t="inlineStr">
        <is>
          <t>92 000 000</t>
        </is>
      </c>
      <c r="K1293" t="inlineStr"/>
      <c r="L1293" t="inlineStr"/>
      <c r="M1293" t="inlineStr">
        <is>
          <t>Совпало</t>
        </is>
      </c>
      <c r="N1293" t="inlineStr"/>
      <c r="O1293" t="inlineStr"/>
      <c r="P1293" t="inlineStr"/>
      <c r="Q1293">
        <f>HYPERLINK("https://knru.ru/catalog/lomonosov-dvortsovyj-pr-d-22a/","ссылка")</f>
        <v/>
      </c>
      <c r="R1293" t="inlineStr"/>
      <c r="S1293" t="inlineStr"/>
    </row>
    <row r="1294">
      <c r="A1294" t="inlineStr">
        <is>
          <t>Петродворцовый</t>
        </is>
      </c>
      <c r="B1294" t="inlineStr">
        <is>
          <t>проспект Будённого, 17</t>
        </is>
      </c>
      <c r="C1294" t="inlineStr">
        <is>
          <t>sale</t>
        </is>
      </c>
      <c r="D1294" t="inlineStr"/>
      <c r="E1294" t="inlineStr">
        <is>
          <t>Да</t>
        </is>
      </c>
      <c r="F1294" t="inlineStr"/>
      <c r="G1294" t="inlineStr"/>
      <c r="H1294" t="inlineStr">
        <is>
          <t>22</t>
        </is>
      </c>
      <c r="I1294" t="inlineStr"/>
      <c r="J1294" t="inlineStr"/>
      <c r="K1294" t="inlineStr">
        <is>
          <t>20 500 000</t>
        </is>
      </c>
      <c r="L1294" t="inlineStr"/>
      <c r="M1294" t="inlineStr"/>
      <c r="N1294" t="inlineStr">
        <is>
          <t>Нет у нас</t>
        </is>
      </c>
      <c r="O1294" t="inlineStr"/>
      <c r="P1294" t="inlineStr"/>
      <c r="Q1294" t="inlineStr"/>
      <c r="R1294">
        <f>HYPERLINK("https://nordwestinvest.ru/real-estates/prodaza-pomeshheniia-s-arendatorom-bilain","ссылка")</f>
        <v/>
      </c>
      <c r="S1294" t="inlineStr"/>
    </row>
    <row r="1295">
      <c r="A1295" t="inlineStr">
        <is>
          <t>Петродворцовый</t>
        </is>
      </c>
      <c r="B1295" t="inlineStr">
        <is>
          <t>проспект Будённого, 18к4</t>
        </is>
      </c>
      <c r="C1295" t="inlineStr">
        <is>
          <t>sale</t>
        </is>
      </c>
      <c r="D1295" t="inlineStr">
        <is>
          <t>Да</t>
        </is>
      </c>
      <c r="E1295" t="inlineStr"/>
      <c r="F1295" t="inlineStr"/>
      <c r="G1295" t="inlineStr">
        <is>
          <t>244</t>
        </is>
      </c>
      <c r="H1295" t="inlineStr"/>
      <c r="I1295" t="inlineStr"/>
      <c r="J1295" t="inlineStr">
        <is>
          <t>80 520 000</t>
        </is>
      </c>
      <c r="K1295" t="inlineStr"/>
      <c r="L1295" t="inlineStr"/>
      <c r="M1295" t="inlineStr">
        <is>
          <t>Нет у нас</t>
        </is>
      </c>
      <c r="N1295" t="inlineStr"/>
      <c r="O1295" t="inlineStr"/>
      <c r="P1295" t="inlineStr"/>
      <c r="Q1295">
        <f>HYPERLINK("https://knru.ru/catalog/prospekt-budyennogo-18k4-60966936/","ссылка")</f>
        <v/>
      </c>
      <c r="R1295" t="inlineStr"/>
      <c r="S1295" t="inlineStr"/>
    </row>
    <row r="1296">
      <c r="A1296" t="inlineStr">
        <is>
          <t>Петродворцовый</t>
        </is>
      </c>
      <c r="B1296" t="inlineStr">
        <is>
          <t>проспект Будённого, 18к4</t>
        </is>
      </c>
      <c r="C1296" t="inlineStr">
        <is>
          <t>sale</t>
        </is>
      </c>
      <c r="D1296" t="inlineStr">
        <is>
          <t>Да</t>
        </is>
      </c>
      <c r="E1296" t="inlineStr"/>
      <c r="F1296" t="inlineStr"/>
      <c r="G1296" t="inlineStr">
        <is>
          <t>93</t>
        </is>
      </c>
      <c r="H1296" t="inlineStr"/>
      <c r="I1296" t="inlineStr"/>
      <c r="J1296" t="inlineStr">
        <is>
          <t>32 550 000</t>
        </is>
      </c>
      <c r="K1296" t="inlineStr"/>
      <c r="L1296" t="inlineStr"/>
      <c r="M1296" t="inlineStr">
        <is>
          <t>Нет у нас</t>
        </is>
      </c>
      <c r="N1296" t="inlineStr"/>
      <c r="O1296" t="inlineStr"/>
      <c r="P1296" t="inlineStr"/>
      <c r="Q1296">
        <f>HYPERLINK("https://knru.ru/catalog/prospekt-budyennogo-18k4/","ссылка")</f>
        <v/>
      </c>
      <c r="R1296" t="inlineStr"/>
      <c r="S1296" t="inlineStr"/>
    </row>
    <row r="1297">
      <c r="A1297" t="inlineStr">
        <is>
          <t>Петродворцовый</t>
        </is>
      </c>
      <c r="B1297" t="inlineStr">
        <is>
          <t>Санкт-Петербургское, 42Б</t>
        </is>
      </c>
      <c r="C1297" t="inlineStr">
        <is>
          <t>sale</t>
        </is>
      </c>
      <c r="D1297" t="inlineStr">
        <is>
          <t>Да</t>
        </is>
      </c>
      <c r="E1297" t="inlineStr"/>
      <c r="F1297" t="inlineStr"/>
      <c r="G1297" t="inlineStr">
        <is>
          <t>1382</t>
        </is>
      </c>
      <c r="H1297" t="inlineStr"/>
      <c r="I1297" t="inlineStr"/>
      <c r="J1297" t="inlineStr">
        <is>
          <t>140 000 000</t>
        </is>
      </c>
      <c r="K1297" t="inlineStr"/>
      <c r="L1297" t="inlineStr"/>
      <c r="M1297" t="inlineStr">
        <is>
          <t>Нет у нас</t>
        </is>
      </c>
      <c r="N1297" t="inlineStr"/>
      <c r="O1297" t="inlineStr"/>
      <c r="P1297" t="inlineStr"/>
      <c r="Q1297">
        <f>HYPERLINK("https://knru.ru/catalog/krasnoselskoe-sh-d-22-s-1/","ссылка")</f>
        <v/>
      </c>
      <c r="R1297" t="inlineStr"/>
      <c r="S1297" t="inlineStr"/>
    </row>
    <row r="1298">
      <c r="A1298" t="inlineStr">
        <is>
          <t>Посадский округ</t>
        </is>
      </c>
      <c r="B1298" t="inlineStr">
        <is>
          <t>Каменноостровский, 17</t>
        </is>
      </c>
      <c r="C1298" t="inlineStr">
        <is>
          <t>rent</t>
        </is>
      </c>
      <c r="D1298" t="inlineStr"/>
      <c r="E1298" t="inlineStr"/>
      <c r="F1298" t="inlineStr">
        <is>
          <t>Да</t>
        </is>
      </c>
      <c r="G1298" t="inlineStr"/>
      <c r="H1298" t="inlineStr"/>
      <c r="I1298" t="inlineStr">
        <is>
          <t>132</t>
        </is>
      </c>
      <c r="J1298" t="inlineStr"/>
      <c r="K1298" t="inlineStr"/>
      <c r="L1298" t="inlineStr">
        <is>
          <t>550 000</t>
        </is>
      </c>
      <c r="M1298" t="inlineStr"/>
      <c r="N1298" t="inlineStr"/>
      <c r="O1298" t="inlineStr">
        <is>
          <t>Совпало</t>
        </is>
      </c>
      <c r="P1298" t="inlineStr"/>
      <c r="Q1298" t="inlineStr"/>
      <c r="R1298" t="inlineStr"/>
      <c r="S1298">
        <f>HYPERLINK("https://rest2rent.yucrm.ru/s/xiz0lcq4","ссылка")</f>
        <v/>
      </c>
    </row>
    <row r="1299">
      <c r="A1299" t="inlineStr">
        <is>
          <t>Приморский</t>
        </is>
      </c>
      <c r="B1299" t="inlineStr">
        <is>
          <t>1-й Восточный проезд</t>
        </is>
      </c>
      <c r="C1299" t="inlineStr">
        <is>
          <t>sale</t>
        </is>
      </c>
      <c r="D1299" t="inlineStr">
        <is>
          <t>Да</t>
        </is>
      </c>
      <c r="E1299" t="inlineStr"/>
      <c r="F1299" t="inlineStr"/>
      <c r="G1299" t="inlineStr">
        <is>
          <t>570</t>
        </is>
      </c>
      <c r="H1299" t="inlineStr"/>
      <c r="I1299" t="inlineStr"/>
      <c r="J1299" t="inlineStr">
        <is>
          <t>85 000 000</t>
        </is>
      </c>
      <c r="K1299" t="inlineStr"/>
      <c r="L1299" t="inlineStr"/>
      <c r="M1299" t="inlineStr">
        <is>
          <t>Нет у нас</t>
        </is>
      </c>
      <c r="N1299" t="inlineStr"/>
      <c r="O1299" t="inlineStr"/>
      <c r="P1299" t="inlineStr"/>
      <c r="Q1299">
        <f>HYPERLINK("https://knru.ru/catalog/1-j-vostochnyj-proezd/","ссылка")</f>
        <v/>
      </c>
      <c r="R1299" t="inlineStr"/>
      <c r="S1299" t="inlineStr"/>
    </row>
    <row r="1300">
      <c r="A1300" t="inlineStr">
        <is>
          <t>Приморский</t>
        </is>
      </c>
      <c r="B1300" t="inlineStr">
        <is>
          <t>1-я Никитинская ул, 16</t>
        </is>
      </c>
      <c r="C1300" t="inlineStr">
        <is>
          <t>sale</t>
        </is>
      </c>
      <c r="D1300" t="inlineStr">
        <is>
          <t>Да</t>
        </is>
      </c>
      <c r="E1300" t="inlineStr"/>
      <c r="F1300" t="inlineStr"/>
      <c r="G1300" t="inlineStr">
        <is>
          <t>4500</t>
        </is>
      </c>
      <c r="H1300" t="inlineStr"/>
      <c r="I1300" t="inlineStr"/>
      <c r="J1300" t="inlineStr">
        <is>
          <t>850 000 000</t>
        </is>
      </c>
      <c r="K1300" t="inlineStr"/>
      <c r="L1300" t="inlineStr"/>
      <c r="M1300" t="inlineStr">
        <is>
          <t>Нет у нас</t>
        </is>
      </c>
      <c r="N1300" t="inlineStr"/>
      <c r="O1300" t="inlineStr"/>
      <c r="P1300" t="inlineStr"/>
      <c r="Q1300">
        <f>HYPERLINK("https://knru.ru/catalog/1-ya-nikitinskaya-ul-16/","ссылка")</f>
        <v/>
      </c>
      <c r="R1300" t="inlineStr"/>
      <c r="S1300" t="inlineStr"/>
    </row>
    <row r="1301">
      <c r="A1301" t="inlineStr">
        <is>
          <t>Приморский</t>
        </is>
      </c>
      <c r="B1301" t="inlineStr">
        <is>
          <t>1-я Никитинская ул, 16</t>
        </is>
      </c>
      <c r="C1301" t="inlineStr">
        <is>
          <t>sale</t>
        </is>
      </c>
      <c r="D1301" t="inlineStr"/>
      <c r="E1301" t="inlineStr">
        <is>
          <t>Да</t>
        </is>
      </c>
      <c r="F1301" t="inlineStr"/>
      <c r="G1301" t="inlineStr"/>
      <c r="H1301" t="inlineStr">
        <is>
          <t>4999</t>
        </is>
      </c>
      <c r="I1301" t="inlineStr"/>
      <c r="J1301" t="inlineStr"/>
      <c r="K1301" t="inlineStr">
        <is>
          <t>840 000 000</t>
        </is>
      </c>
      <c r="L1301" t="inlineStr"/>
      <c r="M1301" t="inlineStr"/>
      <c r="N1301" t="inlineStr">
        <is>
          <t>Нет у нас</t>
        </is>
      </c>
      <c r="O1301" t="inlineStr"/>
      <c r="P1301" t="inlineStr"/>
      <c r="Q1301" t="inlineStr"/>
      <c r="R1301">
        <f>HYPERLINK("https://nordwestinvest.ru/real-estates/prodaza-zdaniia-svobodnogo-naznaceniia-4999-m2-3","ссылка")</f>
        <v/>
      </c>
      <c r="S1301" t="inlineStr"/>
    </row>
    <row r="1302">
      <c r="A1302" t="inlineStr">
        <is>
          <t>Приморский</t>
        </is>
      </c>
      <c r="B1302" t="inlineStr">
        <is>
          <t>Авиаконструкторов пр., д. 61</t>
        </is>
      </c>
      <c r="C1302" t="inlineStr">
        <is>
          <t>sale</t>
        </is>
      </c>
      <c r="D1302" t="inlineStr">
        <is>
          <t>Да</t>
        </is>
      </c>
      <c r="E1302" t="inlineStr"/>
      <c r="F1302" t="inlineStr"/>
      <c r="G1302" t="inlineStr">
        <is>
          <t>74.9</t>
        </is>
      </c>
      <c r="H1302" t="inlineStr"/>
      <c r="I1302" t="inlineStr"/>
      <c r="J1302" t="inlineStr">
        <is>
          <t>18 462 888</t>
        </is>
      </c>
      <c r="K1302" t="inlineStr"/>
      <c r="L1302" t="inlineStr"/>
      <c r="M1302" t="inlineStr">
        <is>
          <t>Совпало</t>
        </is>
      </c>
      <c r="N1302" t="inlineStr"/>
      <c r="O1302" t="inlineStr"/>
      <c r="P1302" t="inlineStr"/>
      <c r="Q1302">
        <f>HYPERLINK("https://knru.ru/catalog/aviakonstruktorov-pr-d-61/","ссылка")</f>
        <v/>
      </c>
      <c r="R1302" t="inlineStr"/>
      <c r="S1302" t="inlineStr"/>
    </row>
    <row r="1303">
      <c r="A1303" t="inlineStr">
        <is>
          <t>Приморский</t>
        </is>
      </c>
      <c r="B1303" t="inlineStr">
        <is>
          <t>Авиаконструкторов пр., д. 63</t>
        </is>
      </c>
      <c r="C1303" t="inlineStr">
        <is>
          <t>sale</t>
        </is>
      </c>
      <c r="D1303" t="inlineStr">
        <is>
          <t>Да</t>
        </is>
      </c>
      <c r="E1303" t="inlineStr"/>
      <c r="F1303" t="inlineStr"/>
      <c r="G1303" t="inlineStr">
        <is>
          <t>65</t>
        </is>
      </c>
      <c r="H1303" t="inlineStr"/>
      <c r="I1303" t="inlineStr"/>
      <c r="J1303" t="inlineStr">
        <is>
          <t>18 850 887</t>
        </is>
      </c>
      <c r="K1303" t="inlineStr"/>
      <c r="L1303" t="inlineStr"/>
      <c r="M1303" t="inlineStr">
        <is>
          <t>По адресу есть, но площадь другая</t>
        </is>
      </c>
      <c r="N1303" t="inlineStr"/>
      <c r="O1303" t="inlineStr"/>
      <c r="P1303" t="inlineStr"/>
      <c r="Q1303">
        <f>HYPERLINK("https://knru.ru/catalog/aviakonstruktorov-pr-d-63-330508538/","ссылка")</f>
        <v/>
      </c>
      <c r="R1303" t="inlineStr"/>
      <c r="S1303" t="inlineStr"/>
    </row>
    <row r="1304">
      <c r="A1304" t="inlineStr">
        <is>
          <t>Приморский</t>
        </is>
      </c>
      <c r="B1304" t="inlineStr">
        <is>
          <t>Авиаконструкторов пр-кт, 38</t>
        </is>
      </c>
      <c r="C1304" t="inlineStr">
        <is>
          <t>sale</t>
        </is>
      </c>
      <c r="D1304" t="inlineStr">
        <is>
          <t>Да</t>
        </is>
      </c>
      <c r="E1304" t="inlineStr"/>
      <c r="F1304" t="inlineStr"/>
      <c r="G1304" t="inlineStr">
        <is>
          <t>153</t>
        </is>
      </c>
      <c r="H1304" t="inlineStr"/>
      <c r="I1304" t="inlineStr"/>
      <c r="J1304" t="inlineStr">
        <is>
          <t>45 000 000</t>
        </is>
      </c>
      <c r="K1304" t="inlineStr"/>
      <c r="L1304" t="inlineStr"/>
      <c r="M1304" t="inlineStr">
        <is>
          <t>Нет у нас</t>
        </is>
      </c>
      <c r="N1304" t="inlineStr"/>
      <c r="O1304" t="inlineStr"/>
      <c r="P1304" t="inlineStr"/>
      <c r="Q1304">
        <f>HYPERLINK("https://knru.ru/catalog/pr-aviakonstruktorov-d-38/","ссылка")</f>
        <v/>
      </c>
      <c r="R1304" t="inlineStr"/>
      <c r="S1304" t="inlineStr"/>
    </row>
    <row r="1305">
      <c r="A1305" t="inlineStr">
        <is>
          <t>Приморский</t>
        </is>
      </c>
      <c r="B1305" t="inlineStr">
        <is>
          <t>Авиаконструкторов пр-кт, 61</t>
        </is>
      </c>
      <c r="C1305" t="inlineStr">
        <is>
          <t>sale</t>
        </is>
      </c>
      <c r="D1305" t="inlineStr"/>
      <c r="E1305" t="inlineStr">
        <is>
          <t>Да</t>
        </is>
      </c>
      <c r="F1305" t="inlineStr"/>
      <c r="G1305" t="inlineStr"/>
      <c r="H1305" t="inlineStr">
        <is>
          <t>363</t>
        </is>
      </c>
      <c r="I1305" t="inlineStr"/>
      <c r="J1305" t="inlineStr"/>
      <c r="K1305" t="inlineStr">
        <is>
          <t>92 150 000</t>
        </is>
      </c>
      <c r="L1305" t="inlineStr"/>
      <c r="M1305" t="inlineStr"/>
      <c r="N1305" t="inlineStr">
        <is>
          <t>По адресу есть, но площадь другая</t>
        </is>
      </c>
      <c r="O1305" t="inlineStr"/>
      <c r="P1305" t="inlineStr"/>
      <c r="Q1305" t="inlineStr"/>
      <c r="R1305">
        <f>HYPERLINK("https://nordwestinvest.ru/real-estates/prodaza-gab-darkstor-samokat-363m2-1","ссылка")</f>
        <v/>
      </c>
      <c r="S1305" t="inlineStr"/>
    </row>
    <row r="1306">
      <c r="A1306" t="inlineStr">
        <is>
          <t>Приморский</t>
        </is>
      </c>
      <c r="B1306" t="inlineStr">
        <is>
          <t>Авиаконструкторов пр-кт, 67к1 стр 1</t>
        </is>
      </c>
      <c r="C1306" t="inlineStr">
        <is>
          <t>sale</t>
        </is>
      </c>
      <c r="D1306" t="inlineStr">
        <is>
          <t>Да</t>
        </is>
      </c>
      <c r="E1306" t="inlineStr"/>
      <c r="F1306" t="inlineStr"/>
      <c r="G1306" t="inlineStr">
        <is>
          <t>103.9</t>
        </is>
      </c>
      <c r="H1306" t="inlineStr"/>
      <c r="I1306" t="inlineStr"/>
      <c r="J1306" t="inlineStr">
        <is>
          <t>49 900 000</t>
        </is>
      </c>
      <c r="K1306" t="inlineStr"/>
      <c r="L1306" t="inlineStr"/>
      <c r="M1306" t="inlineStr">
        <is>
          <t>У нас аренда, у конкурента продажа</t>
        </is>
      </c>
      <c r="N1306" t="inlineStr"/>
      <c r="O1306" t="inlineStr"/>
      <c r="P1306" t="inlineStr"/>
      <c r="Q1306">
        <f>HYPERLINK("https://knru.ru/catalog/aviakonstruktorov-pr-kt-67k1-str-1/","ссылка")</f>
        <v/>
      </c>
      <c r="R1306" t="inlineStr"/>
      <c r="S1306" t="inlineStr"/>
    </row>
    <row r="1307">
      <c r="A1307" t="inlineStr">
        <is>
          <t>Приморский</t>
        </is>
      </c>
      <c r="B1307" t="inlineStr">
        <is>
          <t>Автобусная ул, 3</t>
        </is>
      </c>
      <c r="C1307" t="inlineStr">
        <is>
          <t>sale</t>
        </is>
      </c>
      <c r="D1307" t="inlineStr">
        <is>
          <t>Да</t>
        </is>
      </c>
      <c r="E1307" t="inlineStr"/>
      <c r="F1307" t="inlineStr"/>
      <c r="G1307" t="inlineStr">
        <is>
          <t>12000</t>
        </is>
      </c>
      <c r="H1307" t="inlineStr"/>
      <c r="I1307" t="inlineStr"/>
      <c r="J1307" t="inlineStr">
        <is>
          <t>379 000 000</t>
        </is>
      </c>
      <c r="K1307" t="inlineStr"/>
      <c r="L1307" t="inlineStr"/>
      <c r="M1307" t="inlineStr">
        <is>
          <t>Нет у нас</t>
        </is>
      </c>
      <c r="N1307" t="inlineStr"/>
      <c r="O1307" t="inlineStr"/>
      <c r="P1307" t="inlineStr"/>
      <c r="Q1307">
        <f>HYPERLINK("https://knru.ru/catalog/avtobusnaya-ul-3/","ссылка")</f>
        <v/>
      </c>
      <c r="R1307" t="inlineStr"/>
      <c r="S1307" t="inlineStr"/>
    </row>
    <row r="1308">
      <c r="A1308" t="inlineStr">
        <is>
          <t>Приморский</t>
        </is>
      </c>
      <c r="B1308" t="inlineStr">
        <is>
          <t>Академика Константинова ул, 1к1</t>
        </is>
      </c>
      <c r="C1308" t="inlineStr">
        <is>
          <t>sale</t>
        </is>
      </c>
      <c r="D1308" t="inlineStr">
        <is>
          <t>Да</t>
        </is>
      </c>
      <c r="E1308" t="inlineStr"/>
      <c r="F1308" t="inlineStr"/>
      <c r="G1308" t="inlineStr">
        <is>
          <t>96</t>
        </is>
      </c>
      <c r="H1308" t="inlineStr"/>
      <c r="I1308" t="inlineStr"/>
      <c r="J1308" t="inlineStr">
        <is>
          <t>30 745 600</t>
        </is>
      </c>
      <c r="K1308" t="inlineStr"/>
      <c r="L1308" t="inlineStr"/>
      <c r="M1308" t="inlineStr">
        <is>
          <t>Совпало</t>
        </is>
      </c>
      <c r="N1308" t="inlineStr"/>
      <c r="O1308" t="inlineStr"/>
      <c r="P1308" t="inlineStr"/>
      <c r="Q1308">
        <f>HYPERLINK("https://knru.ru/catalog/ul-akademika-konstantinova-559232/","ссылка")</f>
        <v/>
      </c>
      <c r="R1308" t="inlineStr"/>
      <c r="S1308" t="inlineStr"/>
    </row>
    <row r="1309">
      <c r="A1309" t="inlineStr">
        <is>
          <t>Приморский</t>
        </is>
      </c>
      <c r="B1309" t="inlineStr">
        <is>
          <t>Александра Грина б-р, 3стр1</t>
        </is>
      </c>
      <c r="C1309" t="inlineStr">
        <is>
          <t>sale</t>
        </is>
      </c>
      <c r="D1309" t="inlineStr"/>
      <c r="E1309" t="inlineStr">
        <is>
          <t>Да</t>
        </is>
      </c>
      <c r="F1309" t="inlineStr"/>
      <c r="G1309" t="inlineStr"/>
      <c r="H1309" t="inlineStr">
        <is>
          <t>470000</t>
        </is>
      </c>
      <c r="I1309" t="inlineStr"/>
      <c r="J1309" t="inlineStr"/>
      <c r="K1309" t="inlineStr">
        <is>
          <t>25 000 000 000</t>
        </is>
      </c>
      <c r="L1309" t="inlineStr"/>
      <c r="M1309" t="inlineStr"/>
      <c r="N1309" t="inlineStr">
        <is>
          <t>Нет у нас</t>
        </is>
      </c>
      <c r="O1309" t="inlineStr"/>
      <c r="P1309" t="inlineStr"/>
      <c r="Q1309" t="inlineStr"/>
      <c r="R1309">
        <f>HYPERLINK("https://nordwestinvest.ru/real-estates/prodaza-ucastka-v-4-m-kvartale-nevskaia-guba","ссылка")</f>
        <v/>
      </c>
      <c r="S1309" t="inlineStr"/>
    </row>
    <row r="1310">
      <c r="A1310" t="inlineStr">
        <is>
          <t>Приморский</t>
        </is>
      </c>
      <c r="B1310" t="inlineStr">
        <is>
          <t>Арцеуловская алл., д. 9строение1</t>
        </is>
      </c>
      <c r="C1310" t="inlineStr">
        <is>
          <t>sale</t>
        </is>
      </c>
      <c r="D1310" t="inlineStr">
        <is>
          <t>Да</t>
        </is>
      </c>
      <c r="E1310" t="inlineStr"/>
      <c r="F1310" t="inlineStr"/>
      <c r="G1310" t="inlineStr">
        <is>
          <t>87.9</t>
        </is>
      </c>
      <c r="H1310" t="inlineStr"/>
      <c r="I1310" t="inlineStr"/>
      <c r="J1310" t="inlineStr">
        <is>
          <t>22 041 888</t>
        </is>
      </c>
      <c r="K1310" t="inlineStr"/>
      <c r="L1310" t="inlineStr"/>
      <c r="M1310" t="inlineStr">
        <is>
          <t>Нет у нас</t>
        </is>
      </c>
      <c r="N1310" t="inlineStr"/>
      <c r="O1310" t="inlineStr"/>
      <c r="P1310" t="inlineStr"/>
      <c r="Q1310">
        <f>HYPERLINK("https://knru.ru/catalog/artseulovskaya-all-d-9stroenie1-1165730381/","ссылка")</f>
        <v/>
      </c>
      <c r="R1310" t="inlineStr"/>
      <c r="S1310" t="inlineStr"/>
    </row>
    <row r="1311">
      <c r="A1311" t="inlineStr">
        <is>
          <t>Приморский</t>
        </is>
      </c>
      <c r="B1311" t="inlineStr">
        <is>
          <t>Арцеуловская алл., д. 9строение1</t>
        </is>
      </c>
      <c r="C1311" t="inlineStr">
        <is>
          <t>sale</t>
        </is>
      </c>
      <c r="D1311" t="inlineStr">
        <is>
          <t>Да</t>
        </is>
      </c>
      <c r="E1311" t="inlineStr"/>
      <c r="F1311" t="inlineStr"/>
      <c r="G1311" t="inlineStr">
        <is>
          <t>170.2</t>
        </is>
      </c>
      <c r="H1311" t="inlineStr"/>
      <c r="I1311" t="inlineStr"/>
      <c r="J1311" t="inlineStr">
        <is>
          <t>37 559 887</t>
        </is>
      </c>
      <c r="K1311" t="inlineStr"/>
      <c r="L1311" t="inlineStr"/>
      <c r="M1311" t="inlineStr">
        <is>
          <t>Нет у нас</t>
        </is>
      </c>
      <c r="N1311" t="inlineStr"/>
      <c r="O1311" t="inlineStr"/>
      <c r="P1311" t="inlineStr"/>
      <c r="Q1311">
        <f>HYPERLINK("https://knru.ru/catalog/artseulovskaya-all-d-9stroenie1/","ссылка")</f>
        <v/>
      </c>
      <c r="R1311" t="inlineStr"/>
      <c r="S1311" t="inlineStr"/>
    </row>
    <row r="1312">
      <c r="A1312" t="inlineStr">
        <is>
          <t>Приморский</t>
        </is>
      </c>
      <c r="B1312" t="inlineStr">
        <is>
          <t>Арцеуловская аллея, 9</t>
        </is>
      </c>
      <c r="C1312" t="inlineStr">
        <is>
          <t>sale</t>
        </is>
      </c>
      <c r="D1312" t="inlineStr">
        <is>
          <t>Да</t>
        </is>
      </c>
      <c r="E1312" t="inlineStr"/>
      <c r="F1312" t="inlineStr"/>
      <c r="G1312" t="inlineStr">
        <is>
          <t>108.2</t>
        </is>
      </c>
      <c r="H1312" t="inlineStr"/>
      <c r="I1312" t="inlineStr"/>
      <c r="J1312" t="inlineStr">
        <is>
          <t>26 792 888</t>
        </is>
      </c>
      <c r="K1312" t="inlineStr"/>
      <c r="L1312" t="inlineStr"/>
      <c r="M1312" t="inlineStr">
        <is>
          <t>У нас аренда, у конкурента продажа</t>
        </is>
      </c>
      <c r="N1312" t="inlineStr"/>
      <c r="O1312" t="inlineStr"/>
      <c r="P1312" t="inlineStr"/>
      <c r="Q1312">
        <f>HYPERLINK("https://knru.ru/catalog/artseulovskaya-al-d-9/","ссылка")</f>
        <v/>
      </c>
      <c r="R1312" t="inlineStr"/>
      <c r="S1312" t="inlineStr"/>
    </row>
    <row r="1313">
      <c r="A1313" t="inlineStr">
        <is>
          <t>Приморский</t>
        </is>
      </c>
      <c r="B1313" t="inlineStr">
        <is>
          <t>Белоостровская ул, 7стр1</t>
        </is>
      </c>
      <c r="C1313" t="inlineStr">
        <is>
          <t>sale</t>
        </is>
      </c>
      <c r="D1313" t="inlineStr">
        <is>
          <t>Да</t>
        </is>
      </c>
      <c r="E1313" t="inlineStr"/>
      <c r="F1313" t="inlineStr"/>
      <c r="G1313" t="inlineStr">
        <is>
          <t>148</t>
        </is>
      </c>
      <c r="H1313" t="inlineStr"/>
      <c r="I1313" t="inlineStr"/>
      <c r="J1313" t="inlineStr">
        <is>
          <t>60 000 000</t>
        </is>
      </c>
      <c r="K1313" t="inlineStr"/>
      <c r="L1313" t="inlineStr"/>
      <c r="M1313" t="inlineStr">
        <is>
          <t>Нет у нас</t>
        </is>
      </c>
      <c r="N1313" t="inlineStr"/>
      <c r="O1313" t="inlineStr"/>
      <c r="P1313" t="inlineStr"/>
      <c r="Q1313">
        <f>HYPERLINK("https://knru.ru/catalog/ul-beloostrovskaya-d-7/","ссылка")</f>
        <v/>
      </c>
      <c r="R1313" t="inlineStr"/>
      <c r="S1313" t="inlineStr"/>
    </row>
    <row r="1314">
      <c r="A1314" t="inlineStr">
        <is>
          <t>Приморский</t>
        </is>
      </c>
      <c r="B1314" t="inlineStr">
        <is>
          <t>Беринга ул, 1 А</t>
        </is>
      </c>
      <c r="C1314" t="inlineStr">
        <is>
          <t>sale</t>
        </is>
      </c>
      <c r="D1314" t="inlineStr"/>
      <c r="E1314" t="inlineStr">
        <is>
          <t>Да</t>
        </is>
      </c>
      <c r="F1314" t="inlineStr"/>
      <c r="G1314" t="inlineStr"/>
      <c r="H1314" t="inlineStr">
        <is>
          <t>171</t>
        </is>
      </c>
      <c r="I1314" t="inlineStr"/>
      <c r="J1314" t="inlineStr"/>
      <c r="K1314" t="inlineStr">
        <is>
          <t>30 000 000</t>
        </is>
      </c>
      <c r="L1314" t="inlineStr"/>
      <c r="M1314" t="inlineStr"/>
      <c r="N1314" t="inlineStr">
        <is>
          <t>Нет у нас</t>
        </is>
      </c>
      <c r="O1314" t="inlineStr"/>
      <c r="P1314" t="inlineStr"/>
      <c r="Q1314" t="inlineStr"/>
      <c r="R1314">
        <f>HYPERLINK("https://nordwestinvest.ru/real-estates/prodaza-s-arendatorom-171m2","ссылка")</f>
        <v/>
      </c>
      <c r="S1314" t="inlineStr"/>
    </row>
    <row r="1315">
      <c r="A1315" t="inlineStr">
        <is>
          <t>Приморский</t>
        </is>
      </c>
      <c r="B1315" t="inlineStr">
        <is>
          <t>Богатырский пр-кт, 7к9</t>
        </is>
      </c>
      <c r="C1315" t="inlineStr">
        <is>
          <t>sale</t>
        </is>
      </c>
      <c r="D1315" t="inlineStr">
        <is>
          <t>Да</t>
        </is>
      </c>
      <c r="E1315" t="inlineStr"/>
      <c r="F1315" t="inlineStr"/>
      <c r="G1315" t="inlineStr">
        <is>
          <t>1499</t>
        </is>
      </c>
      <c r="H1315" t="inlineStr"/>
      <c r="I1315" t="inlineStr"/>
      <c r="J1315" t="inlineStr">
        <is>
          <t>380 000 000</t>
        </is>
      </c>
      <c r="K1315" t="inlineStr"/>
      <c r="L1315" t="inlineStr"/>
      <c r="M1315" t="inlineStr">
        <is>
          <t>По адресу есть, но площадь другая</t>
        </is>
      </c>
      <c r="N1315" t="inlineStr"/>
      <c r="O1315" t="inlineStr"/>
      <c r="P1315" t="inlineStr"/>
      <c r="Q1315">
        <f>HYPERLINK("https://knru.ru/catalog/bogatyrskiy-pr-kt-7k9/","ссылка")</f>
        <v/>
      </c>
      <c r="R1315" t="inlineStr"/>
      <c r="S1315" t="inlineStr"/>
    </row>
    <row r="1316">
      <c r="A1316" t="inlineStr">
        <is>
          <t>Приморский</t>
        </is>
      </c>
      <c r="B1316" t="inlineStr">
        <is>
          <t>Вавиловых ул, 10к1 А</t>
        </is>
      </c>
      <c r="C1316" t="inlineStr">
        <is>
          <t>sale</t>
        </is>
      </c>
      <c r="D1316" t="inlineStr"/>
      <c r="E1316" t="inlineStr">
        <is>
          <t>Да</t>
        </is>
      </c>
      <c r="F1316" t="inlineStr"/>
      <c r="G1316" t="inlineStr"/>
      <c r="H1316" t="inlineStr">
        <is>
          <t>278</t>
        </is>
      </c>
      <c r="I1316" t="inlineStr"/>
      <c r="J1316" t="inlineStr"/>
      <c r="K1316" t="inlineStr">
        <is>
          <t>56 500 000</t>
        </is>
      </c>
      <c r="L1316" t="inlineStr"/>
      <c r="M1316" t="inlineStr"/>
      <c r="N1316" t="inlineStr">
        <is>
          <t>По адресу есть, но площадь другая</t>
        </is>
      </c>
      <c r="O1316" t="inlineStr"/>
      <c r="P1316" t="inlineStr"/>
      <c r="Q1316" t="inlineStr"/>
      <c r="R1316">
        <f>HYPERLINK("https://nordwestinvest.ru/real-estates/prodaza-magnit-82-let-okupaemosti-v-gorode-278m2","ссылка")</f>
        <v/>
      </c>
      <c r="S1316" t="inlineStr"/>
    </row>
    <row r="1317">
      <c r="A1317" t="inlineStr">
        <is>
          <t>Приморский</t>
        </is>
      </c>
      <c r="B1317" t="inlineStr">
        <is>
          <t>Вазаский пер, 3стр1</t>
        </is>
      </c>
      <c r="C1317" t="inlineStr">
        <is>
          <t>sale</t>
        </is>
      </c>
      <c r="D1317" t="inlineStr">
        <is>
          <t>Да</t>
        </is>
      </c>
      <c r="E1317" t="inlineStr"/>
      <c r="F1317" t="inlineStr"/>
      <c r="G1317" t="inlineStr">
        <is>
          <t>105.6</t>
        </is>
      </c>
      <c r="H1317" t="inlineStr"/>
      <c r="I1317" t="inlineStr"/>
      <c r="J1317" t="inlineStr">
        <is>
          <t>41 247 360</t>
        </is>
      </c>
      <c r="K1317" t="inlineStr"/>
      <c r="L1317" t="inlineStr"/>
      <c r="M1317" t="inlineStr">
        <is>
          <t>Нет у нас</t>
        </is>
      </c>
      <c r="N1317" t="inlineStr"/>
      <c r="O1317" t="inlineStr"/>
      <c r="P1317" t="inlineStr"/>
      <c r="Q1317">
        <f>HYPERLINK("https://knru.ru/catalog/vazaskij-per-d-3/","ссылка")</f>
        <v/>
      </c>
      <c r="R1317" t="inlineStr"/>
      <c r="S1317" t="inlineStr"/>
    </row>
    <row r="1318">
      <c r="A1318" t="inlineStr">
        <is>
          <t>Приморский</t>
        </is>
      </c>
      <c r="B1318" t="inlineStr">
        <is>
          <t>Варшавская ул, 32 А</t>
        </is>
      </c>
      <c r="C1318" t="inlineStr">
        <is>
          <t>sale</t>
        </is>
      </c>
      <c r="D1318" t="inlineStr"/>
      <c r="E1318" t="inlineStr">
        <is>
          <t>Да</t>
        </is>
      </c>
      <c r="F1318" t="inlineStr"/>
      <c r="G1318" t="inlineStr"/>
      <c r="H1318" t="inlineStr">
        <is>
          <t>323</t>
        </is>
      </c>
      <c r="I1318" t="inlineStr"/>
      <c r="J1318" t="inlineStr"/>
      <c r="K1318" t="inlineStr">
        <is>
          <t>11 950 000</t>
        </is>
      </c>
      <c r="L1318" t="inlineStr"/>
      <c r="M1318" t="inlineStr"/>
      <c r="N1318" t="inlineStr">
        <is>
          <t>По адресу есть, но площадь другая</t>
        </is>
      </c>
      <c r="O1318" t="inlineStr"/>
      <c r="P1318" t="inlineStr"/>
      <c r="Q1318" t="inlineStr"/>
      <c r="R1318">
        <f>HYPERLINK("https://nordwestinvest.ru/real-estates/prodaza-pomeshheniia-pod-iuradresaofis-323-m2","ссылка")</f>
        <v/>
      </c>
      <c r="S1318" t="inlineStr"/>
    </row>
    <row r="1319">
      <c r="A1319" t="inlineStr">
        <is>
          <t>Приморский</t>
        </is>
      </c>
      <c r="B1319" t="inlineStr">
        <is>
          <t>Вилькицкий б-р, 7</t>
        </is>
      </c>
      <c r="C1319" t="inlineStr">
        <is>
          <t>sale</t>
        </is>
      </c>
      <c r="D1319" t="inlineStr">
        <is>
          <t>Да</t>
        </is>
      </c>
      <c r="E1319" t="inlineStr"/>
      <c r="F1319" t="inlineStr"/>
      <c r="G1319" t="inlineStr">
        <is>
          <t>172.2</t>
        </is>
      </c>
      <c r="H1319" t="inlineStr"/>
      <c r="I1319" t="inlineStr"/>
      <c r="J1319" t="inlineStr">
        <is>
          <t>35 000 000</t>
        </is>
      </c>
      <c r="K1319" t="inlineStr"/>
      <c r="L1319" t="inlineStr"/>
      <c r="M1319" t="inlineStr">
        <is>
          <t>Нет у нас</t>
        </is>
      </c>
      <c r="N1319" t="inlineStr"/>
      <c r="O1319" t="inlineStr"/>
      <c r="P1319" t="inlineStr"/>
      <c r="Q1319">
        <f>HYPERLINK("https://knru.ru/catalog/vilkitskiy-bulvar-d-7/","ссылка")</f>
        <v/>
      </c>
      <c r="R1319" t="inlineStr"/>
      <c r="S1319" t="inlineStr"/>
    </row>
    <row r="1320">
      <c r="A1320" t="inlineStr">
        <is>
          <t>Приморский</t>
        </is>
      </c>
      <c r="B1320" t="inlineStr">
        <is>
          <t>Гаккелевская ул, 32 А</t>
        </is>
      </c>
      <c r="C1320" t="inlineStr">
        <is>
          <t>sale</t>
        </is>
      </c>
      <c r="D1320" t="inlineStr">
        <is>
          <t>Да</t>
        </is>
      </c>
      <c r="E1320" t="inlineStr"/>
      <c r="F1320" t="inlineStr"/>
      <c r="G1320" t="inlineStr">
        <is>
          <t>420</t>
        </is>
      </c>
      <c r="H1320" t="inlineStr"/>
      <c r="I1320" t="inlineStr"/>
      <c r="J1320" t="inlineStr">
        <is>
          <t>185 000 000</t>
        </is>
      </c>
      <c r="K1320" t="inlineStr"/>
      <c r="L1320" t="inlineStr"/>
      <c r="M1320" t="inlineStr">
        <is>
          <t>По адресу есть, но площадь другая</t>
        </is>
      </c>
      <c r="N1320" t="inlineStr"/>
      <c r="O1320" t="inlineStr"/>
      <c r="P1320" t="inlineStr"/>
      <c r="Q1320">
        <f>HYPERLINK("https://knru.ru/catalog/gakkelevskaya-d-32/","ссылка")</f>
        <v/>
      </c>
      <c r="R1320" t="inlineStr"/>
      <c r="S1320" t="inlineStr"/>
    </row>
    <row r="1321">
      <c r="A1321" t="inlineStr">
        <is>
          <t>Приморский</t>
        </is>
      </c>
      <c r="B1321" t="inlineStr">
        <is>
          <t>Глухарская ул, 31</t>
        </is>
      </c>
      <c r="C1321" t="inlineStr">
        <is>
          <t>sale</t>
        </is>
      </c>
      <c r="D1321" t="inlineStr">
        <is>
          <t>Да</t>
        </is>
      </c>
      <c r="E1321" t="inlineStr"/>
      <c r="F1321" t="inlineStr"/>
      <c r="G1321" t="inlineStr">
        <is>
          <t>66</t>
        </is>
      </c>
      <c r="H1321" t="inlineStr"/>
      <c r="I1321" t="inlineStr"/>
      <c r="J1321" t="inlineStr">
        <is>
          <t>24 262 478</t>
        </is>
      </c>
      <c r="K1321" t="inlineStr"/>
      <c r="L1321" t="inlineStr"/>
      <c r="M1321" t="inlineStr">
        <is>
          <t>Нет у нас</t>
        </is>
      </c>
      <c r="N1321" t="inlineStr"/>
      <c r="O1321" t="inlineStr"/>
      <c r="P1321" t="inlineStr"/>
      <c r="Q1321">
        <f>HYPERLINK("https://knru.ru/catalog/ul-glukharskaya-d-31/","ссылка")</f>
        <v/>
      </c>
      <c r="R1321" t="inlineStr"/>
      <c r="S1321" t="inlineStr"/>
    </row>
    <row r="1322">
      <c r="A1322" t="inlineStr">
        <is>
          <t>Приморский</t>
        </is>
      </c>
      <c r="B1322" t="inlineStr">
        <is>
          <t>Долгоозёрная ул, 12к3 А</t>
        </is>
      </c>
      <c r="C1322" t="inlineStr">
        <is>
          <t>sale</t>
        </is>
      </c>
      <c r="D1322" t="inlineStr">
        <is>
          <t>Да</t>
        </is>
      </c>
      <c r="E1322" t="inlineStr"/>
      <c r="F1322" t="inlineStr"/>
      <c r="G1322" t="inlineStr">
        <is>
          <t>328</t>
        </is>
      </c>
      <c r="H1322" t="inlineStr"/>
      <c r="I1322" t="inlineStr"/>
      <c r="J1322" t="inlineStr">
        <is>
          <t>61 800 000</t>
        </is>
      </c>
      <c r="K1322" t="inlineStr"/>
      <c r="L1322" t="inlineStr"/>
      <c r="M1322" t="inlineStr">
        <is>
          <t>Нет у нас</t>
        </is>
      </c>
      <c r="N1322" t="inlineStr"/>
      <c r="O1322" t="inlineStr"/>
      <c r="P1322" t="inlineStr"/>
      <c r="Q1322">
        <f>HYPERLINK("https://knru.ru/catalog/ul-dolgoozyernaya-d-12-k-3-lit-a/","ссылка")</f>
        <v/>
      </c>
      <c r="R1322" t="inlineStr"/>
      <c r="S1322" t="inlineStr"/>
    </row>
    <row r="1323">
      <c r="A1323" t="inlineStr">
        <is>
          <t>Приморский</t>
        </is>
      </c>
      <c r="B1323" t="inlineStr">
        <is>
          <t>Испытателей пр-кт, 30к2 А</t>
        </is>
      </c>
      <c r="C1323" t="inlineStr">
        <is>
          <t>sale</t>
        </is>
      </c>
      <c r="D1323" t="inlineStr">
        <is>
          <t>Да</t>
        </is>
      </c>
      <c r="E1323" t="inlineStr"/>
      <c r="F1323" t="inlineStr"/>
      <c r="G1323" t="inlineStr">
        <is>
          <t>14000</t>
        </is>
      </c>
      <c r="H1323" t="inlineStr"/>
      <c r="I1323" t="inlineStr"/>
      <c r="J1323" t="inlineStr">
        <is>
          <t>980 000 000</t>
        </is>
      </c>
      <c r="K1323" t="inlineStr"/>
      <c r="L1323" t="inlineStr"/>
      <c r="M1323" t="inlineStr">
        <is>
          <t>По адресу есть, но площадь другая</t>
        </is>
      </c>
      <c r="N1323" t="inlineStr"/>
      <c r="O1323" t="inlineStr"/>
      <c r="P1323" t="inlineStr"/>
      <c r="Q1323">
        <f>HYPERLINK("https://knru.ru/catalog/pr-kt-ispytatelej-d-30-k-2/","ссылка")</f>
        <v/>
      </c>
      <c r="R1323" t="inlineStr"/>
      <c r="S1323" t="inlineStr"/>
    </row>
    <row r="1324">
      <c r="A1324" t="inlineStr">
        <is>
          <t>Приморский</t>
        </is>
      </c>
      <c r="B1324" t="inlineStr">
        <is>
          <t>Камышовая ул, 17</t>
        </is>
      </c>
      <c r="C1324" t="inlineStr">
        <is>
          <t>sale</t>
        </is>
      </c>
      <c r="D1324" t="inlineStr"/>
      <c r="E1324" t="inlineStr">
        <is>
          <t>Да</t>
        </is>
      </c>
      <c r="F1324" t="inlineStr"/>
      <c r="G1324" t="inlineStr"/>
      <c r="H1324" t="inlineStr">
        <is>
          <t>3470</t>
        </is>
      </c>
      <c r="I1324" t="inlineStr"/>
      <c r="J1324" t="inlineStr"/>
      <c r="K1324" t="inlineStr">
        <is>
          <t>609 000 000</t>
        </is>
      </c>
      <c r="L1324" t="inlineStr"/>
      <c r="M1324" t="inlineStr"/>
      <c r="N1324" t="inlineStr">
        <is>
          <t>Нет у нас</t>
        </is>
      </c>
      <c r="O1324" t="inlineStr"/>
      <c r="P1324" t="inlineStr"/>
      <c r="Q1324" t="inlineStr"/>
      <c r="R1324">
        <f>HYPERLINK("https://nordwestinvest.ru/real-estates/osz-s-okupaemostiu-12-let-s-zemlei","ссылка")</f>
        <v/>
      </c>
      <c r="S1324" t="inlineStr"/>
    </row>
    <row r="1325">
      <c r="A1325" t="inlineStr">
        <is>
          <t>Приморский</t>
        </is>
      </c>
      <c r="B1325" t="inlineStr">
        <is>
          <t>Камышовая ул, 17к1</t>
        </is>
      </c>
      <c r="C1325" t="inlineStr">
        <is>
          <t>sale</t>
        </is>
      </c>
      <c r="D1325" t="inlineStr">
        <is>
          <t>Да</t>
        </is>
      </c>
      <c r="E1325" t="inlineStr"/>
      <c r="F1325" t="inlineStr"/>
      <c r="G1325" t="inlineStr">
        <is>
          <t>1200</t>
        </is>
      </c>
      <c r="H1325" t="inlineStr"/>
      <c r="I1325" t="inlineStr"/>
      <c r="J1325" t="inlineStr">
        <is>
          <t>25 000 000</t>
        </is>
      </c>
      <c r="K1325" t="inlineStr"/>
      <c r="L1325" t="inlineStr"/>
      <c r="M1325" t="inlineStr">
        <is>
          <t>Нет у нас</t>
        </is>
      </c>
      <c r="N1325" t="inlineStr"/>
      <c r="O1325" t="inlineStr"/>
      <c r="P1325" t="inlineStr"/>
      <c r="Q1325">
        <f>HYPERLINK("https://knru.ru/catalog/kamyshovaya-ul-17k1/","ссылка")</f>
        <v/>
      </c>
      <c r="R1325" t="inlineStr"/>
      <c r="S1325" t="inlineStr"/>
    </row>
    <row r="1326">
      <c r="A1326" t="inlineStr">
        <is>
          <t>Приморский</t>
        </is>
      </c>
      <c r="B1326" t="inlineStr">
        <is>
          <t>Коломяжский пр., д. 19А</t>
        </is>
      </c>
      <c r="C1326" t="inlineStr">
        <is>
          <t>sale</t>
        </is>
      </c>
      <c r="D1326" t="inlineStr">
        <is>
          <t>Да</t>
        </is>
      </c>
      <c r="E1326" t="inlineStr"/>
      <c r="F1326" t="inlineStr"/>
      <c r="G1326" t="inlineStr">
        <is>
          <t>29.7</t>
        </is>
      </c>
      <c r="H1326" t="inlineStr"/>
      <c r="I1326" t="inlineStr"/>
      <c r="J1326" t="inlineStr">
        <is>
          <t>10 391 500</t>
        </is>
      </c>
      <c r="K1326" t="inlineStr"/>
      <c r="L1326" t="inlineStr"/>
      <c r="M1326" t="inlineStr">
        <is>
          <t>Нет у нас</t>
        </is>
      </c>
      <c r="N1326" t="inlineStr"/>
      <c r="O1326" t="inlineStr"/>
      <c r="P1326" t="inlineStr"/>
      <c r="Q1326">
        <f>HYPERLINK("https://knru.ru/catalog/kolomyazhskiy-pr-d-19a/","ссылка")</f>
        <v/>
      </c>
      <c r="R1326" t="inlineStr"/>
      <c r="S1326" t="inlineStr"/>
    </row>
    <row r="1327">
      <c r="A1327" t="inlineStr">
        <is>
          <t>Приморский</t>
        </is>
      </c>
      <c r="B1327" t="inlineStr">
        <is>
          <t>Коломяжский пр-кт, 13 АС</t>
        </is>
      </c>
      <c r="C1327" t="inlineStr">
        <is>
          <t>sale</t>
        </is>
      </c>
      <c r="D1327" t="inlineStr">
        <is>
          <t>Да</t>
        </is>
      </c>
      <c r="E1327" t="inlineStr"/>
      <c r="F1327" t="inlineStr"/>
      <c r="G1327" t="inlineStr">
        <is>
          <t>96.9</t>
        </is>
      </c>
      <c r="H1327" t="inlineStr"/>
      <c r="I1327" t="inlineStr"/>
      <c r="J1327" t="inlineStr">
        <is>
          <t>28 119 700</t>
        </is>
      </c>
      <c r="K1327" t="inlineStr"/>
      <c r="L1327" t="inlineStr"/>
      <c r="M1327" t="inlineStr">
        <is>
          <t>Нет у нас</t>
        </is>
      </c>
      <c r="N1327" t="inlineStr"/>
      <c r="O1327" t="inlineStr"/>
      <c r="P1327" t="inlineStr"/>
      <c r="Q1327">
        <f>HYPERLINK("https://knru.ru/catalog/pr-kolomyazhskiy-d-13-805524045/","ссылка")</f>
        <v/>
      </c>
      <c r="R1327" t="inlineStr"/>
      <c r="S1327" t="inlineStr"/>
    </row>
    <row r="1328">
      <c r="A1328" t="inlineStr">
        <is>
          <t>Приморский</t>
        </is>
      </c>
      <c r="B1328" t="inlineStr">
        <is>
          <t>Коломяжский пр-кт, 13 АС</t>
        </is>
      </c>
      <c r="C1328" t="inlineStr">
        <is>
          <t>sale</t>
        </is>
      </c>
      <c r="D1328" t="inlineStr">
        <is>
          <t>Да</t>
        </is>
      </c>
      <c r="E1328" t="inlineStr"/>
      <c r="F1328" t="inlineStr"/>
      <c r="G1328" t="inlineStr">
        <is>
          <t>69.3</t>
        </is>
      </c>
      <c r="H1328" t="inlineStr"/>
      <c r="I1328" t="inlineStr"/>
      <c r="J1328" t="inlineStr">
        <is>
          <t>22 192 400</t>
        </is>
      </c>
      <c r="K1328" t="inlineStr"/>
      <c r="L1328" t="inlineStr"/>
      <c r="M1328" t="inlineStr">
        <is>
          <t>Нет у нас</t>
        </is>
      </c>
      <c r="N1328" t="inlineStr"/>
      <c r="O1328" t="inlineStr"/>
      <c r="P1328" t="inlineStr"/>
      <c r="Q1328">
        <f>HYPERLINK("https://knru.ru/catalog/pr-kolomyazhskiy-d-13/","ссылка")</f>
        <v/>
      </c>
      <c r="R1328" t="inlineStr"/>
      <c r="S1328" t="inlineStr"/>
    </row>
    <row r="1329">
      <c r="A1329" t="inlineStr">
        <is>
          <t>Приморский</t>
        </is>
      </c>
      <c r="B1329" t="inlineStr">
        <is>
          <t>Коломяжский пр-кт, 13 АС</t>
        </is>
      </c>
      <c r="C1329" t="inlineStr">
        <is>
          <t>sale</t>
        </is>
      </c>
      <c r="D1329" t="inlineStr">
        <is>
          <t>Да</t>
        </is>
      </c>
      <c r="E1329" t="inlineStr"/>
      <c r="F1329" t="inlineStr"/>
      <c r="G1329" t="inlineStr">
        <is>
          <t>132</t>
        </is>
      </c>
      <c r="H1329" t="inlineStr"/>
      <c r="I1329" t="inlineStr"/>
      <c r="J1329" t="inlineStr">
        <is>
          <t>56 174 000</t>
        </is>
      </c>
      <c r="K1329" t="inlineStr"/>
      <c r="L1329" t="inlineStr"/>
      <c r="M1329" t="inlineStr">
        <is>
          <t>Нет у нас</t>
        </is>
      </c>
      <c r="N1329" t="inlineStr"/>
      <c r="O1329" t="inlineStr"/>
      <c r="P1329" t="inlineStr"/>
      <c r="Q1329">
        <f>HYPERLINK("https://knru.ru/catalog/pr-kolomyazhskij-d-13-557125/","ссылка")</f>
        <v/>
      </c>
      <c r="R1329" t="inlineStr"/>
      <c r="S1329" t="inlineStr"/>
    </row>
    <row r="1330">
      <c r="A1330" t="inlineStr">
        <is>
          <t>Приморский</t>
        </is>
      </c>
      <c r="B1330" t="inlineStr">
        <is>
          <t>Коломяжский пр-кт, 13 АС</t>
        </is>
      </c>
      <c r="C1330" t="inlineStr">
        <is>
          <t>sale</t>
        </is>
      </c>
      <c r="D1330" t="inlineStr">
        <is>
          <t>Да</t>
        </is>
      </c>
      <c r="E1330" t="inlineStr"/>
      <c r="F1330" t="inlineStr"/>
      <c r="G1330" t="inlineStr">
        <is>
          <t>119.6</t>
        </is>
      </c>
      <c r="H1330" t="inlineStr"/>
      <c r="I1330" t="inlineStr"/>
      <c r="J1330" t="inlineStr">
        <is>
          <t>39 474 700</t>
        </is>
      </c>
      <c r="K1330" t="inlineStr"/>
      <c r="L1330" t="inlineStr"/>
      <c r="M1330" t="inlineStr">
        <is>
          <t>Нет у нас</t>
        </is>
      </c>
      <c r="N1330" t="inlineStr"/>
      <c r="O1330" t="inlineStr"/>
      <c r="P1330" t="inlineStr"/>
      <c r="Q1330">
        <f>HYPERLINK("https://knru.ru/catalog/pr-kolomyazhskij-d-13-557122/","ссылка")</f>
        <v/>
      </c>
      <c r="R1330" t="inlineStr"/>
      <c r="S1330" t="inlineStr"/>
    </row>
    <row r="1331">
      <c r="A1331" t="inlineStr">
        <is>
          <t>Приморский</t>
        </is>
      </c>
      <c r="B1331" t="inlineStr">
        <is>
          <t>Коломяжский пр-кт, 13 АС</t>
        </is>
      </c>
      <c r="C1331" t="inlineStr">
        <is>
          <t>sale</t>
        </is>
      </c>
      <c r="D1331" t="inlineStr">
        <is>
          <t>Да</t>
        </is>
      </c>
      <c r="E1331" t="inlineStr"/>
      <c r="F1331" t="inlineStr"/>
      <c r="G1331" t="inlineStr">
        <is>
          <t>101.7</t>
        </is>
      </c>
      <c r="H1331" t="inlineStr"/>
      <c r="I1331" t="inlineStr"/>
      <c r="J1331" t="inlineStr">
        <is>
          <t>33 577 600</t>
        </is>
      </c>
      <c r="K1331" t="inlineStr"/>
      <c r="L1331" t="inlineStr"/>
      <c r="M1331" t="inlineStr">
        <is>
          <t>Нет у нас</t>
        </is>
      </c>
      <c r="N1331" t="inlineStr"/>
      <c r="O1331" t="inlineStr"/>
      <c r="P1331" t="inlineStr"/>
      <c r="Q1331">
        <f>HYPERLINK("https://knru.ru/catalog/pr-kolomyazhskij-d-13/","ссылка")</f>
        <v/>
      </c>
      <c r="R1331" t="inlineStr"/>
      <c r="S1331" t="inlineStr"/>
    </row>
    <row r="1332">
      <c r="A1332" t="inlineStr">
        <is>
          <t>Приморский</t>
        </is>
      </c>
      <c r="B1332" t="inlineStr">
        <is>
          <t>Комендантский пр-кт, 17к1</t>
        </is>
      </c>
      <c r="C1332" t="inlineStr">
        <is>
          <t>sale</t>
        </is>
      </c>
      <c r="D1332" t="inlineStr">
        <is>
          <t>Да</t>
        </is>
      </c>
      <c r="E1332" t="inlineStr"/>
      <c r="F1332" t="inlineStr"/>
      <c r="G1332" t="inlineStr">
        <is>
          <t>120</t>
        </is>
      </c>
      <c r="H1332" t="inlineStr"/>
      <c r="I1332" t="inlineStr"/>
      <c r="J1332" t="inlineStr">
        <is>
          <t>56 000 000</t>
        </is>
      </c>
      <c r="K1332" t="inlineStr"/>
      <c r="L1332" t="inlineStr"/>
      <c r="M1332" t="inlineStr">
        <is>
          <t>У нас аренда, у конкурента продажа</t>
        </is>
      </c>
      <c r="N1332" t="inlineStr"/>
      <c r="O1332" t="inlineStr"/>
      <c r="P1332" t="inlineStr"/>
      <c r="Q1332">
        <f>HYPERLINK("https://knru.ru/catalog/pr-komendantskiy-d-17k1/","ссылка")</f>
        <v/>
      </c>
      <c r="R1332" t="inlineStr"/>
      <c r="S1332" t="inlineStr"/>
    </row>
    <row r="1333">
      <c r="A1333" t="inlineStr">
        <is>
          <t>Приморский</t>
        </is>
      </c>
      <c r="B1333" t="inlineStr">
        <is>
          <t>Комендантский пр-кт, 28к1</t>
        </is>
      </c>
      <c r="C1333" t="inlineStr">
        <is>
          <t>sale</t>
        </is>
      </c>
      <c r="D1333" t="inlineStr">
        <is>
          <t>Да</t>
        </is>
      </c>
      <c r="E1333" t="inlineStr"/>
      <c r="F1333" t="inlineStr"/>
      <c r="G1333" t="inlineStr">
        <is>
          <t>653</t>
        </is>
      </c>
      <c r="H1333" t="inlineStr"/>
      <c r="I1333" t="inlineStr"/>
      <c r="J1333" t="inlineStr">
        <is>
          <t>70 000 000</t>
        </is>
      </c>
      <c r="K1333" t="inlineStr"/>
      <c r="L1333" t="inlineStr"/>
      <c r="M1333" t="inlineStr">
        <is>
          <t>По адресу есть, но площадь другая</t>
        </is>
      </c>
      <c r="N1333" t="inlineStr"/>
      <c r="O1333" t="inlineStr"/>
      <c r="P1333" t="inlineStr"/>
      <c r="Q1333">
        <f>HYPERLINK("https://knru.ru/catalog/komendantskiy-pr-kt-28k1-1597765995/","ссылка")</f>
        <v/>
      </c>
      <c r="R1333" t="inlineStr"/>
      <c r="S1333" t="inlineStr"/>
    </row>
    <row r="1334">
      <c r="A1334" t="inlineStr">
        <is>
          <t>Приморский</t>
        </is>
      </c>
      <c r="B1334" t="inlineStr">
        <is>
          <t>Комендантский пр-кт, 60</t>
        </is>
      </c>
      <c r="C1334" t="inlineStr">
        <is>
          <t>sale</t>
        </is>
      </c>
      <c r="D1334" t="inlineStr"/>
      <c r="E1334" t="inlineStr">
        <is>
          <t>Да</t>
        </is>
      </c>
      <c r="F1334" t="inlineStr"/>
      <c r="G1334" t="inlineStr"/>
      <c r="H1334" t="inlineStr">
        <is>
          <t>2787</t>
        </is>
      </c>
      <c r="I1334" t="inlineStr"/>
      <c r="J1334" t="inlineStr"/>
      <c r="K1334" t="inlineStr">
        <is>
          <t>27 000 000</t>
        </is>
      </c>
      <c r="L1334" t="inlineStr"/>
      <c r="M1334" t="inlineStr"/>
      <c r="N1334" t="inlineStr">
        <is>
          <t>По адресу есть, но площадь другая</t>
        </is>
      </c>
      <c r="O1334" t="inlineStr"/>
      <c r="P1334" t="inlineStr"/>
      <c r="Q1334" t="inlineStr"/>
      <c r="R1334">
        <f>HYPERLINK("https://nordwestinvest.ru/real-estates/prodaza-zemelnogo-ucastka-vdol-zk-ultra-city","ссылка")</f>
        <v/>
      </c>
      <c r="S1334" t="inlineStr"/>
    </row>
    <row r="1335">
      <c r="A1335" t="inlineStr">
        <is>
          <t>Приморский</t>
        </is>
      </c>
      <c r="B1335" t="inlineStr">
        <is>
          <t>Комендантский пр-кт, 9к2 А</t>
        </is>
      </c>
      <c r="C1335" t="inlineStr">
        <is>
          <t>sale</t>
        </is>
      </c>
      <c r="D1335" t="inlineStr">
        <is>
          <t>Да</t>
        </is>
      </c>
      <c r="E1335" t="inlineStr"/>
      <c r="F1335" t="inlineStr"/>
      <c r="G1335" t="inlineStr">
        <is>
          <t>1831.9</t>
        </is>
      </c>
      <c r="H1335" t="inlineStr"/>
      <c r="I1335" t="inlineStr"/>
      <c r="J1335" t="inlineStr">
        <is>
          <t>310 000 000</t>
        </is>
      </c>
      <c r="K1335" t="inlineStr"/>
      <c r="L1335" t="inlineStr"/>
      <c r="M1335" t="inlineStr">
        <is>
          <t>Нет у нас</t>
        </is>
      </c>
      <c r="N1335" t="inlineStr"/>
      <c r="O1335" t="inlineStr"/>
      <c r="P1335" t="inlineStr"/>
      <c r="Q1335">
        <f>HYPERLINK("https://knru.ru/catalog/komendantskiy-pr-d-9-k-2-1344780278/","ссылка")</f>
        <v/>
      </c>
      <c r="R1335" t="inlineStr"/>
      <c r="S1335" t="inlineStr"/>
    </row>
    <row r="1336">
      <c r="A1336" t="inlineStr">
        <is>
          <t>Приморский</t>
        </is>
      </c>
      <c r="B1336" t="inlineStr">
        <is>
          <t>Комендантский пр-кт, 9к2 А</t>
        </is>
      </c>
      <c r="C1336" t="inlineStr">
        <is>
          <t>sale</t>
        </is>
      </c>
      <c r="D1336" t="inlineStr">
        <is>
          <t>Да</t>
        </is>
      </c>
      <c r="E1336" t="inlineStr"/>
      <c r="F1336" t="inlineStr"/>
      <c r="G1336" t="inlineStr">
        <is>
          <t>867.8</t>
        </is>
      </c>
      <c r="H1336" t="inlineStr"/>
      <c r="I1336" t="inlineStr"/>
      <c r="J1336" t="inlineStr">
        <is>
          <t>121 492 000</t>
        </is>
      </c>
      <c r="K1336" t="inlineStr"/>
      <c r="L1336" t="inlineStr"/>
      <c r="M1336" t="inlineStr">
        <is>
          <t>Нет у нас</t>
        </is>
      </c>
      <c r="N1336" t="inlineStr"/>
      <c r="O1336" t="inlineStr"/>
      <c r="P1336" t="inlineStr"/>
      <c r="Q1336">
        <f>HYPERLINK("https://knru.ru/catalog/komendantskiy-pr-d-9-k-2/","ссылка")</f>
        <v/>
      </c>
      <c r="R1336" t="inlineStr"/>
      <c r="S1336" t="inlineStr"/>
    </row>
    <row r="1337">
      <c r="A1337" t="inlineStr">
        <is>
          <t>Приморский</t>
        </is>
      </c>
      <c r="B1337" t="inlineStr">
        <is>
          <t>Коннолахтинский пр-кт, 27</t>
        </is>
      </c>
      <c r="C1337" t="inlineStr">
        <is>
          <t>sale</t>
        </is>
      </c>
      <c r="D1337" t="inlineStr">
        <is>
          <t>Да</t>
        </is>
      </c>
      <c r="E1337" t="inlineStr"/>
      <c r="F1337" t="inlineStr"/>
      <c r="G1337" t="inlineStr">
        <is>
          <t>740</t>
        </is>
      </c>
      <c r="H1337" t="inlineStr"/>
      <c r="I1337" t="inlineStr"/>
      <c r="J1337" t="inlineStr">
        <is>
          <t>140 000 000</t>
        </is>
      </c>
      <c r="K1337" t="inlineStr"/>
      <c r="L1337" t="inlineStr"/>
      <c r="M1337" t="inlineStr">
        <is>
          <t>Нет у нас</t>
        </is>
      </c>
      <c r="N1337" t="inlineStr"/>
      <c r="O1337" t="inlineStr"/>
      <c r="P1337" t="inlineStr"/>
      <c r="Q1337">
        <f>HYPERLINK("https://knru.ru/catalog/olgino-konnolakhtinskiy-pr-d-27/","ссылка")</f>
        <v/>
      </c>
      <c r="R1337" t="inlineStr"/>
      <c r="S1337" t="inlineStr"/>
    </row>
    <row r="1338">
      <c r="A1338" t="inlineStr">
        <is>
          <t>Приморский</t>
        </is>
      </c>
      <c r="B1338" t="inlineStr">
        <is>
          <t>Королёва пр-кт, 39к1</t>
        </is>
      </c>
      <c r="C1338" t="inlineStr">
        <is>
          <t>sale</t>
        </is>
      </c>
      <c r="D1338" t="inlineStr">
        <is>
          <t>Да</t>
        </is>
      </c>
      <c r="E1338" t="inlineStr"/>
      <c r="F1338" t="inlineStr"/>
      <c r="G1338" t="inlineStr">
        <is>
          <t>71</t>
        </is>
      </c>
      <c r="H1338" t="inlineStr"/>
      <c r="I1338" t="inlineStr"/>
      <c r="J1338" t="inlineStr">
        <is>
          <t>17 548 000</t>
        </is>
      </c>
      <c r="K1338" t="inlineStr"/>
      <c r="L1338" t="inlineStr"/>
      <c r="M1338" t="inlineStr">
        <is>
          <t>Нет у нас</t>
        </is>
      </c>
      <c r="N1338" t="inlineStr"/>
      <c r="O1338" t="inlineStr"/>
      <c r="P1338" t="inlineStr"/>
      <c r="Q1338">
        <f>HYPERLINK("https://knru.ru/catalog/korolyeva-pr-kt-39k1/","ссылка")</f>
        <v/>
      </c>
      <c r="R1338" t="inlineStr"/>
      <c r="S1338" t="inlineStr"/>
    </row>
    <row r="1339">
      <c r="A1339" t="inlineStr">
        <is>
          <t>Приморский</t>
        </is>
      </c>
      <c r="B1339" t="inlineStr">
        <is>
          <t>Королёва пр-кт, 66</t>
        </is>
      </c>
      <c r="C1339" t="inlineStr">
        <is>
          <t>sale</t>
        </is>
      </c>
      <c r="D1339" t="inlineStr"/>
      <c r="E1339" t="inlineStr">
        <is>
          <t>Да</t>
        </is>
      </c>
      <c r="F1339" t="inlineStr"/>
      <c r="G1339" t="inlineStr"/>
      <c r="H1339" t="inlineStr">
        <is>
          <t>157</t>
        </is>
      </c>
      <c r="I1339" t="inlineStr"/>
      <c r="J1339" t="inlineStr"/>
      <c r="K1339" t="inlineStr">
        <is>
          <t>29 900 000</t>
        </is>
      </c>
      <c r="L1339" t="inlineStr"/>
      <c r="M1339" t="inlineStr"/>
      <c r="N1339" t="inlineStr">
        <is>
          <t>Нет у нас</t>
        </is>
      </c>
      <c r="O1339" t="inlineStr"/>
      <c r="P1339" t="inlineStr"/>
      <c r="Q1339" t="inlineStr"/>
      <c r="R1339">
        <f>HYPERLINK("https://nordwestinvest.ru/real-estates/prodaza-pomeshheniia-s-arendatorami-157-m2","ссылка")</f>
        <v/>
      </c>
      <c r="S1339" t="inlineStr"/>
    </row>
    <row r="1340">
      <c r="A1340" t="inlineStr">
        <is>
          <t>Приморский</t>
        </is>
      </c>
      <c r="B1340" t="inlineStr">
        <is>
          <t>Королёва пр-кт, 7 А</t>
        </is>
      </c>
      <c r="C1340" t="inlineStr">
        <is>
          <t>sale</t>
        </is>
      </c>
      <c r="D1340" t="inlineStr">
        <is>
          <t>Да</t>
        </is>
      </c>
      <c r="E1340" t="inlineStr"/>
      <c r="F1340" t="inlineStr"/>
      <c r="G1340" t="inlineStr">
        <is>
          <t>31.7</t>
        </is>
      </c>
      <c r="H1340" t="inlineStr"/>
      <c r="I1340" t="inlineStr"/>
      <c r="J1340" t="inlineStr">
        <is>
          <t>8 400 000</t>
        </is>
      </c>
      <c r="K1340" t="inlineStr"/>
      <c r="L1340" t="inlineStr"/>
      <c r="M1340" t="inlineStr">
        <is>
          <t>По адресу есть, но площадь другая</t>
        </is>
      </c>
      <c r="N1340" t="inlineStr"/>
      <c r="O1340" t="inlineStr"/>
      <c r="P1340" t="inlineStr"/>
      <c r="Q1340">
        <f>HYPERLINK("https://knru.ru/catalog/korolyeva-pr-kt-7-a/","ссылка")</f>
        <v/>
      </c>
      <c r="R1340" t="inlineStr"/>
      <c r="S1340" t="inlineStr"/>
    </row>
    <row r="1341">
      <c r="A1341" t="inlineStr">
        <is>
          <t>Приморский</t>
        </is>
      </c>
      <c r="B1341" t="inlineStr">
        <is>
          <t>Королёва пр-кт, 73</t>
        </is>
      </c>
      <c r="C1341" t="inlineStr">
        <is>
          <t>sale</t>
        </is>
      </c>
      <c r="D1341" t="inlineStr"/>
      <c r="E1341" t="inlineStr">
        <is>
          <t>Да</t>
        </is>
      </c>
      <c r="F1341" t="inlineStr"/>
      <c r="G1341" t="inlineStr"/>
      <c r="H1341" t="inlineStr">
        <is>
          <t>203.6</t>
        </is>
      </c>
      <c r="I1341" t="inlineStr"/>
      <c r="J1341" t="inlineStr"/>
      <c r="K1341" t="inlineStr">
        <is>
          <t>36 000 000</t>
        </is>
      </c>
      <c r="L1341" t="inlineStr"/>
      <c r="M1341" t="inlineStr"/>
      <c r="N1341" t="inlineStr">
        <is>
          <t>Совпало</t>
        </is>
      </c>
      <c r="O1341" t="inlineStr"/>
      <c r="P1341" t="inlineStr"/>
      <c r="Q1341" t="inlineStr"/>
      <c r="R1341">
        <f>HYPERLINK("https://nordwestinvest.ru/real-estates/prodaza-2036-m2-s-arendatorom","ссылка")</f>
        <v/>
      </c>
      <c r="S1341" t="inlineStr"/>
    </row>
    <row r="1342">
      <c r="A1342" t="inlineStr">
        <is>
          <t>Приморский</t>
        </is>
      </c>
      <c r="B1342" t="inlineStr">
        <is>
          <t>Королёва пр-кт, 81</t>
        </is>
      </c>
      <c r="C1342" t="inlineStr">
        <is>
          <t>sale</t>
        </is>
      </c>
      <c r="D1342" t="inlineStr">
        <is>
          <t>Да</t>
        </is>
      </c>
      <c r="E1342" t="inlineStr"/>
      <c r="F1342" t="inlineStr"/>
      <c r="G1342" t="inlineStr">
        <is>
          <t>91.5</t>
        </is>
      </c>
      <c r="H1342" t="inlineStr"/>
      <c r="I1342" t="inlineStr"/>
      <c r="J1342" t="inlineStr">
        <is>
          <t>21 040 000</t>
        </is>
      </c>
      <c r="K1342" t="inlineStr"/>
      <c r="L1342" t="inlineStr"/>
      <c r="M1342" t="inlineStr">
        <is>
          <t>Нет у нас</t>
        </is>
      </c>
      <c r="N1342" t="inlineStr"/>
      <c r="O1342" t="inlineStr"/>
      <c r="P1342" t="inlineStr"/>
      <c r="Q1342">
        <f>HYPERLINK("https://knru.ru/catalog/pr-korolyeva-d-81-817987774/","ссылка")</f>
        <v/>
      </c>
      <c r="R1342" t="inlineStr"/>
      <c r="S1342" t="inlineStr"/>
    </row>
    <row r="1343">
      <c r="A1343" t="inlineStr">
        <is>
          <t>Приморский</t>
        </is>
      </c>
      <c r="B1343" t="inlineStr">
        <is>
          <t>Королёва пр-кт, 81</t>
        </is>
      </c>
      <c r="C1343" t="inlineStr">
        <is>
          <t>sale</t>
        </is>
      </c>
      <c r="D1343" t="inlineStr">
        <is>
          <t>Да</t>
        </is>
      </c>
      <c r="E1343" t="inlineStr"/>
      <c r="F1343" t="inlineStr"/>
      <c r="G1343" t="inlineStr">
        <is>
          <t>63.9</t>
        </is>
      </c>
      <c r="H1343" t="inlineStr"/>
      <c r="I1343" t="inlineStr"/>
      <c r="J1343" t="inlineStr">
        <is>
          <t>16 614 000</t>
        </is>
      </c>
      <c r="K1343" t="inlineStr"/>
      <c r="L1343" t="inlineStr"/>
      <c r="M1343" t="inlineStr">
        <is>
          <t>Нет у нас</t>
        </is>
      </c>
      <c r="N1343" t="inlineStr"/>
      <c r="O1343" t="inlineStr"/>
      <c r="P1343" t="inlineStr"/>
      <c r="Q1343">
        <f>HYPERLINK("https://knru.ru/catalog/pr-korolyeva-d-81-293522867/","ссылка")</f>
        <v/>
      </c>
      <c r="R1343" t="inlineStr"/>
      <c r="S1343" t="inlineStr"/>
    </row>
    <row r="1344">
      <c r="A1344" t="inlineStr">
        <is>
          <t>Приморский</t>
        </is>
      </c>
      <c r="B1344" t="inlineStr">
        <is>
          <t>Королёва пр-кт, 81</t>
        </is>
      </c>
      <c r="C1344" t="inlineStr">
        <is>
          <t>sale</t>
        </is>
      </c>
      <c r="D1344" t="inlineStr">
        <is>
          <t>Да</t>
        </is>
      </c>
      <c r="E1344" t="inlineStr"/>
      <c r="F1344" t="inlineStr"/>
      <c r="G1344" t="inlineStr">
        <is>
          <t>48.2</t>
        </is>
      </c>
      <c r="H1344" t="inlineStr"/>
      <c r="I1344" t="inlineStr"/>
      <c r="J1344" t="inlineStr">
        <is>
          <t>13 014 000</t>
        </is>
      </c>
      <c r="K1344" t="inlineStr"/>
      <c r="L1344" t="inlineStr"/>
      <c r="M1344" t="inlineStr">
        <is>
          <t>Нет у нас</t>
        </is>
      </c>
      <c r="N1344" t="inlineStr"/>
      <c r="O1344" t="inlineStr"/>
      <c r="P1344" t="inlineStr"/>
      <c r="Q1344">
        <f>HYPERLINK("https://knru.ru/catalog/pr-korolyeva-d-81-773233835/","ссылка")</f>
        <v/>
      </c>
      <c r="R1344" t="inlineStr"/>
      <c r="S1344" t="inlineStr"/>
    </row>
    <row r="1345">
      <c r="A1345" t="inlineStr">
        <is>
          <t>Приморский</t>
        </is>
      </c>
      <c r="B1345" t="inlineStr">
        <is>
          <t>Королёва пр-кт, 81</t>
        </is>
      </c>
      <c r="C1345" t="inlineStr">
        <is>
          <t>sale</t>
        </is>
      </c>
      <c r="D1345" t="inlineStr">
        <is>
          <t>Да</t>
        </is>
      </c>
      <c r="E1345" t="inlineStr"/>
      <c r="F1345" t="inlineStr"/>
      <c r="G1345" t="inlineStr">
        <is>
          <t>77.8</t>
        </is>
      </c>
      <c r="H1345" t="inlineStr"/>
      <c r="I1345" t="inlineStr"/>
      <c r="J1345" t="inlineStr">
        <is>
          <t>19 071 000</t>
        </is>
      </c>
      <c r="K1345" t="inlineStr"/>
      <c r="L1345" t="inlineStr"/>
      <c r="M1345" t="inlineStr">
        <is>
          <t>Нет у нас</t>
        </is>
      </c>
      <c r="N1345" t="inlineStr"/>
      <c r="O1345" t="inlineStr"/>
      <c r="P1345" t="inlineStr"/>
      <c r="Q1345">
        <f>HYPERLINK("https://knru.ru/catalog/pr-korolyeva-d-81-1443372955/","ссылка")</f>
        <v/>
      </c>
      <c r="R1345" t="inlineStr"/>
      <c r="S1345" t="inlineStr"/>
    </row>
    <row r="1346">
      <c r="A1346" t="inlineStr">
        <is>
          <t>Приморский</t>
        </is>
      </c>
      <c r="B1346" t="inlineStr">
        <is>
          <t>Крузенштерна пр-кт, 4</t>
        </is>
      </c>
      <c r="C1346" t="inlineStr">
        <is>
          <t>sale</t>
        </is>
      </c>
      <c r="D1346" t="inlineStr">
        <is>
          <t>Да</t>
        </is>
      </c>
      <c r="E1346" t="inlineStr"/>
      <c r="F1346" t="inlineStr"/>
      <c r="G1346" t="inlineStr">
        <is>
          <t>96.5</t>
        </is>
      </c>
      <c r="H1346" t="inlineStr"/>
      <c r="I1346" t="inlineStr"/>
      <c r="J1346" t="inlineStr">
        <is>
          <t>30 796 260</t>
        </is>
      </c>
      <c r="K1346" t="inlineStr"/>
      <c r="L1346" t="inlineStr"/>
      <c r="M1346" t="inlineStr">
        <is>
          <t>Нет у нас</t>
        </is>
      </c>
      <c r="N1346" t="inlineStr"/>
      <c r="O1346" t="inlineStr"/>
      <c r="P1346" t="inlineStr"/>
      <c r="Q1346">
        <f>HYPERLINK("https://knru.ru/catalog/pr-kruzenshterna-d-4-560998/","ссылка")</f>
        <v/>
      </c>
      <c r="R1346" t="inlineStr"/>
      <c r="S1346" t="inlineStr"/>
    </row>
    <row r="1347">
      <c r="A1347" t="inlineStr">
        <is>
          <t>Приморский</t>
        </is>
      </c>
      <c r="B1347" t="inlineStr">
        <is>
          <t>Крузенштерна пр-кт, 4</t>
        </is>
      </c>
      <c r="C1347" t="inlineStr">
        <is>
          <t>sale</t>
        </is>
      </c>
      <c r="D1347" t="inlineStr">
        <is>
          <t>Да</t>
        </is>
      </c>
      <c r="E1347" t="inlineStr"/>
      <c r="F1347" t="inlineStr"/>
      <c r="G1347" t="inlineStr">
        <is>
          <t>61.2</t>
        </is>
      </c>
      <c r="H1347" t="inlineStr"/>
      <c r="I1347" t="inlineStr"/>
      <c r="J1347" t="inlineStr">
        <is>
          <t>19 336 040</t>
        </is>
      </c>
      <c r="K1347" t="inlineStr"/>
      <c r="L1347" t="inlineStr"/>
      <c r="M1347" t="inlineStr">
        <is>
          <t>Нет у нас</t>
        </is>
      </c>
      <c r="N1347" t="inlineStr"/>
      <c r="O1347" t="inlineStr"/>
      <c r="P1347" t="inlineStr"/>
      <c r="Q1347">
        <f>HYPERLINK("https://knru.ru/catalog/pr-kruzenshterna-d-4-560995/","ссылка")</f>
        <v/>
      </c>
      <c r="R1347" t="inlineStr"/>
      <c r="S1347" t="inlineStr"/>
    </row>
    <row r="1348">
      <c r="A1348" t="inlineStr">
        <is>
          <t>Приморский</t>
        </is>
      </c>
      <c r="B1348" t="inlineStr">
        <is>
          <t>Крузенштерна пр-кт, 4</t>
        </is>
      </c>
      <c r="C1348" t="inlineStr">
        <is>
          <t>sale</t>
        </is>
      </c>
      <c r="D1348" t="inlineStr">
        <is>
          <t>Да</t>
        </is>
      </c>
      <c r="E1348" t="inlineStr"/>
      <c r="F1348" t="inlineStr"/>
      <c r="G1348" t="inlineStr">
        <is>
          <t>50.8</t>
        </is>
      </c>
      <c r="H1348" t="inlineStr"/>
      <c r="I1348" t="inlineStr"/>
      <c r="J1348" t="inlineStr">
        <is>
          <t>17 539 800</t>
        </is>
      </c>
      <c r="K1348" t="inlineStr"/>
      <c r="L1348" t="inlineStr"/>
      <c r="M1348" t="inlineStr">
        <is>
          <t>Нет у нас</t>
        </is>
      </c>
      <c r="N1348" t="inlineStr"/>
      <c r="O1348" t="inlineStr"/>
      <c r="P1348" t="inlineStr"/>
      <c r="Q1348">
        <f>HYPERLINK("https://knru.ru/catalog/pr-kruzenshterna-d-4/","ссылка")</f>
        <v/>
      </c>
      <c r="R1348" t="inlineStr"/>
      <c r="S1348" t="inlineStr"/>
    </row>
    <row r="1349">
      <c r="A1349" t="inlineStr">
        <is>
          <t>Приморский</t>
        </is>
      </c>
      <c r="B1349" t="inlineStr">
        <is>
          <t>Ланское ш, 65литераА</t>
        </is>
      </c>
      <c r="C1349" t="inlineStr">
        <is>
          <t>sale</t>
        </is>
      </c>
      <c r="D1349" t="inlineStr">
        <is>
          <t>Да</t>
        </is>
      </c>
      <c r="E1349" t="inlineStr"/>
      <c r="F1349" t="inlineStr"/>
      <c r="G1349" t="inlineStr">
        <is>
          <t>49</t>
        </is>
      </c>
      <c r="H1349" t="inlineStr"/>
      <c r="I1349" t="inlineStr"/>
      <c r="J1349" t="inlineStr">
        <is>
          <t>26 000 000</t>
        </is>
      </c>
      <c r="K1349" t="inlineStr"/>
      <c r="L1349" t="inlineStr"/>
      <c r="M1349" t="inlineStr">
        <is>
          <t>Нет у нас</t>
        </is>
      </c>
      <c r="N1349" t="inlineStr"/>
      <c r="O1349" t="inlineStr"/>
      <c r="P1349" t="inlineStr"/>
      <c r="Q1349">
        <f>HYPERLINK("https://knru.ru/catalog/lanskoe-sh-65literaa-1256883616/","ссылка")</f>
        <v/>
      </c>
      <c r="R1349" t="inlineStr"/>
      <c r="S1349" t="inlineStr"/>
    </row>
    <row r="1350">
      <c r="A1350" t="inlineStr">
        <is>
          <t>Приморский</t>
        </is>
      </c>
      <c r="B1350" t="inlineStr">
        <is>
          <t>Ланское ш, 65литераА</t>
        </is>
      </c>
      <c r="C1350" t="inlineStr">
        <is>
          <t>sale</t>
        </is>
      </c>
      <c r="D1350" t="inlineStr">
        <is>
          <t>Да</t>
        </is>
      </c>
      <c r="E1350" t="inlineStr"/>
      <c r="F1350" t="inlineStr"/>
      <c r="G1350" t="inlineStr">
        <is>
          <t>137</t>
        </is>
      </c>
      <c r="H1350" t="inlineStr"/>
      <c r="I1350" t="inlineStr"/>
      <c r="J1350" t="inlineStr">
        <is>
          <t>43 000 000</t>
        </is>
      </c>
      <c r="K1350" t="inlineStr"/>
      <c r="L1350" t="inlineStr"/>
      <c r="M1350" t="inlineStr">
        <is>
          <t>Нет у нас</t>
        </is>
      </c>
      <c r="N1350" t="inlineStr"/>
      <c r="O1350" t="inlineStr"/>
      <c r="P1350" t="inlineStr"/>
      <c r="Q1350">
        <f>HYPERLINK("https://knru.ru/catalog/lanskoe-sh-65literaa-365118082/","ссылка")</f>
        <v/>
      </c>
      <c r="R1350" t="inlineStr"/>
      <c r="S1350" t="inlineStr"/>
    </row>
    <row r="1351">
      <c r="A1351" t="inlineStr">
        <is>
          <t>Приморский</t>
        </is>
      </c>
      <c r="B1351" t="inlineStr">
        <is>
          <t>Ланское ш, 65литераА</t>
        </is>
      </c>
      <c r="C1351" t="inlineStr">
        <is>
          <t>sale</t>
        </is>
      </c>
      <c r="D1351" t="inlineStr">
        <is>
          <t>Да</t>
        </is>
      </c>
      <c r="E1351" t="inlineStr"/>
      <c r="F1351" t="inlineStr"/>
      <c r="G1351" t="inlineStr">
        <is>
          <t>190</t>
        </is>
      </c>
      <c r="H1351" t="inlineStr"/>
      <c r="I1351" t="inlineStr"/>
      <c r="J1351" t="inlineStr">
        <is>
          <t>49 000 000</t>
        </is>
      </c>
      <c r="K1351" t="inlineStr"/>
      <c r="L1351" t="inlineStr"/>
      <c r="M1351" t="inlineStr">
        <is>
          <t>Нет у нас</t>
        </is>
      </c>
      <c r="N1351" t="inlineStr"/>
      <c r="O1351" t="inlineStr"/>
      <c r="P1351" t="inlineStr"/>
      <c r="Q1351">
        <f>HYPERLINK("https://knru.ru/catalog/lanskoe-sh-65literaa/","ссылка")</f>
        <v/>
      </c>
      <c r="R1351" t="inlineStr"/>
      <c r="S1351" t="inlineStr"/>
    </row>
    <row r="1352">
      <c r="A1352" t="inlineStr">
        <is>
          <t>Приморский</t>
        </is>
      </c>
      <c r="B1352" t="inlineStr">
        <is>
          <t>Лахтинский пр-кт, 129 А</t>
        </is>
      </c>
      <c r="C1352" t="inlineStr">
        <is>
          <t>sale</t>
        </is>
      </c>
      <c r="D1352" t="inlineStr">
        <is>
          <t>Да</t>
        </is>
      </c>
      <c r="E1352" t="inlineStr"/>
      <c r="F1352" t="inlineStr"/>
      <c r="G1352" t="inlineStr">
        <is>
          <t>946</t>
        </is>
      </c>
      <c r="H1352" t="inlineStr"/>
      <c r="I1352" t="inlineStr"/>
      <c r="J1352" t="inlineStr">
        <is>
          <t>245 000 000</t>
        </is>
      </c>
      <c r="K1352" t="inlineStr"/>
      <c r="L1352" t="inlineStr"/>
      <c r="M1352" t="inlineStr">
        <is>
          <t>Нет у нас</t>
        </is>
      </c>
      <c r="N1352" t="inlineStr"/>
      <c r="O1352" t="inlineStr"/>
      <c r="P1352" t="inlineStr"/>
      <c r="Q1352">
        <f>HYPERLINK("https://knru.ru/catalog/lakhtinskiy-pr-d-129/","ссылка")</f>
        <v/>
      </c>
      <c r="R1352" t="inlineStr"/>
      <c r="S1352" t="inlineStr"/>
    </row>
    <row r="1353">
      <c r="A1353" t="inlineStr">
        <is>
          <t>Приморский</t>
        </is>
      </c>
      <c r="B1353" t="inlineStr">
        <is>
          <t>Лахтинский пр-кт, 131 А</t>
        </is>
      </c>
      <c r="C1353" t="inlineStr">
        <is>
          <t>sale</t>
        </is>
      </c>
      <c r="D1353" t="inlineStr">
        <is>
          <t>Да</t>
        </is>
      </c>
      <c r="E1353" t="inlineStr"/>
      <c r="F1353" t="inlineStr"/>
      <c r="G1353" t="inlineStr">
        <is>
          <t>844</t>
        </is>
      </c>
      <c r="H1353" t="inlineStr"/>
      <c r="I1353" t="inlineStr"/>
      <c r="J1353" t="inlineStr">
        <is>
          <t>230 000 000</t>
        </is>
      </c>
      <c r="K1353" t="inlineStr"/>
      <c r="L1353" t="inlineStr"/>
      <c r="M1353" t="inlineStr">
        <is>
          <t>Нет у нас</t>
        </is>
      </c>
      <c r="N1353" t="inlineStr"/>
      <c r="O1353" t="inlineStr"/>
      <c r="P1353" t="inlineStr"/>
      <c r="Q1353">
        <f>HYPERLINK("https://knru.ru/catalog/lakhtinskiy-pr-d-131/","ссылка")</f>
        <v/>
      </c>
      <c r="R1353" t="inlineStr"/>
      <c r="S1353" t="inlineStr"/>
    </row>
    <row r="1354">
      <c r="A1354" t="inlineStr">
        <is>
          <t>Приморский</t>
        </is>
      </c>
      <c r="B1354" t="inlineStr">
        <is>
          <t>Лахтинский пр-кт, 85 В</t>
        </is>
      </c>
      <c r="C1354" t="inlineStr">
        <is>
          <t>sale</t>
        </is>
      </c>
      <c r="D1354" t="inlineStr">
        <is>
          <t>Да</t>
        </is>
      </c>
      <c r="E1354" t="inlineStr"/>
      <c r="F1354" t="inlineStr"/>
      <c r="G1354" t="inlineStr">
        <is>
          <t>1500</t>
        </is>
      </c>
      <c r="H1354" t="inlineStr"/>
      <c r="I1354" t="inlineStr"/>
      <c r="J1354" t="inlineStr">
        <is>
          <t>650 000 000</t>
        </is>
      </c>
      <c r="K1354" t="inlineStr"/>
      <c r="L1354" t="inlineStr"/>
      <c r="M1354" t="inlineStr">
        <is>
          <t>Нет у нас</t>
        </is>
      </c>
      <c r="N1354" t="inlineStr"/>
      <c r="O1354" t="inlineStr"/>
      <c r="P1354" t="inlineStr"/>
      <c r="Q1354">
        <f>HYPERLINK("https://knru.ru/catalog/lakhtinskiy-pr-85-lit-v/","ссылка")</f>
        <v/>
      </c>
      <c r="R1354" t="inlineStr"/>
      <c r="S1354" t="inlineStr"/>
    </row>
    <row r="1355">
      <c r="A1355" t="inlineStr">
        <is>
          <t>Приморский</t>
        </is>
      </c>
      <c r="B1355" t="inlineStr">
        <is>
          <t>Ленинский пр-кт, 131 А</t>
        </is>
      </c>
      <c r="C1355" t="inlineStr">
        <is>
          <t>sale</t>
        </is>
      </c>
      <c r="D1355" t="inlineStr"/>
      <c r="E1355" t="inlineStr">
        <is>
          <t>Да</t>
        </is>
      </c>
      <c r="F1355" t="inlineStr"/>
      <c r="G1355" t="inlineStr"/>
      <c r="H1355" t="inlineStr">
        <is>
          <t>347.4</t>
        </is>
      </c>
      <c r="I1355" t="inlineStr"/>
      <c r="J1355" t="inlineStr"/>
      <c r="K1355" t="inlineStr">
        <is>
          <t>80 000 000</t>
        </is>
      </c>
      <c r="L1355" t="inlineStr"/>
      <c r="M1355" t="inlineStr"/>
      <c r="N1355" t="inlineStr">
        <is>
          <t>Нет у нас</t>
        </is>
      </c>
      <c r="O1355" t="inlineStr"/>
      <c r="P1355" t="inlineStr"/>
      <c r="Q1355" t="inlineStr"/>
      <c r="R1355">
        <f>HYPERLINK("https://nordwestinvest.ru/real-estates/prodaza-dvux-pomeshhenii-3474-m2-s-arendatorom","ссылка")</f>
        <v/>
      </c>
      <c r="S1355" t="inlineStr"/>
    </row>
    <row r="1356">
      <c r="A1356" t="inlineStr">
        <is>
          <t>Приморский</t>
        </is>
      </c>
      <c r="B1356" t="inlineStr">
        <is>
          <t>Лидии Зверевой ул, 5к1</t>
        </is>
      </c>
      <c r="C1356" t="inlineStr">
        <is>
          <t>sale</t>
        </is>
      </c>
      <c r="D1356" t="inlineStr">
        <is>
          <t>Да</t>
        </is>
      </c>
      <c r="E1356" t="inlineStr"/>
      <c r="F1356" t="inlineStr"/>
      <c r="G1356" t="inlineStr">
        <is>
          <t>1543</t>
        </is>
      </c>
      <c r="H1356" t="inlineStr"/>
      <c r="I1356" t="inlineStr"/>
      <c r="J1356" t="inlineStr">
        <is>
          <t>139 000 000</t>
        </is>
      </c>
      <c r="K1356" t="inlineStr"/>
      <c r="L1356" t="inlineStr"/>
      <c r="M1356" t="inlineStr">
        <is>
          <t>Нет у нас</t>
        </is>
      </c>
      <c r="N1356" t="inlineStr"/>
      <c r="O1356" t="inlineStr"/>
      <c r="P1356" t="inlineStr"/>
      <c r="Q1356">
        <f>HYPERLINK("https://knru.ru/catalog/ul-lidii-zverovoj-d-5/","ссылка")</f>
        <v/>
      </c>
      <c r="R1356" t="inlineStr"/>
      <c r="S1356" t="inlineStr"/>
    </row>
    <row r="1357">
      <c r="A1357" t="inlineStr">
        <is>
          <t>Приморский</t>
        </is>
      </c>
      <c r="B1357" t="inlineStr">
        <is>
          <t>Лидии Зверевой ул, 5к2</t>
        </is>
      </c>
      <c r="C1357" t="inlineStr">
        <is>
          <t>sale</t>
        </is>
      </c>
      <c r="D1357" t="inlineStr"/>
      <c r="E1357" t="inlineStr">
        <is>
          <t>Да</t>
        </is>
      </c>
      <c r="F1357" t="inlineStr"/>
      <c r="G1357" t="inlineStr"/>
      <c r="H1357" t="inlineStr">
        <is>
          <t>19000</t>
        </is>
      </c>
      <c r="I1357" t="inlineStr"/>
      <c r="J1357" t="inlineStr"/>
      <c r="K1357" t="inlineStr">
        <is>
          <t>100 000 000</t>
        </is>
      </c>
      <c r="L1357" t="inlineStr"/>
      <c r="M1357" t="inlineStr"/>
      <c r="N1357" t="inlineStr">
        <is>
          <t>Нет у нас</t>
        </is>
      </c>
      <c r="O1357" t="inlineStr"/>
      <c r="P1357" t="inlineStr"/>
      <c r="Q1357" t="inlineStr"/>
      <c r="R1357">
        <f>HYPERLINK("https://nordwestinvest.ru/real-estates/prodaza-zemelnogo-ucastka-19-000-kvm","ссылка")</f>
        <v/>
      </c>
      <c r="S1357" t="inlineStr"/>
    </row>
    <row r="1358">
      <c r="A1358" t="inlineStr">
        <is>
          <t>Приморский</t>
        </is>
      </c>
      <c r="B1358" t="inlineStr">
        <is>
          <t>Лисичанская ул, 15</t>
        </is>
      </c>
      <c r="C1358" t="inlineStr">
        <is>
          <t>sale</t>
        </is>
      </c>
      <c r="D1358" t="inlineStr">
        <is>
          <t>Да</t>
        </is>
      </c>
      <c r="E1358" t="inlineStr"/>
      <c r="F1358" t="inlineStr"/>
      <c r="G1358" t="inlineStr">
        <is>
          <t>132</t>
        </is>
      </c>
      <c r="H1358" t="inlineStr"/>
      <c r="I1358" t="inlineStr"/>
      <c r="J1358" t="inlineStr">
        <is>
          <t>45 506 234</t>
        </is>
      </c>
      <c r="K1358" t="inlineStr"/>
      <c r="L1358" t="inlineStr"/>
      <c r="M1358" t="inlineStr">
        <is>
          <t>Нет у нас</t>
        </is>
      </c>
      <c r="N1358" t="inlineStr"/>
      <c r="O1358" t="inlineStr"/>
      <c r="P1358" t="inlineStr"/>
      <c r="Q1358">
        <f>HYPERLINK("https://knru.ru/catalog/ul-beloostrovskaya-d-28-k-2-lisichanskaya-d-15-560888/","ссылка")</f>
        <v/>
      </c>
      <c r="R1358" t="inlineStr"/>
      <c r="S1358" t="inlineStr"/>
    </row>
    <row r="1359">
      <c r="A1359" t="inlineStr">
        <is>
          <t>Приморский</t>
        </is>
      </c>
      <c r="B1359" t="inlineStr">
        <is>
          <t>Лисичанская ул, 15</t>
        </is>
      </c>
      <c r="C1359" t="inlineStr">
        <is>
          <t>sale</t>
        </is>
      </c>
      <c r="D1359" t="inlineStr">
        <is>
          <t>Да</t>
        </is>
      </c>
      <c r="E1359" t="inlineStr"/>
      <c r="F1359" t="inlineStr"/>
      <c r="G1359" t="inlineStr">
        <is>
          <t>47.5</t>
        </is>
      </c>
      <c r="H1359" t="inlineStr"/>
      <c r="I1359" t="inlineStr"/>
      <c r="J1359" t="inlineStr">
        <is>
          <t>16 997 198</t>
        </is>
      </c>
      <c r="K1359" t="inlineStr"/>
      <c r="L1359" t="inlineStr"/>
      <c r="M1359" t="inlineStr">
        <is>
          <t>Нет у нас</t>
        </is>
      </c>
      <c r="N1359" t="inlineStr"/>
      <c r="O1359" t="inlineStr"/>
      <c r="P1359" t="inlineStr"/>
      <c r="Q1359">
        <f>HYPERLINK("https://knru.ru/catalog/ul-beloostrovskaya-d-28-k-2-lisichanskaya-d-15/","ссылка")</f>
        <v/>
      </c>
      <c r="R1359" t="inlineStr"/>
      <c r="S1359" t="inlineStr"/>
    </row>
    <row r="1360">
      <c r="A1360" t="inlineStr">
        <is>
          <t>Приморский</t>
        </is>
      </c>
      <c r="B1360" t="inlineStr">
        <is>
          <t>Маршака пр-кт, 3стр1</t>
        </is>
      </c>
      <c r="C1360" t="inlineStr">
        <is>
          <t>sale</t>
        </is>
      </c>
      <c r="D1360" t="inlineStr"/>
      <c r="E1360" t="inlineStr">
        <is>
          <t>Да</t>
        </is>
      </c>
      <c r="F1360" t="inlineStr"/>
      <c r="G1360" t="inlineStr"/>
      <c r="H1360" t="inlineStr">
        <is>
          <t>14589</t>
        </is>
      </c>
      <c r="I1360" t="inlineStr"/>
      <c r="J1360" t="inlineStr"/>
      <c r="K1360" t="inlineStr">
        <is>
          <t>40 000 000</t>
        </is>
      </c>
      <c r="L1360" t="inlineStr"/>
      <c r="M1360" t="inlineStr"/>
      <c r="N1360" t="inlineStr">
        <is>
          <t>Нет у нас</t>
        </is>
      </c>
      <c r="O1360" t="inlineStr"/>
      <c r="P1360" t="inlineStr"/>
      <c r="Q1360" t="inlineStr"/>
      <c r="R1360">
        <f>HYPERLINK("https://nordwestinvest.ru/real-estates/prodaza-zu-s-proektom-pavilyonov","ссылка")</f>
        <v/>
      </c>
      <c r="S1360" t="inlineStr"/>
    </row>
    <row r="1361">
      <c r="A1361" t="inlineStr">
        <is>
          <t>Приморский</t>
        </is>
      </c>
      <c r="B1361" t="inlineStr">
        <is>
          <t>Морская наб, 9</t>
        </is>
      </c>
      <c r="C1361" t="inlineStr">
        <is>
          <t>sale</t>
        </is>
      </c>
      <c r="D1361" t="inlineStr">
        <is>
          <t>Да</t>
        </is>
      </c>
      <c r="E1361" t="inlineStr"/>
      <c r="F1361" t="inlineStr"/>
      <c r="G1361" t="inlineStr">
        <is>
          <t>440</t>
        </is>
      </c>
      <c r="H1361" t="inlineStr"/>
      <c r="I1361" t="inlineStr"/>
      <c r="J1361" t="inlineStr">
        <is>
          <t>64 000 000</t>
        </is>
      </c>
      <c r="K1361" t="inlineStr"/>
      <c r="L1361" t="inlineStr"/>
      <c r="M1361" t="inlineStr">
        <is>
          <t>По адресу есть, но площадь другая</t>
        </is>
      </c>
      <c r="N1361" t="inlineStr"/>
      <c r="O1361" t="inlineStr"/>
      <c r="P1361" t="inlineStr"/>
      <c r="Q1361">
        <f>HYPERLINK("https://knru.ru/catalog/morskaya-naberezhnaya-d-9/","ссылка")</f>
        <v/>
      </c>
      <c r="R1361" t="inlineStr"/>
      <c r="S1361" t="inlineStr"/>
    </row>
    <row r="1362">
      <c r="A1362" t="inlineStr">
        <is>
          <t>Приморский</t>
        </is>
      </c>
      <c r="B1362" t="inlineStr">
        <is>
          <t>Оптиков ул</t>
        </is>
      </c>
      <c r="C1362" t="inlineStr">
        <is>
          <t>sale</t>
        </is>
      </c>
      <c r="D1362" t="inlineStr">
        <is>
          <t>Да</t>
        </is>
      </c>
      <c r="E1362" t="inlineStr"/>
      <c r="F1362" t="inlineStr"/>
      <c r="G1362" t="inlineStr">
        <is>
          <t>7600</t>
        </is>
      </c>
      <c r="H1362" t="inlineStr"/>
      <c r="I1362" t="inlineStr"/>
      <c r="J1362" t="inlineStr">
        <is>
          <t>665 000 000</t>
        </is>
      </c>
      <c r="K1362" t="inlineStr"/>
      <c r="L1362" t="inlineStr"/>
      <c r="M1362" t="inlineStr">
        <is>
          <t>Нет у нас</t>
        </is>
      </c>
      <c r="N1362" t="inlineStr"/>
      <c r="O1362" t="inlineStr"/>
      <c r="P1362" t="inlineStr"/>
      <c r="Q1362">
        <f>HYPERLINK("https://knru.ru/catalog/optikov-ul/","ссылка")</f>
        <v/>
      </c>
      <c r="R1362" t="inlineStr"/>
      <c r="S1362" t="inlineStr"/>
    </row>
    <row r="1363">
      <c r="A1363" t="inlineStr">
        <is>
          <t>Приморский</t>
        </is>
      </c>
      <c r="B1363" t="inlineStr">
        <is>
          <t>Оптиков ул, 37</t>
        </is>
      </c>
      <c r="C1363" t="inlineStr">
        <is>
          <t>sale</t>
        </is>
      </c>
      <c r="D1363" t="inlineStr">
        <is>
          <t>Да</t>
        </is>
      </c>
      <c r="E1363" t="inlineStr"/>
      <c r="F1363" t="inlineStr"/>
      <c r="G1363" t="inlineStr">
        <is>
          <t>391</t>
        </is>
      </c>
      <c r="H1363" t="inlineStr"/>
      <c r="I1363" t="inlineStr"/>
      <c r="J1363" t="inlineStr">
        <is>
          <t>50 000 000</t>
        </is>
      </c>
      <c r="K1363" t="inlineStr"/>
      <c r="L1363" t="inlineStr"/>
      <c r="M1363" t="inlineStr">
        <is>
          <t>По адресу есть, но площадь другая</t>
        </is>
      </c>
      <c r="N1363" t="inlineStr"/>
      <c r="O1363" t="inlineStr"/>
      <c r="P1363" t="inlineStr"/>
      <c r="Q1363">
        <f>HYPERLINK("https://knru.ru/catalog/ul-optikov-d-37-587873543/","ссылка")</f>
        <v/>
      </c>
      <c r="R1363" t="inlineStr"/>
      <c r="S1363" t="inlineStr"/>
    </row>
    <row r="1364">
      <c r="A1364" t="inlineStr">
        <is>
          <t>Приморский</t>
        </is>
      </c>
      <c r="B1364" t="inlineStr">
        <is>
          <t>Песочный п, Школьная ул, 80</t>
        </is>
      </c>
      <c r="C1364" t="inlineStr">
        <is>
          <t>sale</t>
        </is>
      </c>
      <c r="D1364" t="inlineStr"/>
      <c r="E1364" t="inlineStr">
        <is>
          <t>Да</t>
        </is>
      </c>
      <c r="F1364" t="inlineStr"/>
      <c r="G1364" t="inlineStr"/>
      <c r="H1364" t="inlineStr">
        <is>
          <t>85</t>
        </is>
      </c>
      <c r="I1364" t="inlineStr"/>
      <c r="J1364" t="inlineStr"/>
      <c r="K1364" t="inlineStr">
        <is>
          <t>24 000 000</t>
        </is>
      </c>
      <c r="L1364" t="inlineStr"/>
      <c r="M1364" t="inlineStr"/>
      <c r="N1364" t="inlineStr">
        <is>
          <t>Нет у нас</t>
        </is>
      </c>
      <c r="O1364" t="inlineStr"/>
      <c r="P1364" t="inlineStr"/>
      <c r="Q1364" t="inlineStr"/>
      <c r="R1364">
        <f>HYPERLINK("https://nordwestinvest.ru/real-estates/pomeshhenie-s-wb-novogo-formata-v-zk","ссылка")</f>
        <v/>
      </c>
      <c r="S1364" t="inlineStr"/>
    </row>
    <row r="1365">
      <c r="A1365" t="inlineStr">
        <is>
          <t>Приморский</t>
        </is>
      </c>
      <c r="B1365" t="inlineStr">
        <is>
          <t>Петергоф г, Разводная ул, 29литераА</t>
        </is>
      </c>
      <c r="C1365" t="inlineStr">
        <is>
          <t>sale</t>
        </is>
      </c>
      <c r="D1365" t="inlineStr"/>
      <c r="E1365" t="inlineStr">
        <is>
          <t>Да</t>
        </is>
      </c>
      <c r="F1365" t="inlineStr"/>
      <c r="G1365" t="inlineStr"/>
      <c r="H1365" t="inlineStr">
        <is>
          <t>73</t>
        </is>
      </c>
      <c r="I1365" t="inlineStr"/>
      <c r="J1365" t="inlineStr"/>
      <c r="K1365" t="inlineStr">
        <is>
          <t>274 999</t>
        </is>
      </c>
      <c r="L1365" t="inlineStr"/>
      <c r="M1365" t="inlineStr"/>
      <c r="N1365" t="inlineStr">
        <is>
          <t>Нет у нас</t>
        </is>
      </c>
      <c r="O1365" t="inlineStr"/>
      <c r="P1365" t="inlineStr"/>
      <c r="Q1365" t="inlineStr"/>
      <c r="R1365">
        <f>HYPERLINK("https://nordwestinvest.ru/real-estates/arenda-pomeshheniia-na-trafike-72m","ссылка")</f>
        <v/>
      </c>
      <c r="S1365" t="inlineStr"/>
    </row>
    <row r="1366">
      <c r="A1366" t="inlineStr">
        <is>
          <t>Приморский</t>
        </is>
      </c>
      <c r="B1366" t="inlineStr">
        <is>
          <t>Планерная ул, 87к1стр1</t>
        </is>
      </c>
      <c r="C1366" t="inlineStr">
        <is>
          <t>sale</t>
        </is>
      </c>
      <c r="D1366" t="inlineStr">
        <is>
          <t>Да</t>
        </is>
      </c>
      <c r="E1366" t="inlineStr"/>
      <c r="F1366" t="inlineStr"/>
      <c r="G1366" t="inlineStr">
        <is>
          <t>110.7</t>
        </is>
      </c>
      <c r="H1366" t="inlineStr"/>
      <c r="I1366" t="inlineStr"/>
      <c r="J1366" t="inlineStr">
        <is>
          <t>25 986 151</t>
        </is>
      </c>
      <c r="K1366" t="inlineStr"/>
      <c r="L1366" t="inlineStr"/>
      <c r="M1366" t="inlineStr">
        <is>
          <t>Нет у нас</t>
        </is>
      </c>
      <c r="N1366" t="inlineStr"/>
      <c r="O1366" t="inlineStr"/>
      <c r="P1366" t="inlineStr"/>
      <c r="Q1366">
        <f>HYPERLINK("https://knru.ru/catalog/planernaya-ul-d-87-k-1-478394153/","ссылка")</f>
        <v/>
      </c>
      <c r="R1366" t="inlineStr"/>
      <c r="S1366" t="inlineStr"/>
    </row>
    <row r="1367">
      <c r="A1367" t="inlineStr">
        <is>
          <t>Приморский</t>
        </is>
      </c>
      <c r="B1367" t="inlineStr">
        <is>
          <t>Планерная ул, 87к1стр1</t>
        </is>
      </c>
      <c r="C1367" t="inlineStr">
        <is>
          <t>sale</t>
        </is>
      </c>
      <c r="D1367" t="inlineStr">
        <is>
          <t>Да</t>
        </is>
      </c>
      <c r="E1367" t="inlineStr"/>
      <c r="F1367" t="inlineStr"/>
      <c r="G1367" t="inlineStr">
        <is>
          <t>66.6</t>
        </is>
      </c>
      <c r="H1367" t="inlineStr"/>
      <c r="I1367" t="inlineStr"/>
      <c r="J1367" t="inlineStr">
        <is>
          <t>17 790 508</t>
        </is>
      </c>
      <c r="K1367" t="inlineStr"/>
      <c r="L1367" t="inlineStr"/>
      <c r="M1367" t="inlineStr">
        <is>
          <t>Нет у нас</t>
        </is>
      </c>
      <c r="N1367" t="inlineStr"/>
      <c r="O1367" t="inlineStr"/>
      <c r="P1367" t="inlineStr"/>
      <c r="Q1367">
        <f>HYPERLINK("https://knru.ru/catalog/planernaya-ul-87k1str1/","ссылка")</f>
        <v/>
      </c>
      <c r="R1367" t="inlineStr"/>
      <c r="S1367" t="inlineStr"/>
    </row>
    <row r="1368">
      <c r="A1368" t="inlineStr">
        <is>
          <t>Приморский</t>
        </is>
      </c>
      <c r="B1368" t="inlineStr">
        <is>
          <t>Планерная ул, 87к1стр1</t>
        </is>
      </c>
      <c r="C1368" t="inlineStr">
        <is>
          <t>sale</t>
        </is>
      </c>
      <c r="D1368" t="inlineStr">
        <is>
          <t>Да</t>
        </is>
      </c>
      <c r="E1368" t="inlineStr"/>
      <c r="F1368" t="inlineStr"/>
      <c r="G1368" t="inlineStr">
        <is>
          <t>52.9</t>
        </is>
      </c>
      <c r="H1368" t="inlineStr"/>
      <c r="I1368" t="inlineStr"/>
      <c r="J1368" t="inlineStr">
        <is>
          <t>16 082 212</t>
        </is>
      </c>
      <c r="K1368" t="inlineStr"/>
      <c r="L1368" t="inlineStr"/>
      <c r="M1368" t="inlineStr">
        <is>
          <t>Нет у нас</t>
        </is>
      </c>
      <c r="N1368" t="inlineStr"/>
      <c r="O1368" t="inlineStr"/>
      <c r="P1368" t="inlineStr"/>
      <c r="Q1368">
        <f>HYPERLINK("https://knru.ru/catalog/planernaya-ul-d-87-k-1/","ссылка")</f>
        <v/>
      </c>
      <c r="R1368" t="inlineStr"/>
      <c r="S1368" t="inlineStr"/>
    </row>
    <row r="1369">
      <c r="A1369" t="inlineStr">
        <is>
          <t>Приморский</t>
        </is>
      </c>
      <c r="B1369" t="inlineStr">
        <is>
          <t>Плесецкая ул, 26стр1</t>
        </is>
      </c>
      <c r="C1369" t="inlineStr">
        <is>
          <t>sale</t>
        </is>
      </c>
      <c r="D1369" t="inlineStr">
        <is>
          <t>Да</t>
        </is>
      </c>
      <c r="E1369" t="inlineStr"/>
      <c r="F1369" t="inlineStr"/>
      <c r="G1369" t="inlineStr">
        <is>
          <t>123.8</t>
        </is>
      </c>
      <c r="H1369" t="inlineStr"/>
      <c r="I1369" t="inlineStr"/>
      <c r="J1369" t="inlineStr">
        <is>
          <t>28 870 000</t>
        </is>
      </c>
      <c r="K1369" t="inlineStr"/>
      <c r="L1369" t="inlineStr"/>
      <c r="M1369" t="inlineStr">
        <is>
          <t>Нет у нас</t>
        </is>
      </c>
      <c r="N1369" t="inlineStr"/>
      <c r="O1369" t="inlineStr"/>
      <c r="P1369" t="inlineStr"/>
      <c r="Q1369">
        <f>HYPERLINK("https://knru.ru/catalog/plesetskaya-ulitsa-d-26-k-2-1/","ссылка")</f>
        <v/>
      </c>
      <c r="R1369" t="inlineStr"/>
      <c r="S1369" t="inlineStr"/>
    </row>
    <row r="1370">
      <c r="A1370" t="inlineStr">
        <is>
          <t>Приморский</t>
        </is>
      </c>
      <c r="B1370" t="inlineStr">
        <is>
          <t>Приморский пр-кт, 137к1 А</t>
        </is>
      </c>
      <c r="C1370" t="inlineStr">
        <is>
          <t>sale</t>
        </is>
      </c>
      <c r="D1370" t="inlineStr">
        <is>
          <t>Да</t>
        </is>
      </c>
      <c r="E1370" t="inlineStr"/>
      <c r="F1370" t="inlineStr"/>
      <c r="G1370" t="inlineStr">
        <is>
          <t>602</t>
        </is>
      </c>
      <c r="H1370" t="inlineStr"/>
      <c r="I1370" t="inlineStr"/>
      <c r="J1370" t="inlineStr">
        <is>
          <t>95 000 000</t>
        </is>
      </c>
      <c r="K1370" t="inlineStr"/>
      <c r="L1370" t="inlineStr"/>
      <c r="M1370" t="inlineStr">
        <is>
          <t>Нет у нас</t>
        </is>
      </c>
      <c r="N1370" t="inlineStr"/>
      <c r="O1370" t="inlineStr"/>
      <c r="P1370" t="inlineStr"/>
      <c r="Q1370">
        <f>HYPERLINK("https://knru.ru/catalog/primorskij-pr-t-d-137-k-1/","ссылка")</f>
        <v/>
      </c>
      <c r="R1370" t="inlineStr"/>
      <c r="S1370" t="inlineStr"/>
    </row>
    <row r="1371">
      <c r="A1371" t="inlineStr">
        <is>
          <t>Приморский</t>
        </is>
      </c>
      <c r="B1371" t="inlineStr">
        <is>
          <t>Приморский пр-кт, 32</t>
        </is>
      </c>
      <c r="C1371" t="inlineStr">
        <is>
          <t>sale</t>
        </is>
      </c>
      <c r="D1371" t="inlineStr">
        <is>
          <t>Да</t>
        </is>
      </c>
      <c r="E1371" t="inlineStr"/>
      <c r="F1371" t="inlineStr"/>
      <c r="G1371" t="inlineStr">
        <is>
          <t>1555</t>
        </is>
      </c>
      <c r="H1371" t="inlineStr"/>
      <c r="I1371" t="inlineStr"/>
      <c r="J1371" t="inlineStr">
        <is>
          <t>315 000 000</t>
        </is>
      </c>
      <c r="K1371" t="inlineStr"/>
      <c r="L1371" t="inlineStr"/>
      <c r="M1371" t="inlineStr">
        <is>
          <t>Нет у нас</t>
        </is>
      </c>
      <c r="N1371" t="inlineStr"/>
      <c r="O1371" t="inlineStr"/>
      <c r="P1371" t="inlineStr"/>
      <c r="Q1371">
        <f>HYPERLINK("https://knru.ru/catalog/primorskiy-pr-d-32/","ссылка")</f>
        <v/>
      </c>
      <c r="R1371" t="inlineStr"/>
      <c r="S1371" t="inlineStr"/>
    </row>
    <row r="1372">
      <c r="A1372" t="inlineStr">
        <is>
          <t>Приморский</t>
        </is>
      </c>
      <c r="B1372" t="inlineStr">
        <is>
          <t>Приморский пр-кт, 62к1 стр 1</t>
        </is>
      </c>
      <c r="C1372" t="inlineStr">
        <is>
          <t>sale</t>
        </is>
      </c>
      <c r="D1372" t="inlineStr">
        <is>
          <t>Да</t>
        </is>
      </c>
      <c r="E1372" t="inlineStr"/>
      <c r="F1372" t="inlineStr"/>
      <c r="G1372" t="inlineStr">
        <is>
          <t>1363</t>
        </is>
      </c>
      <c r="H1372" t="inlineStr"/>
      <c r="I1372" t="inlineStr"/>
      <c r="J1372" t="inlineStr">
        <is>
          <t>175 000 000</t>
        </is>
      </c>
      <c r="K1372" t="inlineStr"/>
      <c r="L1372" t="inlineStr"/>
      <c r="M1372" t="inlineStr">
        <is>
          <t>Нет у нас</t>
        </is>
      </c>
      <c r="N1372" t="inlineStr"/>
      <c r="O1372" t="inlineStr"/>
      <c r="P1372" t="inlineStr"/>
      <c r="Q1372">
        <f>HYPERLINK("https://knru.ru/catalog/primorskiy-pr-d-62/","ссылка")</f>
        <v/>
      </c>
      <c r="R1372" t="inlineStr"/>
      <c r="S1372" t="inlineStr"/>
    </row>
    <row r="1373">
      <c r="A1373" t="inlineStr">
        <is>
          <t>Приморский</t>
        </is>
      </c>
      <c r="B1373" t="inlineStr">
        <is>
          <t>Реки Каменки наб, 13к1 стр 1</t>
        </is>
      </c>
      <c r="C1373" t="inlineStr">
        <is>
          <t>sale</t>
        </is>
      </c>
      <c r="D1373" t="inlineStr"/>
      <c r="E1373" t="inlineStr">
        <is>
          <t>Да</t>
        </is>
      </c>
      <c r="F1373" t="inlineStr"/>
      <c r="G1373" t="inlineStr"/>
      <c r="H1373" t="inlineStr">
        <is>
          <t>119</t>
        </is>
      </c>
      <c r="I1373" t="inlineStr"/>
      <c r="J1373" t="inlineStr"/>
      <c r="K1373" t="inlineStr">
        <is>
          <t>28 500 000</t>
        </is>
      </c>
      <c r="L1373" t="inlineStr"/>
      <c r="M1373" t="inlineStr"/>
      <c r="N1373" t="inlineStr">
        <is>
          <t>Нет у нас</t>
        </is>
      </c>
      <c r="O1373" t="inlineStr"/>
      <c r="P1373" t="inlineStr"/>
      <c r="Q1373" t="inlineStr"/>
      <c r="R1373">
        <f>HYPERLINK("https://nordwestinvest.ru/real-estates/prodaza-pomeshheniia-u-novoorlovskogo-zakaznika","ссылка")</f>
        <v/>
      </c>
      <c r="S1373" t="inlineStr"/>
    </row>
    <row r="1374">
      <c r="A1374" t="inlineStr">
        <is>
          <t>Приморский</t>
        </is>
      </c>
      <c r="B1374" t="inlineStr">
        <is>
          <t>Реки Каменки наб, 15к2 стр 1</t>
        </is>
      </c>
      <c r="C1374" t="inlineStr">
        <is>
          <t>sale</t>
        </is>
      </c>
      <c r="D1374" t="inlineStr">
        <is>
          <t>Да</t>
        </is>
      </c>
      <c r="E1374" t="inlineStr"/>
      <c r="F1374" t="inlineStr"/>
      <c r="G1374" t="inlineStr">
        <is>
          <t>337</t>
        </is>
      </c>
      <c r="H1374" t="inlineStr"/>
      <c r="I1374" t="inlineStr"/>
      <c r="J1374" t="inlineStr">
        <is>
          <t>33 705 000</t>
        </is>
      </c>
      <c r="K1374" t="inlineStr"/>
      <c r="L1374" t="inlineStr"/>
      <c r="M1374" t="inlineStr">
        <is>
          <t>Корпус/строение не совпало</t>
        </is>
      </c>
      <c r="N1374" t="inlineStr"/>
      <c r="O1374" t="inlineStr"/>
      <c r="P1374" t="inlineStr"/>
      <c r="Q1374">
        <f>HYPERLINK("https://knru.ru/catalog/nab-reki-kamenki-d-15k2-751473184/","ссылка")</f>
        <v/>
      </c>
      <c r="R1374" t="inlineStr"/>
      <c r="S1374" t="inlineStr"/>
    </row>
    <row r="1375">
      <c r="A1375" t="inlineStr">
        <is>
          <t>Приморский</t>
        </is>
      </c>
      <c r="B1375" t="inlineStr">
        <is>
          <t>Реки Каменки наб, 15к2 стр 1</t>
        </is>
      </c>
      <c r="C1375" t="inlineStr">
        <is>
          <t>sale</t>
        </is>
      </c>
      <c r="D1375" t="inlineStr">
        <is>
          <t>Да</t>
        </is>
      </c>
      <c r="E1375" t="inlineStr"/>
      <c r="F1375" t="inlineStr"/>
      <c r="G1375" t="inlineStr">
        <is>
          <t>72</t>
        </is>
      </c>
      <c r="H1375" t="inlineStr"/>
      <c r="I1375" t="inlineStr"/>
      <c r="J1375" t="inlineStr">
        <is>
          <t>17 975 000</t>
        </is>
      </c>
      <c r="K1375" t="inlineStr"/>
      <c r="L1375" t="inlineStr"/>
      <c r="M1375" t="inlineStr">
        <is>
          <t>Корпус/строение не совпало</t>
        </is>
      </c>
      <c r="N1375" t="inlineStr"/>
      <c r="O1375" t="inlineStr"/>
      <c r="P1375" t="inlineStr"/>
      <c r="Q1375">
        <f>HYPERLINK("https://knru.ru/catalog/nab-reki-kamenki-d-15k2/","ссылка")</f>
        <v/>
      </c>
      <c r="R1375" t="inlineStr"/>
      <c r="S1375" t="inlineStr"/>
    </row>
    <row r="1376">
      <c r="A1376" t="inlineStr">
        <is>
          <t>Приморский</t>
        </is>
      </c>
      <c r="B1376" t="inlineStr">
        <is>
          <t>Реки Каменки наб, 15к2стр1</t>
        </is>
      </c>
      <c r="C1376" t="inlineStr">
        <is>
          <t>sale</t>
        </is>
      </c>
      <c r="D1376" t="inlineStr">
        <is>
          <t>Да</t>
        </is>
      </c>
      <c r="E1376" t="inlineStr"/>
      <c r="F1376" t="inlineStr"/>
      <c r="G1376" t="inlineStr">
        <is>
          <t>578</t>
        </is>
      </c>
      <c r="H1376" t="inlineStr"/>
      <c r="I1376" t="inlineStr"/>
      <c r="J1376" t="inlineStr">
        <is>
          <t>173 250 000</t>
        </is>
      </c>
      <c r="K1376" t="inlineStr"/>
      <c r="L1376" t="inlineStr"/>
      <c r="M1376" t="inlineStr">
        <is>
          <t>Нет у нас</t>
        </is>
      </c>
      <c r="N1376" t="inlineStr"/>
      <c r="O1376" t="inlineStr"/>
      <c r="P1376" t="inlineStr"/>
      <c r="Q1376">
        <f>HYPERLINK("https://knru.ru/catalog/nab-reki-kamenki-d-15/","ссылка")</f>
        <v/>
      </c>
      <c r="R1376" t="inlineStr"/>
      <c r="S1376" t="inlineStr"/>
    </row>
    <row r="1377">
      <c r="A1377" t="inlineStr">
        <is>
          <t>Приморский</t>
        </is>
      </c>
      <c r="B1377" t="inlineStr">
        <is>
          <t>Реки Каменки наб, 17к1</t>
        </is>
      </c>
      <c r="C1377" t="inlineStr">
        <is>
          <t>sale</t>
        </is>
      </c>
      <c r="D1377" t="inlineStr">
        <is>
          <t>Да</t>
        </is>
      </c>
      <c r="E1377" t="inlineStr"/>
      <c r="F1377" t="inlineStr"/>
      <c r="G1377" t="inlineStr">
        <is>
          <t>642</t>
        </is>
      </c>
      <c r="H1377" t="inlineStr"/>
      <c r="I1377" t="inlineStr"/>
      <c r="J1377" t="inlineStr">
        <is>
          <t>135 000 000</t>
        </is>
      </c>
      <c r="K1377" t="inlineStr"/>
      <c r="L1377" t="inlineStr"/>
      <c r="M1377" t="inlineStr">
        <is>
          <t>Корпус/строение не совпало</t>
        </is>
      </c>
      <c r="N1377" t="inlineStr"/>
      <c r="O1377" t="inlineStr"/>
      <c r="P1377" t="inlineStr"/>
      <c r="Q1377">
        <f>HYPERLINK("https://knru.ru/catalog/reki-kamenki-nab-17k1/","ссылка")</f>
        <v/>
      </c>
      <c r="R1377" t="inlineStr"/>
      <c r="S1377" t="inlineStr"/>
    </row>
    <row r="1378">
      <c r="A1378" t="inlineStr">
        <is>
          <t>Приморский</t>
        </is>
      </c>
      <c r="B1378" t="inlineStr">
        <is>
          <t>Реки Каменки наб., д. 15 к 2 с 1</t>
        </is>
      </c>
      <c r="C1378" t="inlineStr">
        <is>
          <t>sale</t>
        </is>
      </c>
      <c r="D1378" t="inlineStr">
        <is>
          <t>Да</t>
        </is>
      </c>
      <c r="E1378" t="inlineStr"/>
      <c r="F1378" t="inlineStr"/>
      <c r="G1378" t="inlineStr">
        <is>
          <t>577.5</t>
        </is>
      </c>
      <c r="H1378" t="inlineStr"/>
      <c r="I1378" t="inlineStr"/>
      <c r="J1378" t="inlineStr">
        <is>
          <t>158 812 500</t>
        </is>
      </c>
      <c r="K1378" t="inlineStr"/>
      <c r="L1378" t="inlineStr"/>
      <c r="M1378" t="inlineStr">
        <is>
          <t>Корпус/строение не совпало</t>
        </is>
      </c>
      <c r="N1378" t="inlineStr"/>
      <c r="O1378" t="inlineStr"/>
      <c r="P1378" t="inlineStr"/>
      <c r="Q1378">
        <f>HYPERLINK("https://knru.ru/catalog/reki-kamenki-nab-d-15-k-2-s-1/","ссылка")</f>
        <v/>
      </c>
      <c r="R1378" t="inlineStr"/>
      <c r="S1378" t="inlineStr"/>
    </row>
    <row r="1379">
      <c r="A1379" t="inlineStr">
        <is>
          <t>Приморский</t>
        </is>
      </c>
      <c r="B1379" t="inlineStr">
        <is>
          <t>Репищева ул, 10к1 А</t>
        </is>
      </c>
      <c r="C1379" t="inlineStr">
        <is>
          <t>sale</t>
        </is>
      </c>
      <c r="D1379" t="inlineStr">
        <is>
          <t>Да</t>
        </is>
      </c>
      <c r="E1379" t="inlineStr"/>
      <c r="F1379" t="inlineStr"/>
      <c r="G1379" t="inlineStr">
        <is>
          <t>98</t>
        </is>
      </c>
      <c r="H1379" t="inlineStr"/>
      <c r="I1379" t="inlineStr"/>
      <c r="J1379" t="inlineStr">
        <is>
          <t>13 462 680</t>
        </is>
      </c>
      <c r="K1379" t="inlineStr"/>
      <c r="L1379" t="inlineStr"/>
      <c r="M1379" t="inlineStr">
        <is>
          <t>По адресу есть, но площадь другая</t>
        </is>
      </c>
      <c r="N1379" t="inlineStr"/>
      <c r="O1379" t="inlineStr"/>
      <c r="P1379" t="inlineStr"/>
      <c r="Q1379">
        <f>HYPERLINK("https://knru.ru/catalog/ul-repishcheva-d-10-k-1-560049/","ссылка")</f>
        <v/>
      </c>
      <c r="R1379" t="inlineStr"/>
      <c r="S1379" t="inlineStr"/>
    </row>
    <row r="1380">
      <c r="A1380" t="inlineStr">
        <is>
          <t>Приморский</t>
        </is>
      </c>
      <c r="B1380" t="inlineStr">
        <is>
          <t>Репищева ул, 10к1 А</t>
        </is>
      </c>
      <c r="C1380" t="inlineStr">
        <is>
          <t>sale</t>
        </is>
      </c>
      <c r="D1380" t="inlineStr">
        <is>
          <t>Да</t>
        </is>
      </c>
      <c r="E1380" t="inlineStr"/>
      <c r="F1380" t="inlineStr"/>
      <c r="G1380" t="inlineStr">
        <is>
          <t>117</t>
        </is>
      </c>
      <c r="H1380" t="inlineStr"/>
      <c r="I1380" t="inlineStr"/>
      <c r="J1380" t="inlineStr">
        <is>
          <t>15 958 800</t>
        </is>
      </c>
      <c r="K1380" t="inlineStr"/>
      <c r="L1380" t="inlineStr"/>
      <c r="M1380" t="inlineStr">
        <is>
          <t>По адресу есть, но площадь другая</t>
        </is>
      </c>
      <c r="N1380" t="inlineStr"/>
      <c r="O1380" t="inlineStr"/>
      <c r="P1380" t="inlineStr"/>
      <c r="Q1380">
        <f>HYPERLINK("https://knru.ru/catalog/ul-repishcheva-d-10-k-1/","ссылка")</f>
        <v/>
      </c>
      <c r="R1380" t="inlineStr"/>
      <c r="S1380" t="inlineStr"/>
    </row>
    <row r="1381">
      <c r="A1381" t="inlineStr">
        <is>
          <t>Приморский</t>
        </is>
      </c>
      <c r="B1381" t="inlineStr">
        <is>
          <t>Сенная пл, 7 А</t>
        </is>
      </c>
      <c r="C1381" t="inlineStr">
        <is>
          <t>sale</t>
        </is>
      </c>
      <c r="D1381" t="inlineStr"/>
      <c r="E1381" t="inlineStr">
        <is>
          <t>Да</t>
        </is>
      </c>
      <c r="F1381" t="inlineStr"/>
      <c r="G1381" t="inlineStr"/>
      <c r="H1381" t="inlineStr">
        <is>
          <t>125.7</t>
        </is>
      </c>
      <c r="I1381" t="inlineStr"/>
      <c r="J1381" t="inlineStr"/>
      <c r="K1381" t="inlineStr">
        <is>
          <t>160 000 000</t>
        </is>
      </c>
      <c r="L1381" t="inlineStr"/>
      <c r="M1381" t="inlineStr"/>
      <c r="N1381" t="inlineStr">
        <is>
          <t>По адресу есть, но площадь другая</t>
        </is>
      </c>
      <c r="O1381" t="inlineStr"/>
      <c r="P1381" t="inlineStr"/>
      <c r="Q1381" t="inlineStr"/>
      <c r="R1381">
        <f>HYPERLINK("https://nordwestinvest.ru/real-estates/prodaza-u-metro-sadovaiaspasskaiasennaia-ploshhad","ссылка")</f>
        <v/>
      </c>
      <c r="S1381" t="inlineStr"/>
    </row>
    <row r="1382">
      <c r="A1382" t="inlineStr">
        <is>
          <t>Приморский</t>
        </is>
      </c>
      <c r="B1382" t="inlineStr">
        <is>
          <t>Суздальское ш, 18к4стр1</t>
        </is>
      </c>
      <c r="C1382" t="inlineStr">
        <is>
          <t>sale</t>
        </is>
      </c>
      <c r="D1382" t="inlineStr">
        <is>
          <t>Да</t>
        </is>
      </c>
      <c r="E1382" t="inlineStr"/>
      <c r="F1382" t="inlineStr"/>
      <c r="G1382" t="inlineStr">
        <is>
          <t>71.9</t>
        </is>
      </c>
      <c r="H1382" t="inlineStr"/>
      <c r="I1382" t="inlineStr"/>
      <c r="J1382" t="inlineStr">
        <is>
          <t>18 543 010</t>
        </is>
      </c>
      <c r="K1382" t="inlineStr"/>
      <c r="L1382" t="inlineStr"/>
      <c r="M1382" t="inlineStr">
        <is>
          <t>Нет у нас</t>
        </is>
      </c>
      <c r="N1382" t="inlineStr"/>
      <c r="O1382" t="inlineStr"/>
      <c r="P1382" t="inlineStr"/>
      <c r="Q1382">
        <f>HYPERLINK("https://knru.ru/catalog/suzdalskoe-sh-d-18-k-4/","ссылка")</f>
        <v/>
      </c>
      <c r="R1382" t="inlineStr"/>
      <c r="S1382" t="inlineStr"/>
    </row>
    <row r="1383">
      <c r="A1383" t="inlineStr">
        <is>
          <t>Приморский</t>
        </is>
      </c>
      <c r="B1383" t="inlineStr">
        <is>
          <t>Суздальское шос.</t>
        </is>
      </c>
      <c r="C1383" t="inlineStr">
        <is>
          <t>sale</t>
        </is>
      </c>
      <c r="D1383" t="inlineStr">
        <is>
          <t>Да</t>
        </is>
      </c>
      <c r="E1383" t="inlineStr"/>
      <c r="F1383" t="inlineStr"/>
      <c r="G1383" t="inlineStr">
        <is>
          <t>57.5</t>
        </is>
      </c>
      <c r="H1383" t="inlineStr"/>
      <c r="I1383" t="inlineStr"/>
      <c r="J1383" t="inlineStr">
        <is>
          <t>21 771 165</t>
        </is>
      </c>
      <c r="K1383" t="inlineStr"/>
      <c r="L1383" t="inlineStr"/>
      <c r="M1383" t="inlineStr">
        <is>
          <t>Нет у нас</t>
        </is>
      </c>
      <c r="N1383" t="inlineStr"/>
      <c r="O1383" t="inlineStr"/>
      <c r="P1383" t="inlineStr"/>
      <c r="Q1383">
        <f>HYPERLINK("https://knru.ru/catalog/suzdalskoe-shos-1243863851/","ссылка")</f>
        <v/>
      </c>
      <c r="R1383" t="inlineStr"/>
      <c r="S1383" t="inlineStr"/>
    </row>
    <row r="1384">
      <c r="A1384" t="inlineStr">
        <is>
          <t>Приморский</t>
        </is>
      </c>
      <c r="B1384" t="inlineStr">
        <is>
          <t>Суздальское шос.</t>
        </is>
      </c>
      <c r="C1384" t="inlineStr">
        <is>
          <t>sale</t>
        </is>
      </c>
      <c r="D1384" t="inlineStr">
        <is>
          <t>Да</t>
        </is>
      </c>
      <c r="E1384" t="inlineStr"/>
      <c r="F1384" t="inlineStr"/>
      <c r="G1384" t="inlineStr">
        <is>
          <t>118.2</t>
        </is>
      </c>
      <c r="H1384" t="inlineStr"/>
      <c r="I1384" t="inlineStr"/>
      <c r="J1384" t="inlineStr">
        <is>
          <t>39 620 640</t>
        </is>
      </c>
      <c r="K1384" t="inlineStr"/>
      <c r="L1384" t="inlineStr"/>
      <c r="M1384" t="inlineStr">
        <is>
          <t>Нет у нас</t>
        </is>
      </c>
      <c r="N1384" t="inlineStr"/>
      <c r="O1384" t="inlineStr"/>
      <c r="P1384" t="inlineStr"/>
      <c r="Q1384">
        <f>HYPERLINK("https://knru.ru/catalog/suzdalskoe-shos-43665530/","ссылка")</f>
        <v/>
      </c>
      <c r="R1384" t="inlineStr"/>
      <c r="S1384" t="inlineStr"/>
    </row>
    <row r="1385">
      <c r="A1385" t="inlineStr">
        <is>
          <t>Приморский</t>
        </is>
      </c>
      <c r="B1385" t="inlineStr">
        <is>
          <t>Суздальское шос.</t>
        </is>
      </c>
      <c r="C1385" t="inlineStr">
        <is>
          <t>sale</t>
        </is>
      </c>
      <c r="D1385" t="inlineStr">
        <is>
          <t>Да</t>
        </is>
      </c>
      <c r="E1385" t="inlineStr"/>
      <c r="F1385" t="inlineStr"/>
      <c r="G1385" t="inlineStr">
        <is>
          <t>148.2</t>
        </is>
      </c>
      <c r="H1385" t="inlineStr"/>
      <c r="I1385" t="inlineStr"/>
      <c r="J1385" t="inlineStr">
        <is>
          <t>44 222 880</t>
        </is>
      </c>
      <c r="K1385" t="inlineStr"/>
      <c r="L1385" t="inlineStr"/>
      <c r="M1385" t="inlineStr">
        <is>
          <t>Нет у нас</t>
        </is>
      </c>
      <c r="N1385" t="inlineStr"/>
      <c r="O1385" t="inlineStr"/>
      <c r="P1385" t="inlineStr"/>
      <c r="Q1385">
        <f>HYPERLINK("https://knru.ru/catalog/suzdalskoe-shos-1878857097/","ссылка")</f>
        <v/>
      </c>
      <c r="R1385" t="inlineStr"/>
      <c r="S1385" t="inlineStr"/>
    </row>
    <row r="1386">
      <c r="A1386" t="inlineStr">
        <is>
          <t>Приморский</t>
        </is>
      </c>
      <c r="B1386" t="inlineStr">
        <is>
          <t>Суздальское шос.</t>
        </is>
      </c>
      <c r="C1386" t="inlineStr">
        <is>
          <t>sale</t>
        </is>
      </c>
      <c r="D1386" t="inlineStr">
        <is>
          <t>Да</t>
        </is>
      </c>
      <c r="E1386" t="inlineStr"/>
      <c r="F1386" t="inlineStr"/>
      <c r="G1386" t="inlineStr">
        <is>
          <t>173.7</t>
        </is>
      </c>
      <c r="H1386" t="inlineStr"/>
      <c r="I1386" t="inlineStr"/>
      <c r="J1386" t="inlineStr">
        <is>
          <t>49 869 270</t>
        </is>
      </c>
      <c r="K1386" t="inlineStr"/>
      <c r="L1386" t="inlineStr"/>
      <c r="M1386" t="inlineStr">
        <is>
          <t>Нет у нас</t>
        </is>
      </c>
      <c r="N1386" t="inlineStr"/>
      <c r="O1386" t="inlineStr"/>
      <c r="P1386" t="inlineStr"/>
      <c r="Q1386">
        <f>HYPERLINK("https://knru.ru/catalog/suzdalskoe-shos-775308057/","ссылка")</f>
        <v/>
      </c>
      <c r="R1386" t="inlineStr"/>
      <c r="S1386" t="inlineStr"/>
    </row>
    <row r="1387">
      <c r="A1387" t="inlineStr">
        <is>
          <t>Приморский</t>
        </is>
      </c>
      <c r="B1387" t="inlineStr">
        <is>
          <t>Торфяная дор, 17к6</t>
        </is>
      </c>
      <c r="C1387" t="inlineStr">
        <is>
          <t>sale</t>
        </is>
      </c>
      <c r="D1387" t="inlineStr">
        <is>
          <t>Да</t>
        </is>
      </c>
      <c r="E1387" t="inlineStr"/>
      <c r="F1387" t="inlineStr"/>
      <c r="G1387" t="inlineStr">
        <is>
          <t>2290</t>
        </is>
      </c>
      <c r="H1387" t="inlineStr"/>
      <c r="I1387" t="inlineStr"/>
      <c r="J1387" t="inlineStr">
        <is>
          <t>180 000 000</t>
        </is>
      </c>
      <c r="K1387" t="inlineStr"/>
      <c r="L1387" t="inlineStr"/>
      <c r="M1387" t="inlineStr">
        <is>
          <t>Нет у нас</t>
        </is>
      </c>
      <c r="N1387" t="inlineStr"/>
      <c r="O1387" t="inlineStr"/>
      <c r="P1387" t="inlineStr"/>
      <c r="Q1387">
        <f>HYPERLINK("https://knru.ru/catalog/torfyanaya-doroga-d-17k-6/","ссылка")</f>
        <v/>
      </c>
      <c r="R1387" t="inlineStr"/>
      <c r="S1387" t="inlineStr"/>
    </row>
    <row r="1388">
      <c r="A1388" t="inlineStr">
        <is>
          <t>Приморский</t>
        </is>
      </c>
      <c r="B1388" t="inlineStr">
        <is>
          <t>Чёрной речки наб, 1 А</t>
        </is>
      </c>
      <c r="C1388" t="inlineStr">
        <is>
          <t>sale</t>
        </is>
      </c>
      <c r="D1388" t="inlineStr">
        <is>
          <t>Да</t>
        </is>
      </c>
      <c r="E1388" t="inlineStr"/>
      <c r="F1388" t="inlineStr"/>
      <c r="G1388" t="inlineStr">
        <is>
          <t>123</t>
        </is>
      </c>
      <c r="H1388" t="inlineStr"/>
      <c r="I1388" t="inlineStr"/>
      <c r="J1388" t="inlineStr">
        <is>
          <t>58 627 501</t>
        </is>
      </c>
      <c r="K1388" t="inlineStr"/>
      <c r="L1388" t="inlineStr"/>
      <c r="M1388" t="inlineStr">
        <is>
          <t>Нет у нас</t>
        </is>
      </c>
      <c r="N1388" t="inlineStr"/>
      <c r="O1388" t="inlineStr"/>
      <c r="P1388" t="inlineStr"/>
      <c r="Q1388">
        <f>HYPERLINK("https://knru.ru/catalog/nab-chyernoj-rechki-d-1-557194/","ссылка")</f>
        <v/>
      </c>
      <c r="R1388" t="inlineStr"/>
      <c r="S1388" t="inlineStr"/>
    </row>
    <row r="1389">
      <c r="A1389" t="inlineStr">
        <is>
          <t>Приморский</t>
        </is>
      </c>
      <c r="B1389" t="inlineStr">
        <is>
          <t>Чёрной речки наб, 1 А</t>
        </is>
      </c>
      <c r="C1389" t="inlineStr">
        <is>
          <t>sale</t>
        </is>
      </c>
      <c r="D1389" t="inlineStr">
        <is>
          <t>Да</t>
        </is>
      </c>
      <c r="E1389" t="inlineStr"/>
      <c r="F1389" t="inlineStr"/>
      <c r="G1389" t="inlineStr">
        <is>
          <t>129</t>
        </is>
      </c>
      <c r="H1389" t="inlineStr"/>
      <c r="I1389" t="inlineStr"/>
      <c r="J1389" t="inlineStr">
        <is>
          <t>59 362 485</t>
        </is>
      </c>
      <c r="K1389" t="inlineStr"/>
      <c r="L1389" t="inlineStr"/>
      <c r="M1389" t="inlineStr">
        <is>
          <t>Нет у нас</t>
        </is>
      </c>
      <c r="N1389" t="inlineStr"/>
      <c r="O1389" t="inlineStr"/>
      <c r="P1389" t="inlineStr"/>
      <c r="Q1389">
        <f>HYPERLINK("https://knru.ru/catalog/nab-chyernoj-rechki-d-1-557192/","ссылка")</f>
        <v/>
      </c>
      <c r="R1389" t="inlineStr"/>
      <c r="S1389" t="inlineStr"/>
    </row>
    <row r="1390">
      <c r="A1390" t="inlineStr">
        <is>
          <t>Приморский</t>
        </is>
      </c>
      <c r="B1390" t="inlineStr">
        <is>
          <t>Чёрной речки наб, 1 А</t>
        </is>
      </c>
      <c r="C1390" t="inlineStr">
        <is>
          <t>sale</t>
        </is>
      </c>
      <c r="D1390" t="inlineStr">
        <is>
          <t>Да</t>
        </is>
      </c>
      <c r="E1390" t="inlineStr"/>
      <c r="F1390" t="inlineStr"/>
      <c r="G1390" t="inlineStr">
        <is>
          <t>105.4</t>
        </is>
      </c>
      <c r="H1390" t="inlineStr"/>
      <c r="I1390" t="inlineStr"/>
      <c r="J1390" t="inlineStr">
        <is>
          <t>46 631 542</t>
        </is>
      </c>
      <c r="K1390" t="inlineStr"/>
      <c r="L1390" t="inlineStr"/>
      <c r="M1390" t="inlineStr">
        <is>
          <t>Нет у нас</t>
        </is>
      </c>
      <c r="N1390" t="inlineStr"/>
      <c r="O1390" t="inlineStr"/>
      <c r="P1390" t="inlineStr"/>
      <c r="Q1390">
        <f>HYPERLINK("https://knru.ru/catalog/nab-chyernoj-rechki-d-1/","ссылка")</f>
        <v/>
      </c>
      <c r="R1390" t="inlineStr"/>
      <c r="S1390" t="inlineStr"/>
    </row>
    <row r="1391">
      <c r="A1391" t="inlineStr">
        <is>
          <t>Приморский</t>
        </is>
      </c>
      <c r="B1391" t="inlineStr">
        <is>
          <t>Школьная ул</t>
        </is>
      </c>
      <c r="C1391" t="inlineStr">
        <is>
          <t>sale</t>
        </is>
      </c>
      <c r="D1391" t="inlineStr">
        <is>
          <t>Да</t>
        </is>
      </c>
      <c r="E1391" t="inlineStr"/>
      <c r="F1391" t="inlineStr"/>
      <c r="G1391" t="inlineStr">
        <is>
          <t>10000</t>
        </is>
      </c>
      <c r="H1391" t="inlineStr"/>
      <c r="I1391" t="inlineStr"/>
      <c r="J1391" t="inlineStr">
        <is>
          <t>1 000 000</t>
        </is>
      </c>
      <c r="K1391" t="inlineStr"/>
      <c r="L1391" t="inlineStr"/>
      <c r="M1391" t="inlineStr">
        <is>
          <t>Нет у нас</t>
        </is>
      </c>
      <c r="N1391" t="inlineStr"/>
      <c r="O1391" t="inlineStr"/>
      <c r="P1391" t="inlineStr"/>
      <c r="Q1391">
        <f>HYPERLINK("https://knru.ru/catalog/shkolnaya-ul/","ссылка")</f>
        <v/>
      </c>
      <c r="R1391" t="inlineStr"/>
      <c r="S1391" t="inlineStr"/>
    </row>
    <row r="1392">
      <c r="A1392" t="inlineStr">
        <is>
          <t>Приморский</t>
        </is>
      </c>
      <c r="B1392" t="inlineStr">
        <is>
          <t>Школьная ул, 68</t>
        </is>
      </c>
      <c r="C1392" t="inlineStr">
        <is>
          <t>sale</t>
        </is>
      </c>
      <c r="D1392" t="inlineStr">
        <is>
          <t>Да</t>
        </is>
      </c>
      <c r="E1392" t="inlineStr"/>
      <c r="F1392" t="inlineStr"/>
      <c r="G1392" t="inlineStr">
        <is>
          <t>200</t>
        </is>
      </c>
      <c r="H1392" t="inlineStr"/>
      <c r="I1392" t="inlineStr"/>
      <c r="J1392" t="inlineStr">
        <is>
          <t>49 900 000</t>
        </is>
      </c>
      <c r="K1392" t="inlineStr"/>
      <c r="L1392" t="inlineStr"/>
      <c r="M1392" t="inlineStr">
        <is>
          <t>По адресу есть, но площадь другая</t>
        </is>
      </c>
      <c r="N1392" t="inlineStr"/>
      <c r="O1392" t="inlineStr"/>
      <c r="P1392" t="inlineStr"/>
      <c r="Q1392">
        <f>HYPERLINK("https://knru.ru/catalog/shkolnaya-ul-68/","ссылка")</f>
        <v/>
      </c>
      <c r="R1392" t="inlineStr"/>
      <c r="S1392" t="inlineStr"/>
    </row>
    <row r="1393">
      <c r="A1393" t="inlineStr">
        <is>
          <t>Пушкинский</t>
        </is>
      </c>
      <c r="B1393" t="inlineStr">
        <is>
          <t>Кокколевская ул., 1</t>
        </is>
      </c>
      <c r="C1393" t="inlineStr">
        <is>
          <t>sale</t>
        </is>
      </c>
      <c r="D1393" t="inlineStr">
        <is>
          <t>Да</t>
        </is>
      </c>
      <c r="E1393" t="inlineStr"/>
      <c r="F1393" t="inlineStr"/>
      <c r="G1393" t="inlineStr">
        <is>
          <t>9825</t>
        </is>
      </c>
      <c r="H1393" t="inlineStr"/>
      <c r="I1393" t="inlineStr"/>
      <c r="J1393" t="inlineStr">
        <is>
          <t>1 450 000 000</t>
        </is>
      </c>
      <c r="K1393" t="inlineStr"/>
      <c r="L1393" t="inlineStr"/>
      <c r="M1393" t="inlineStr">
        <is>
          <t>По адресу есть, но площадь другая</t>
        </is>
      </c>
      <c r="N1393" t="inlineStr"/>
      <c r="O1393" t="inlineStr"/>
      <c r="P1393" t="inlineStr"/>
      <c r="Q1393">
        <f>HYPERLINK("https://knru.ru/catalog/kokkolevskaya-ul-d-1/","ссылка")</f>
        <v/>
      </c>
      <c r="R1393" t="inlineStr"/>
      <c r="S1393" t="inlineStr"/>
    </row>
    <row r="1394">
      <c r="A1394" t="inlineStr">
        <is>
          <t>Пушкинский</t>
        </is>
      </c>
      <c r="B1394" t="inlineStr">
        <is>
          <t>Московское ш</t>
        </is>
      </c>
      <c r="C1394" t="inlineStr">
        <is>
          <t>sale</t>
        </is>
      </c>
      <c r="D1394" t="inlineStr">
        <is>
          <t>Да</t>
        </is>
      </c>
      <c r="E1394" t="inlineStr"/>
      <c r="F1394" t="inlineStr"/>
      <c r="G1394" t="inlineStr">
        <is>
          <t>4000</t>
        </is>
      </c>
      <c r="H1394" t="inlineStr"/>
      <c r="I1394" t="inlineStr"/>
      <c r="J1394" t="inlineStr">
        <is>
          <t>22 000 000</t>
        </is>
      </c>
      <c r="K1394" t="inlineStr"/>
      <c r="L1394" t="inlineStr"/>
      <c r="M1394" t="inlineStr">
        <is>
          <t>Нет у нас</t>
        </is>
      </c>
      <c r="N1394" t="inlineStr"/>
      <c r="O1394" t="inlineStr"/>
      <c r="P1394" t="inlineStr"/>
      <c r="Q1394">
        <f>HYPERLINK("https://knru.ru/catalog/moskovskoe-sh-554015/","ссылка")</f>
        <v/>
      </c>
      <c r="R1394" t="inlineStr"/>
      <c r="S1394" t="inlineStr"/>
    </row>
    <row r="1395">
      <c r="A1395" t="inlineStr">
        <is>
          <t>Пушкинский</t>
        </is>
      </c>
      <c r="B1395" t="inlineStr">
        <is>
          <t>Московское ш, 113к2стр1</t>
        </is>
      </c>
      <c r="C1395" t="inlineStr">
        <is>
          <t>sale</t>
        </is>
      </c>
      <c r="D1395" t="inlineStr">
        <is>
          <t>Да</t>
        </is>
      </c>
      <c r="E1395" t="inlineStr"/>
      <c r="F1395" t="inlineStr"/>
      <c r="G1395" t="inlineStr">
        <is>
          <t>2000</t>
        </is>
      </c>
      <c r="H1395" t="inlineStr"/>
      <c r="I1395" t="inlineStr"/>
      <c r="J1395" t="inlineStr">
        <is>
          <t>218 000 000</t>
        </is>
      </c>
      <c r="K1395" t="inlineStr"/>
      <c r="L1395" t="inlineStr"/>
      <c r="M1395" t="inlineStr">
        <is>
          <t>Нет у нас</t>
        </is>
      </c>
      <c r="N1395" t="inlineStr"/>
      <c r="O1395" t="inlineStr"/>
      <c r="P1395" t="inlineStr"/>
      <c r="Q1395">
        <f>HYPERLINK("https://knru.ru/catalog/moskovskoe-sh-113k2str1-551500/","ссылка")</f>
        <v/>
      </c>
      <c r="R1395" t="inlineStr"/>
      <c r="S1395" t="inlineStr"/>
    </row>
    <row r="1396">
      <c r="A1396" t="inlineStr">
        <is>
          <t>Пушкинский</t>
        </is>
      </c>
      <c r="B1396" t="inlineStr">
        <is>
          <t>Московское ш, 161 к 9</t>
        </is>
      </c>
      <c r="C1396" t="inlineStr">
        <is>
          <t>sale</t>
        </is>
      </c>
      <c r="D1396" t="inlineStr">
        <is>
          <t>Да</t>
        </is>
      </c>
      <c r="E1396" t="inlineStr"/>
      <c r="F1396" t="inlineStr"/>
      <c r="G1396" t="inlineStr">
        <is>
          <t>1440</t>
        </is>
      </c>
      <c r="H1396" t="inlineStr"/>
      <c r="I1396" t="inlineStr"/>
      <c r="J1396" t="inlineStr">
        <is>
          <t>108 000 000</t>
        </is>
      </c>
      <c r="K1396" t="inlineStr"/>
      <c r="L1396" t="inlineStr"/>
      <c r="M1396" t="inlineStr">
        <is>
          <t>Нет у нас</t>
        </is>
      </c>
      <c r="N1396" t="inlineStr"/>
      <c r="O1396" t="inlineStr"/>
      <c r="P1396" t="inlineStr"/>
      <c r="Q1396">
        <f>HYPERLINK("https://knru.ru/catalog/moskovskoe-sh-161-k-9-553453/","ссылка")</f>
        <v/>
      </c>
      <c r="R1396" t="inlineStr"/>
      <c r="S1396" t="inlineStr"/>
    </row>
    <row r="1397">
      <c r="A1397" t="inlineStr">
        <is>
          <t>Пушкинский</t>
        </is>
      </c>
      <c r="B1397" t="inlineStr">
        <is>
          <t>Московское ш, 161 к 9</t>
        </is>
      </c>
      <c r="C1397" t="inlineStr">
        <is>
          <t>sale</t>
        </is>
      </c>
      <c r="D1397" t="inlineStr">
        <is>
          <t>Да</t>
        </is>
      </c>
      <c r="E1397" t="inlineStr"/>
      <c r="F1397" t="inlineStr"/>
      <c r="G1397" t="inlineStr">
        <is>
          <t>5760</t>
        </is>
      </c>
      <c r="H1397" t="inlineStr"/>
      <c r="I1397" t="inlineStr"/>
      <c r="J1397" t="inlineStr">
        <is>
          <t>432 000 000</t>
        </is>
      </c>
      <c r="K1397" t="inlineStr"/>
      <c r="L1397" t="inlineStr"/>
      <c r="M1397" t="inlineStr">
        <is>
          <t>Нет у нас</t>
        </is>
      </c>
      <c r="N1397" t="inlineStr"/>
      <c r="O1397" t="inlineStr"/>
      <c r="P1397" t="inlineStr"/>
      <c r="Q1397">
        <f>HYPERLINK("https://knru.ru/catalog/moskovskoe-sh-161-k-9/","ссылка")</f>
        <v/>
      </c>
      <c r="R1397" t="inlineStr"/>
      <c r="S1397" t="inlineStr"/>
    </row>
    <row r="1398">
      <c r="A1398" t="inlineStr">
        <is>
          <t>Пушкинский</t>
        </is>
      </c>
      <c r="B1398" t="inlineStr">
        <is>
          <t>Московское ш, 161к9стр1</t>
        </is>
      </c>
      <c r="C1398" t="inlineStr">
        <is>
          <t>sale</t>
        </is>
      </c>
      <c r="D1398" t="inlineStr">
        <is>
          <t>Да</t>
        </is>
      </c>
      <c r="E1398" t="inlineStr"/>
      <c r="F1398" t="inlineStr"/>
      <c r="G1398" t="inlineStr">
        <is>
          <t>1440</t>
        </is>
      </c>
      <c r="H1398" t="inlineStr"/>
      <c r="I1398" t="inlineStr"/>
      <c r="J1398" t="inlineStr">
        <is>
          <t>1 152 000</t>
        </is>
      </c>
      <c r="K1398" t="inlineStr"/>
      <c r="L1398" t="inlineStr"/>
      <c r="M1398" t="inlineStr">
        <is>
          <t>Нет у нас</t>
        </is>
      </c>
      <c r="N1398" t="inlineStr"/>
      <c r="O1398" t="inlineStr"/>
      <c r="P1398" t="inlineStr"/>
      <c r="Q1398">
        <f>HYPERLINK("https://knru.ru/catalog/p-shushary-moskovskoe-sh-161-k-10-560484/","ссылка")</f>
        <v/>
      </c>
      <c r="R1398" t="inlineStr"/>
      <c r="S1398" t="inlineStr"/>
    </row>
    <row r="1399">
      <c r="A1399" t="inlineStr">
        <is>
          <t>Пушкинский</t>
        </is>
      </c>
      <c r="B1399" t="inlineStr">
        <is>
          <t>Московское ш, 163к2</t>
        </is>
      </c>
      <c r="C1399" t="inlineStr">
        <is>
          <t>sale</t>
        </is>
      </c>
      <c r="D1399" t="inlineStr"/>
      <c r="E1399" t="inlineStr">
        <is>
          <t>Да</t>
        </is>
      </c>
      <c r="F1399" t="inlineStr"/>
      <c r="G1399" t="inlineStr"/>
      <c r="H1399" t="inlineStr">
        <is>
          <t>16000</t>
        </is>
      </c>
      <c r="I1399" t="inlineStr"/>
      <c r="J1399" t="inlineStr"/>
      <c r="K1399" t="inlineStr">
        <is>
          <t>1 520 000 000</t>
        </is>
      </c>
      <c r="L1399" t="inlineStr"/>
      <c r="M1399" t="inlineStr"/>
      <c r="N1399" t="inlineStr">
        <is>
          <t>Нет у нас</t>
        </is>
      </c>
      <c r="O1399" t="inlineStr"/>
      <c r="P1399" t="inlineStr"/>
      <c r="Q1399" t="inlineStr"/>
      <c r="R1399">
        <f>HYPERLINK("https://nordwestinvest.ru/real-estates/prodaza-sklada-klassa-a-novyi-teplyi-gaz","ссылка")</f>
        <v/>
      </c>
      <c r="S1399" t="inlineStr"/>
    </row>
    <row r="1400">
      <c r="A1400" t="inlineStr">
        <is>
          <t>Пушкинский</t>
        </is>
      </c>
      <c r="B1400" t="inlineStr">
        <is>
          <t>Московское ш, 258</t>
        </is>
      </c>
      <c r="C1400" t="inlineStr">
        <is>
          <t>sale</t>
        </is>
      </c>
      <c r="D1400" t="inlineStr">
        <is>
          <t>Да</t>
        </is>
      </c>
      <c r="E1400" t="inlineStr"/>
      <c r="F1400" t="inlineStr"/>
      <c r="G1400" t="inlineStr">
        <is>
          <t>94</t>
        </is>
      </c>
      <c r="H1400" t="inlineStr"/>
      <c r="I1400" t="inlineStr"/>
      <c r="J1400" t="inlineStr">
        <is>
          <t>19 000 000</t>
        </is>
      </c>
      <c r="K1400" t="inlineStr"/>
      <c r="L1400" t="inlineStr"/>
      <c r="M1400" t="inlineStr">
        <is>
          <t>По адресу есть, но площадь другая</t>
        </is>
      </c>
      <c r="N1400" t="inlineStr"/>
      <c r="O1400" t="inlineStr"/>
      <c r="P1400" t="inlineStr"/>
      <c r="Q1400">
        <f>HYPERLINK("https://knru.ru/catalog/shushary-moskovskoe-d-258/","ссылка")</f>
        <v/>
      </c>
      <c r="R1400" t="inlineStr"/>
      <c r="S1400" t="inlineStr"/>
    </row>
    <row r="1401">
      <c r="A1401" t="inlineStr">
        <is>
          <t>Пушкинский</t>
        </is>
      </c>
      <c r="B1401" t="inlineStr">
        <is>
          <t>Московское ш, 25к1 Д</t>
        </is>
      </c>
      <c r="C1401" t="inlineStr">
        <is>
          <t>sale</t>
        </is>
      </c>
      <c r="D1401" t="inlineStr">
        <is>
          <t>Да</t>
        </is>
      </c>
      <c r="E1401" t="inlineStr"/>
      <c r="F1401" t="inlineStr"/>
      <c r="G1401" t="inlineStr">
        <is>
          <t>7666</t>
        </is>
      </c>
      <c r="H1401" t="inlineStr"/>
      <c r="I1401" t="inlineStr"/>
      <c r="J1401" t="inlineStr">
        <is>
          <t>245 000 000</t>
        </is>
      </c>
      <c r="K1401" t="inlineStr"/>
      <c r="L1401" t="inlineStr"/>
      <c r="M1401" t="inlineStr">
        <is>
          <t>Нет у нас</t>
        </is>
      </c>
      <c r="N1401" t="inlineStr"/>
      <c r="O1401" t="inlineStr"/>
      <c r="P1401" t="inlineStr"/>
      <c r="Q1401">
        <f>HYPERLINK("https://knru.ru/catalog/moskovskoe-sh-25k1-d/","ссылка")</f>
        <v/>
      </c>
      <c r="R1401" t="inlineStr"/>
      <c r="S1401" t="inlineStr"/>
    </row>
    <row r="1402">
      <c r="A1402" t="inlineStr">
        <is>
          <t>Пушкинский</t>
        </is>
      </c>
      <c r="B1402" t="inlineStr">
        <is>
          <t>Московское ш, 3</t>
        </is>
      </c>
      <c r="C1402" t="inlineStr">
        <is>
          <t>sale</t>
        </is>
      </c>
      <c r="D1402" t="inlineStr">
        <is>
          <t>Да</t>
        </is>
      </c>
      <c r="E1402" t="inlineStr"/>
      <c r="F1402" t="inlineStr"/>
      <c r="G1402" t="inlineStr">
        <is>
          <t>10000</t>
        </is>
      </c>
      <c r="H1402" t="inlineStr"/>
      <c r="I1402" t="inlineStr"/>
      <c r="J1402" t="inlineStr">
        <is>
          <t>50 000 000</t>
        </is>
      </c>
      <c r="K1402" t="inlineStr"/>
      <c r="L1402" t="inlineStr"/>
      <c r="M1402" t="inlineStr">
        <is>
          <t>По адресу есть, но площадь другая</t>
        </is>
      </c>
      <c r="N1402" t="inlineStr"/>
      <c r="O1402" t="inlineStr"/>
      <c r="P1402" t="inlineStr"/>
      <c r="Q1402">
        <f>HYPERLINK("https://knru.ru/catalog/moskovskoe-sh-3-558656/","ссылка")</f>
        <v/>
      </c>
      <c r="R1402" t="inlineStr"/>
      <c r="S1402" t="inlineStr"/>
    </row>
    <row r="1403">
      <c r="A1403" t="inlineStr">
        <is>
          <t>Пушкинский</t>
        </is>
      </c>
      <c r="B1403" t="inlineStr">
        <is>
          <t>Московское ш, 3</t>
        </is>
      </c>
      <c r="C1403" t="inlineStr">
        <is>
          <t>sale</t>
        </is>
      </c>
      <c r="D1403" t="inlineStr">
        <is>
          <t>Да</t>
        </is>
      </c>
      <c r="E1403" t="inlineStr"/>
      <c r="F1403" t="inlineStr"/>
      <c r="G1403" t="inlineStr">
        <is>
          <t>69000</t>
        </is>
      </c>
      <c r="H1403" t="inlineStr"/>
      <c r="I1403" t="inlineStr"/>
      <c r="J1403" t="inlineStr">
        <is>
          <t>345 000 000</t>
        </is>
      </c>
      <c r="K1403" t="inlineStr"/>
      <c r="L1403" t="inlineStr"/>
      <c r="M1403" t="inlineStr">
        <is>
          <t>По адресу есть, но площадь другая</t>
        </is>
      </c>
      <c r="N1403" t="inlineStr"/>
      <c r="O1403" t="inlineStr"/>
      <c r="P1403" t="inlineStr"/>
      <c r="Q1403">
        <f>HYPERLINK("https://knru.ru/catalog/moskovskoe-sh-3/","ссылка")</f>
        <v/>
      </c>
      <c r="R1403" t="inlineStr"/>
      <c r="S1403" t="inlineStr"/>
    </row>
    <row r="1404">
      <c r="A1404" t="inlineStr">
        <is>
          <t>Пушкинский</t>
        </is>
      </c>
      <c r="B1404" t="inlineStr">
        <is>
          <t>Московское, 250</t>
        </is>
      </c>
      <c r="C1404" t="inlineStr">
        <is>
          <t>sale</t>
        </is>
      </c>
      <c r="D1404" t="inlineStr"/>
      <c r="E1404" t="inlineStr">
        <is>
          <t>Да</t>
        </is>
      </c>
      <c r="F1404" t="inlineStr"/>
      <c r="G1404" t="inlineStr"/>
      <c r="H1404" t="inlineStr">
        <is>
          <t>49521</t>
        </is>
      </c>
      <c r="I1404" t="inlineStr"/>
      <c r="J1404" t="inlineStr"/>
      <c r="K1404" t="inlineStr">
        <is>
          <t>107 000 000</t>
        </is>
      </c>
      <c r="L1404" t="inlineStr"/>
      <c r="M1404" t="inlineStr"/>
      <c r="N1404" t="inlineStr">
        <is>
          <t>Нет у нас</t>
        </is>
      </c>
      <c r="O1404" t="inlineStr"/>
      <c r="P1404" t="inlineStr"/>
      <c r="Q1404" t="inlineStr"/>
      <c r="R1404">
        <f>HYPERLINK("https://nordwestinvest.ru/real-estates/prodaza-zu-pod-texnopark-5-ga","ссылка")</f>
        <v/>
      </c>
      <c r="S1404" t="inlineStr"/>
    </row>
    <row r="1405">
      <c r="A1405" t="inlineStr">
        <is>
          <t>Пушкинский</t>
        </is>
      </c>
      <c r="B1405" t="inlineStr">
        <is>
          <t>Московское, 250</t>
        </is>
      </c>
      <c r="C1405" t="inlineStr">
        <is>
          <t>sale</t>
        </is>
      </c>
      <c r="D1405" t="inlineStr">
        <is>
          <t>Да</t>
        </is>
      </c>
      <c r="E1405" t="inlineStr"/>
      <c r="F1405" t="inlineStr"/>
      <c r="G1405" t="inlineStr">
        <is>
          <t>1500</t>
        </is>
      </c>
      <c r="H1405" t="inlineStr"/>
      <c r="I1405" t="inlineStr"/>
      <c r="J1405" t="inlineStr">
        <is>
          <t>97 500 000</t>
        </is>
      </c>
      <c r="K1405" t="inlineStr"/>
      <c r="L1405" t="inlineStr"/>
      <c r="M1405" t="inlineStr">
        <is>
          <t>Нет у нас</t>
        </is>
      </c>
      <c r="N1405" t="inlineStr"/>
      <c r="O1405" t="inlineStr"/>
      <c r="P1405" t="inlineStr"/>
      <c r="Q1405">
        <f>HYPERLINK("https://knru.ru/catalog/moskovskoe-250/","ссылка")</f>
        <v/>
      </c>
      <c r="R1405" t="inlineStr"/>
      <c r="S1405" t="inlineStr"/>
    </row>
    <row r="1406">
      <c r="A1406" t="inlineStr">
        <is>
          <t>Пушкинский</t>
        </is>
      </c>
      <c r="B1406" t="inlineStr">
        <is>
          <t>Новгородский пр-кт, 8</t>
        </is>
      </c>
      <c r="C1406" t="inlineStr">
        <is>
          <t>sale</t>
        </is>
      </c>
      <c r="D1406" t="inlineStr">
        <is>
          <t>Да</t>
        </is>
      </c>
      <c r="E1406" t="inlineStr"/>
      <c r="F1406" t="inlineStr"/>
      <c r="G1406" t="inlineStr">
        <is>
          <t>189</t>
        </is>
      </c>
      <c r="H1406" t="inlineStr"/>
      <c r="I1406" t="inlineStr"/>
      <c r="J1406" t="inlineStr">
        <is>
          <t>27 000 000</t>
        </is>
      </c>
      <c r="K1406" t="inlineStr"/>
      <c r="L1406" t="inlineStr"/>
      <c r="M1406" t="inlineStr">
        <is>
          <t>Совпало</t>
        </is>
      </c>
      <c r="N1406" t="inlineStr"/>
      <c r="O1406" t="inlineStr"/>
      <c r="P1406" t="inlineStr"/>
      <c r="Q1406">
        <f>HYPERLINK("https://knru.ru/catalog/shushary-pr-novgorodskiy-d-8/","ссылка")</f>
        <v/>
      </c>
      <c r="R1406" t="inlineStr"/>
      <c r="S1406" t="inlineStr"/>
    </row>
    <row r="1407">
      <c r="A1407" t="inlineStr">
        <is>
          <t>Пушкинский</t>
        </is>
      </c>
      <c r="B1407" t="inlineStr">
        <is>
          <t>Окуловская ул, 18</t>
        </is>
      </c>
      <c r="C1407" t="inlineStr">
        <is>
          <t>sale</t>
        </is>
      </c>
      <c r="D1407" t="inlineStr">
        <is>
          <t>Да</t>
        </is>
      </c>
      <c r="E1407" t="inlineStr"/>
      <c r="F1407" t="inlineStr"/>
      <c r="G1407" t="inlineStr">
        <is>
          <t>79.6</t>
        </is>
      </c>
      <c r="H1407" t="inlineStr"/>
      <c r="I1407" t="inlineStr"/>
      <c r="J1407" t="inlineStr">
        <is>
          <t>14 900 000</t>
        </is>
      </c>
      <c r="K1407" t="inlineStr"/>
      <c r="L1407" t="inlineStr"/>
      <c r="M1407" t="inlineStr">
        <is>
          <t>Нет у нас</t>
        </is>
      </c>
      <c r="N1407" t="inlineStr"/>
      <c r="O1407" t="inlineStr"/>
      <c r="P1407" t="inlineStr"/>
      <c r="Q1407">
        <f>HYPERLINK("https://knru.ru/catalog/sankt-peterburg-okulovskaya-ul-18-1738581108/","ссылка")</f>
        <v/>
      </c>
      <c r="R1407" t="inlineStr"/>
      <c r="S1407" t="inlineStr"/>
    </row>
    <row r="1408">
      <c r="A1408" t="inlineStr">
        <is>
          <t>Пушкинский</t>
        </is>
      </c>
      <c r="B1408" t="inlineStr">
        <is>
          <t>Санкт-Петербургское ш</t>
        </is>
      </c>
      <c r="C1408" t="inlineStr">
        <is>
          <t>sale</t>
        </is>
      </c>
      <c r="D1408" t="inlineStr">
        <is>
          <t>Да</t>
        </is>
      </c>
      <c r="E1408" t="inlineStr"/>
      <c r="F1408" t="inlineStr"/>
      <c r="G1408" t="inlineStr">
        <is>
          <t>30537</t>
        </is>
      </c>
      <c r="H1408" t="inlineStr"/>
      <c r="I1408" t="inlineStr"/>
      <c r="J1408" t="inlineStr">
        <is>
          <t>160 000 000</t>
        </is>
      </c>
      <c r="K1408" t="inlineStr"/>
      <c r="L1408" t="inlineStr"/>
      <c r="M1408" t="inlineStr">
        <is>
          <t>Нет у нас</t>
        </is>
      </c>
      <c r="N1408" t="inlineStr"/>
      <c r="O1408" t="inlineStr"/>
      <c r="P1408" t="inlineStr"/>
      <c r="Q1408">
        <f>HYPERLINK("https://knru.ru/catalog/sankt-peterburgskoe-sh/","ссылка")</f>
        <v/>
      </c>
      <c r="R1408" t="inlineStr"/>
      <c r="S1408" t="inlineStr"/>
    </row>
    <row r="1409">
      <c r="A1409" t="inlineStr">
        <is>
          <t>Пушкинский</t>
        </is>
      </c>
      <c r="B1409" t="inlineStr">
        <is>
          <t>Старорусский пр-кт, null</t>
        </is>
      </c>
      <c r="C1409" t="inlineStr">
        <is>
          <t>sale</t>
        </is>
      </c>
      <c r="D1409" t="inlineStr">
        <is>
          <t>Да</t>
        </is>
      </c>
      <c r="E1409" t="inlineStr"/>
      <c r="F1409" t="inlineStr"/>
      <c r="G1409" t="inlineStr">
        <is>
          <t>108.5</t>
        </is>
      </c>
      <c r="H1409" t="inlineStr"/>
      <c r="I1409" t="inlineStr"/>
      <c r="J1409" t="inlineStr">
        <is>
          <t>19 780 198</t>
        </is>
      </c>
      <c r="K1409" t="inlineStr"/>
      <c r="L1409" t="inlineStr"/>
      <c r="M1409" t="inlineStr">
        <is>
          <t>Нет у нас</t>
        </is>
      </c>
      <c r="N1409" t="inlineStr"/>
      <c r="O1409" t="inlineStr"/>
      <c r="P1409" t="inlineStr"/>
      <c r="Q1409">
        <f>HYPERLINK("https://knru.ru/catalog/p-shushary-starorusskiy-pr-kt-zhk-akvilon-all-in-3-0-1351124461/","ссылка")</f>
        <v/>
      </c>
      <c r="R1409" t="inlineStr"/>
      <c r="S1409" t="inlineStr"/>
    </row>
    <row r="1410">
      <c r="A1410" t="inlineStr">
        <is>
          <t>Пушкинский</t>
        </is>
      </c>
      <c r="B1410" t="inlineStr">
        <is>
          <t>Школьная ул, 1 А</t>
        </is>
      </c>
      <c r="C1410" t="inlineStr">
        <is>
          <t>sale</t>
        </is>
      </c>
      <c r="D1410" t="inlineStr">
        <is>
          <t>Да</t>
        </is>
      </c>
      <c r="E1410" t="inlineStr"/>
      <c r="F1410" t="inlineStr"/>
      <c r="G1410" t="inlineStr">
        <is>
          <t>66</t>
        </is>
      </c>
      <c r="H1410" t="inlineStr"/>
      <c r="I1410" t="inlineStr"/>
      <c r="J1410" t="inlineStr">
        <is>
          <t>12 595 484</t>
        </is>
      </c>
      <c r="K1410" t="inlineStr"/>
      <c r="L1410" t="inlineStr"/>
      <c r="M1410" t="inlineStr">
        <is>
          <t>Нет у нас</t>
        </is>
      </c>
      <c r="N1410" t="inlineStr"/>
      <c r="O1410" t="inlineStr"/>
      <c r="P1410" t="inlineStr"/>
      <c r="Q1410">
        <f>HYPERLINK("https://knru.ru/catalog/shushary-shkolnaya-ul-s1/","ссылка")</f>
        <v/>
      </c>
      <c r="R1410" t="inlineStr"/>
      <c r="S1410" t="inlineStr"/>
    </row>
    <row r="1411">
      <c r="A1411" t="inlineStr">
        <is>
          <t>Пушкинский</t>
        </is>
      </c>
      <c r="B1411" t="inlineStr">
        <is>
          <t>Шушары п, Московское ш, 115</t>
        </is>
      </c>
      <c r="C1411" t="inlineStr">
        <is>
          <t>sale</t>
        </is>
      </c>
      <c r="D1411" t="inlineStr"/>
      <c r="E1411" t="inlineStr">
        <is>
          <t>Да</t>
        </is>
      </c>
      <c r="F1411" t="inlineStr"/>
      <c r="G1411" t="inlineStr"/>
      <c r="H1411" t="inlineStr">
        <is>
          <t>1140</t>
        </is>
      </c>
      <c r="I1411" t="inlineStr"/>
      <c r="J1411" t="inlineStr"/>
      <c r="K1411" t="inlineStr">
        <is>
          <t>130 000 000</t>
        </is>
      </c>
      <c r="L1411" t="inlineStr"/>
      <c r="M1411" t="inlineStr"/>
      <c r="N1411" t="inlineStr">
        <is>
          <t>Нет у нас</t>
        </is>
      </c>
      <c r="O1411" t="inlineStr"/>
      <c r="P1411" t="inlineStr"/>
      <c r="Q1411" t="inlineStr"/>
      <c r="R1411">
        <f>HYPERLINK("https://nordwestinvest.ru/real-estates/prodaza-sklada-1440-m2","ссылка")</f>
        <v/>
      </c>
      <c r="S1411" t="inlineStr"/>
    </row>
    <row r="1412">
      <c r="A1412" t="inlineStr">
        <is>
          <t>Русановка</t>
        </is>
      </c>
      <c r="B1412" t="inlineStr">
        <is>
          <t>Новосаратовская, 238А</t>
        </is>
      </c>
      <c r="C1412" t="inlineStr">
        <is>
          <t>sale</t>
        </is>
      </c>
      <c r="D1412" t="inlineStr">
        <is>
          <t>Да</t>
        </is>
      </c>
      <c r="E1412" t="inlineStr"/>
      <c r="F1412" t="inlineStr"/>
      <c r="G1412" t="inlineStr">
        <is>
          <t>424550</t>
        </is>
      </c>
      <c r="H1412" t="inlineStr"/>
      <c r="I1412" t="inlineStr"/>
      <c r="J1412" t="inlineStr">
        <is>
          <t>5 000 000 000</t>
        </is>
      </c>
      <c r="K1412" t="inlineStr"/>
      <c r="L1412" t="inlineStr"/>
      <c r="M1412" t="inlineStr">
        <is>
          <t>Нет у нас</t>
        </is>
      </c>
      <c r="N1412" t="inlineStr"/>
      <c r="O1412" t="inlineStr"/>
      <c r="P1412" t="inlineStr"/>
      <c r="Q1412">
        <f>HYPERLINK("https://knru.ru/catalog/novosaratovskaya-238a/","ссылка")</f>
        <v/>
      </c>
      <c r="R1412" t="inlineStr"/>
      <c r="S1412" t="inlineStr"/>
    </row>
    <row r="1413">
      <c r="A1413" t="inlineStr">
        <is>
          <t>Санкт-Петербург</t>
        </is>
      </c>
      <c r="B1413" t="inlineStr">
        <is>
          <t>-, -</t>
        </is>
      </c>
      <c r="C1413" t="inlineStr">
        <is>
          <t>sale</t>
        </is>
      </c>
      <c r="D1413" t="inlineStr"/>
      <c r="E1413" t="inlineStr">
        <is>
          <t>Да</t>
        </is>
      </c>
      <c r="F1413" t="inlineStr"/>
      <c r="G1413" t="inlineStr"/>
      <c r="H1413" t="inlineStr">
        <is>
          <t>55</t>
        </is>
      </c>
      <c r="I1413" t="inlineStr"/>
      <c r="J1413" t="inlineStr"/>
      <c r="K1413" t="inlineStr">
        <is>
          <t>8 500 000</t>
        </is>
      </c>
      <c r="L1413" t="inlineStr"/>
      <c r="M1413" t="inlineStr"/>
      <c r="N1413" t="inlineStr">
        <is>
          <t>Нет у нас</t>
        </is>
      </c>
      <c r="O1413" t="inlineStr"/>
      <c r="P1413" t="inlineStr"/>
      <c r="Q1413" t="inlineStr"/>
      <c r="R1413">
        <f>HYPERLINK("https://nordwestinvest.ru/real-estates/prodaza-ellinga-v-iaxt-klube-baltiec","ссылка")</f>
        <v/>
      </c>
      <c r="S1413" t="inlineStr"/>
    </row>
    <row r="1414">
      <c r="A1414" t="inlineStr">
        <is>
          <t>Санкт-Петербург</t>
        </is>
      </c>
      <c r="B1414" t="inlineStr">
        <is>
          <t>бадаевский, 5А</t>
        </is>
      </c>
      <c r="C1414" t="inlineStr">
        <is>
          <t>sale</t>
        </is>
      </c>
      <c r="D1414" t="inlineStr"/>
      <c r="E1414" t="inlineStr">
        <is>
          <t>Да</t>
        </is>
      </c>
      <c r="F1414" t="inlineStr"/>
      <c r="G1414" t="inlineStr"/>
      <c r="H1414" t="inlineStr">
        <is>
          <t>18460</t>
        </is>
      </c>
      <c r="I1414" t="inlineStr"/>
      <c r="J1414" t="inlineStr"/>
      <c r="K1414" t="inlineStr">
        <is>
          <t>210 000 000</t>
        </is>
      </c>
      <c r="L1414" t="inlineStr"/>
      <c r="M1414" t="inlineStr"/>
      <c r="N1414" t="inlineStr">
        <is>
          <t>Нет у нас</t>
        </is>
      </c>
      <c r="O1414" t="inlineStr"/>
      <c r="P1414" t="inlineStr"/>
      <c r="Q1414" t="inlineStr"/>
      <c r="R1414">
        <f>HYPERLINK("https://nordwestinvest.ru/real-estates/zemelnyi-ucastok-v-10-minutax-ot-kad","ссылка")</f>
        <v/>
      </c>
      <c r="S1414" t="inlineStr"/>
    </row>
    <row r="1415">
      <c r="A1415" t="inlineStr">
        <is>
          <t>Санкт-Петербург</t>
        </is>
      </c>
      <c r="B1415" t="inlineStr">
        <is>
          <t>Борисова, 9</t>
        </is>
      </c>
      <c r="C1415" t="inlineStr">
        <is>
          <t>sale</t>
        </is>
      </c>
      <c r="D1415" t="inlineStr"/>
      <c r="E1415" t="inlineStr">
        <is>
          <t>Да</t>
        </is>
      </c>
      <c r="F1415" t="inlineStr"/>
      <c r="G1415" t="inlineStr"/>
      <c r="H1415" t="inlineStr">
        <is>
          <t>1850</t>
        </is>
      </c>
      <c r="I1415" t="inlineStr"/>
      <c r="J1415" t="inlineStr"/>
      <c r="K1415" t="inlineStr">
        <is>
          <t>105 000 000</t>
        </is>
      </c>
      <c r="L1415" t="inlineStr"/>
      <c r="M1415" t="inlineStr"/>
      <c r="N1415" t="inlineStr">
        <is>
          <t>Нет у нас</t>
        </is>
      </c>
      <c r="O1415" t="inlineStr"/>
      <c r="P1415" t="inlineStr"/>
      <c r="Q1415" t="inlineStr"/>
      <c r="R1415">
        <f>HYPERLINK("https://nordwestinvest.ru/real-estates/prodaz-osz-830-m2-s-zu-14200-m2-1","ссылка")</f>
        <v/>
      </c>
      <c r="S1415" t="inlineStr"/>
    </row>
    <row r="1416">
      <c r="A1416" t="inlineStr">
        <is>
          <t>Санкт-Петербург</t>
        </is>
      </c>
      <c r="B1416" t="inlineStr">
        <is>
          <t>Веры Слуцкой ул, 46/2</t>
        </is>
      </c>
      <c r="C1416" t="inlineStr">
        <is>
          <t>sale</t>
        </is>
      </c>
      <c r="D1416" t="inlineStr"/>
      <c r="E1416" t="inlineStr">
        <is>
          <t>Да</t>
        </is>
      </c>
      <c r="F1416" t="inlineStr"/>
      <c r="G1416" t="inlineStr"/>
      <c r="H1416" t="inlineStr">
        <is>
          <t>1100</t>
        </is>
      </c>
      <c r="I1416" t="inlineStr"/>
      <c r="J1416" t="inlineStr"/>
      <c r="K1416" t="inlineStr">
        <is>
          <t>97 000 000</t>
        </is>
      </c>
      <c r="L1416" t="inlineStr"/>
      <c r="M1416" t="inlineStr"/>
      <c r="N1416" t="inlineStr">
        <is>
          <t>Нет у нас</t>
        </is>
      </c>
      <c r="O1416" t="inlineStr"/>
      <c r="P1416" t="inlineStr"/>
      <c r="Q1416" t="inlineStr"/>
      <c r="R1416">
        <f>HYPERLINK("https://nordwestinvest.ru/real-estates/prodaza-zdaniia-1100-m2","ссылка")</f>
        <v/>
      </c>
      <c r="S1416" t="inlineStr"/>
    </row>
    <row r="1417">
      <c r="A1417" t="inlineStr">
        <is>
          <t>Санкт-Петербург</t>
        </is>
      </c>
      <c r="B1417" t="inlineStr">
        <is>
          <t>Волхонское, 2Б</t>
        </is>
      </c>
      <c r="C1417" t="inlineStr">
        <is>
          <t>sale</t>
        </is>
      </c>
      <c r="D1417" t="inlineStr">
        <is>
          <t>Да</t>
        </is>
      </c>
      <c r="E1417" t="inlineStr"/>
      <c r="F1417" t="inlineStr"/>
      <c r="G1417" t="inlineStr">
        <is>
          <t>8000</t>
        </is>
      </c>
      <c r="H1417" t="inlineStr"/>
      <c r="I1417" t="inlineStr"/>
      <c r="J1417" t="inlineStr">
        <is>
          <t>34 000 000</t>
        </is>
      </c>
      <c r="K1417" t="inlineStr"/>
      <c r="L1417" t="inlineStr"/>
      <c r="M1417" t="inlineStr">
        <is>
          <t>Нет у нас</t>
        </is>
      </c>
      <c r="N1417" t="inlineStr"/>
      <c r="O1417" t="inlineStr"/>
      <c r="P1417" t="inlineStr"/>
      <c r="Q1417">
        <f>HYPERLINK("https://knru.ru/catalog/volxonskoe-2b-559495/","ссылка")</f>
        <v/>
      </c>
      <c r="R1417" t="inlineStr"/>
      <c r="S1417" t="inlineStr"/>
    </row>
    <row r="1418">
      <c r="A1418" t="inlineStr">
        <is>
          <t>Санкт-Петербург</t>
        </is>
      </c>
      <c r="B1418" t="inlineStr">
        <is>
          <t>Волхонское, 2Б</t>
        </is>
      </c>
      <c r="C1418" t="inlineStr">
        <is>
          <t>sale</t>
        </is>
      </c>
      <c r="D1418" t="inlineStr">
        <is>
          <t>Да</t>
        </is>
      </c>
      <c r="E1418" t="inlineStr"/>
      <c r="F1418" t="inlineStr"/>
      <c r="G1418" t="inlineStr">
        <is>
          <t>2400</t>
        </is>
      </c>
      <c r="H1418" t="inlineStr"/>
      <c r="I1418" t="inlineStr"/>
      <c r="J1418" t="inlineStr">
        <is>
          <t>200 000 000</t>
        </is>
      </c>
      <c r="K1418" t="inlineStr"/>
      <c r="L1418" t="inlineStr"/>
      <c r="M1418" t="inlineStr">
        <is>
          <t>Нет у нас</t>
        </is>
      </c>
      <c r="N1418" t="inlineStr"/>
      <c r="O1418" t="inlineStr"/>
      <c r="P1418" t="inlineStr"/>
      <c r="Q1418">
        <f>HYPERLINK("https://knru.ru/catalog/volxonskoe-2b/","ссылка")</f>
        <v/>
      </c>
      <c r="R1418" t="inlineStr"/>
      <c r="S1418" t="inlineStr"/>
    </row>
    <row r="1419">
      <c r="A1419" t="inlineStr">
        <is>
          <t>Санкт-Петербург</t>
        </is>
      </c>
      <c r="B1419" t="inlineStr">
        <is>
          <t>Гатчинское ш, 10</t>
        </is>
      </c>
      <c r="C1419" t="inlineStr">
        <is>
          <t>sale</t>
        </is>
      </c>
      <c r="D1419" t="inlineStr">
        <is>
          <t>Да</t>
        </is>
      </c>
      <c r="E1419" t="inlineStr"/>
      <c r="F1419" t="inlineStr"/>
      <c r="G1419" t="inlineStr">
        <is>
          <t>1499</t>
        </is>
      </c>
      <c r="H1419" t="inlineStr"/>
      <c r="I1419" t="inlineStr"/>
      <c r="J1419" t="inlineStr">
        <is>
          <t>120 000 000</t>
        </is>
      </c>
      <c r="K1419" t="inlineStr"/>
      <c r="L1419" t="inlineStr"/>
      <c r="M1419" t="inlineStr">
        <is>
          <t>По адресу есть, но площадь другая</t>
        </is>
      </c>
      <c r="N1419" t="inlineStr"/>
      <c r="O1419" t="inlineStr"/>
      <c r="P1419" t="inlineStr"/>
      <c r="Q1419">
        <f>HYPERLINK("https://knru.ru/catalog/krasnoselskoe-6/","ссылка")</f>
        <v/>
      </c>
      <c r="R1419" t="inlineStr"/>
      <c r="S1419" t="inlineStr"/>
    </row>
    <row r="1420">
      <c r="A1420" t="inlineStr">
        <is>
          <t>Санкт-Петербург</t>
        </is>
      </c>
      <c r="B1420" t="inlineStr">
        <is>
          <t>Гатчинское шоссе , 1.1</t>
        </is>
      </c>
      <c r="C1420" t="inlineStr">
        <is>
          <t>sale</t>
        </is>
      </c>
      <c r="D1420" t="inlineStr">
        <is>
          <t>Да</t>
        </is>
      </c>
      <c r="E1420" t="inlineStr"/>
      <c r="F1420" t="inlineStr"/>
      <c r="G1420" t="inlineStr">
        <is>
          <t>61.5</t>
        </is>
      </c>
      <c r="H1420" t="inlineStr"/>
      <c r="I1420" t="inlineStr"/>
      <c r="J1420" t="inlineStr">
        <is>
          <t>15 063 900</t>
        </is>
      </c>
      <c r="K1420" t="inlineStr"/>
      <c r="L1420" t="inlineStr"/>
      <c r="M1420" t="inlineStr">
        <is>
          <t>Нет у нас</t>
        </is>
      </c>
      <c r="N1420" t="inlineStr"/>
      <c r="O1420" t="inlineStr"/>
      <c r="P1420" t="inlineStr"/>
      <c r="Q1420">
        <f>HYPERLINK("https://knru.ru/catalog/krasnoe-selo-gatchinskoe-sh-k-1-1/","ссылка")</f>
        <v/>
      </c>
      <c r="R1420" t="inlineStr"/>
      <c r="S1420" t="inlineStr"/>
    </row>
    <row r="1421">
      <c r="A1421" t="inlineStr">
        <is>
          <t>Санкт-Петербург</t>
        </is>
      </c>
      <c r="B1421" t="inlineStr">
        <is>
          <t>Гатчинское шоссе , 1.2-3</t>
        </is>
      </c>
      <c r="C1421" t="inlineStr">
        <is>
          <t>sale</t>
        </is>
      </c>
      <c r="D1421" t="inlineStr">
        <is>
          <t>Да</t>
        </is>
      </c>
      <c r="E1421" t="inlineStr"/>
      <c r="F1421" t="inlineStr"/>
      <c r="G1421" t="inlineStr">
        <is>
          <t>35.1</t>
        </is>
      </c>
      <c r="H1421" t="inlineStr"/>
      <c r="I1421" t="inlineStr"/>
      <c r="J1421" t="inlineStr">
        <is>
          <t>10 351 006</t>
        </is>
      </c>
      <c r="K1421" t="inlineStr"/>
      <c r="L1421" t="inlineStr"/>
      <c r="M1421" t="inlineStr">
        <is>
          <t>Нет у нас</t>
        </is>
      </c>
      <c r="N1421" t="inlineStr"/>
      <c r="O1421" t="inlineStr"/>
      <c r="P1421" t="inlineStr"/>
      <c r="Q1421">
        <f>HYPERLINK("https://knru.ru/catalog/krasnoe-selo-gatchinskoe-sh-k-1-1-559397/","ссылка")</f>
        <v/>
      </c>
      <c r="R1421" t="inlineStr"/>
      <c r="S1421" t="inlineStr"/>
    </row>
    <row r="1422">
      <c r="A1422" t="inlineStr">
        <is>
          <t>Санкт-Петербург</t>
        </is>
      </c>
      <c r="B1422" t="inlineStr">
        <is>
          <t>Гатчинское шоссе , 1.2-3</t>
        </is>
      </c>
      <c r="C1422" t="inlineStr">
        <is>
          <t>sale</t>
        </is>
      </c>
      <c r="D1422" t="inlineStr">
        <is>
          <t>Да</t>
        </is>
      </c>
      <c r="E1422" t="inlineStr"/>
      <c r="F1422" t="inlineStr"/>
      <c r="G1422" t="inlineStr">
        <is>
          <t>94.9</t>
        </is>
      </c>
      <c r="H1422" t="inlineStr"/>
      <c r="I1422" t="inlineStr"/>
      <c r="J1422" t="inlineStr">
        <is>
          <t>20 048 444</t>
        </is>
      </c>
      <c r="K1422" t="inlineStr"/>
      <c r="L1422" t="inlineStr"/>
      <c r="M1422" t="inlineStr">
        <is>
          <t>Нет у нас</t>
        </is>
      </c>
      <c r="N1422" t="inlineStr"/>
      <c r="O1422" t="inlineStr"/>
      <c r="P1422" t="inlineStr"/>
      <c r="Q1422">
        <f>HYPERLINK("https://knru.ru/catalog/krasnoe-selo-gatchinskoe-sh-k-1-1-559396/","ссылка")</f>
        <v/>
      </c>
      <c r="R1422" t="inlineStr"/>
      <c r="S1422" t="inlineStr"/>
    </row>
    <row r="1423">
      <c r="A1423" t="inlineStr">
        <is>
          <t>Санкт-Петербург</t>
        </is>
      </c>
      <c r="B1423" t="inlineStr">
        <is>
          <t>Гатчинское шоссе , 1.2-3</t>
        </is>
      </c>
      <c r="C1423" t="inlineStr">
        <is>
          <t>sale</t>
        </is>
      </c>
      <c r="D1423" t="inlineStr">
        <is>
          <t>Да</t>
        </is>
      </c>
      <c r="E1423" t="inlineStr"/>
      <c r="F1423" t="inlineStr"/>
      <c r="G1423" t="inlineStr">
        <is>
          <t>80.2</t>
        </is>
      </c>
      <c r="H1423" t="inlineStr"/>
      <c r="I1423" t="inlineStr"/>
      <c r="J1423" t="inlineStr">
        <is>
          <t>18 770 637</t>
        </is>
      </c>
      <c r="K1423" t="inlineStr"/>
      <c r="L1423" t="inlineStr"/>
      <c r="M1423" t="inlineStr">
        <is>
          <t>Нет у нас</t>
        </is>
      </c>
      <c r="N1423" t="inlineStr"/>
      <c r="O1423" t="inlineStr"/>
      <c r="P1423" t="inlineStr"/>
      <c r="Q1423">
        <f>HYPERLINK("https://knru.ru/catalog/krasnoe-selo-gatchinskoe-sh-k-1-1-559395/","ссылка")</f>
        <v/>
      </c>
      <c r="R1423" t="inlineStr"/>
      <c r="S1423" t="inlineStr"/>
    </row>
    <row r="1424">
      <c r="A1424" t="inlineStr">
        <is>
          <t>Санкт-Петербург</t>
        </is>
      </c>
      <c r="B1424" t="inlineStr">
        <is>
          <t>Гатчинское шоссе , 1.2-3</t>
        </is>
      </c>
      <c r="C1424" t="inlineStr">
        <is>
          <t>sale</t>
        </is>
      </c>
      <c r="D1424" t="inlineStr">
        <is>
          <t>Да</t>
        </is>
      </c>
      <c r="E1424" t="inlineStr"/>
      <c r="F1424" t="inlineStr"/>
      <c r="G1424" t="inlineStr">
        <is>
          <t>73.1</t>
        </is>
      </c>
      <c r="H1424" t="inlineStr"/>
      <c r="I1424" t="inlineStr"/>
      <c r="J1424" t="inlineStr">
        <is>
          <t>17 300 380</t>
        </is>
      </c>
      <c r="K1424" t="inlineStr"/>
      <c r="L1424" t="inlineStr"/>
      <c r="M1424" t="inlineStr">
        <is>
          <t>Нет у нас</t>
        </is>
      </c>
      <c r="N1424" t="inlineStr"/>
      <c r="O1424" t="inlineStr"/>
      <c r="P1424" t="inlineStr"/>
      <c r="Q1424">
        <f>HYPERLINK("https://knru.ru/catalog/krasnoe-selo-gatchinskoe-sh-k-1-1-559394/","ссылка")</f>
        <v/>
      </c>
      <c r="R1424" t="inlineStr"/>
      <c r="S1424" t="inlineStr"/>
    </row>
    <row r="1425">
      <c r="A1425" t="inlineStr">
        <is>
          <t>Санкт-Петербург</t>
        </is>
      </c>
      <c r="B1425" t="inlineStr">
        <is>
          <t>Гатчинское шоссе , 131</t>
        </is>
      </c>
      <c r="C1425" t="inlineStr">
        <is>
          <t>sale</t>
        </is>
      </c>
      <c r="D1425" t="inlineStr">
        <is>
          <t>Да</t>
        </is>
      </c>
      <c r="E1425" t="inlineStr"/>
      <c r="F1425" t="inlineStr"/>
      <c r="G1425" t="inlineStr">
        <is>
          <t>123.5</t>
        </is>
      </c>
      <c r="H1425" t="inlineStr"/>
      <c r="I1425" t="inlineStr"/>
      <c r="J1425" t="inlineStr">
        <is>
          <t>24 436 400</t>
        </is>
      </c>
      <c r="K1425" t="inlineStr"/>
      <c r="L1425" t="inlineStr"/>
      <c r="M1425" t="inlineStr">
        <is>
          <t>Нет у нас</t>
        </is>
      </c>
      <c r="N1425" t="inlineStr"/>
      <c r="O1425" t="inlineStr"/>
      <c r="P1425" t="inlineStr"/>
      <c r="Q1425">
        <f>HYPERLINK("https://knru.ru/catalog/krasnoe-selo-gatchinskoe-sh-559399/","ссылка")</f>
        <v/>
      </c>
      <c r="R1425" t="inlineStr"/>
      <c r="S1425" t="inlineStr"/>
    </row>
    <row r="1426">
      <c r="A1426" t="inlineStr">
        <is>
          <t>Санкт-Петербург</t>
        </is>
      </c>
      <c r="B1426" t="inlineStr">
        <is>
          <t>Гатчинское шоссе , 131</t>
        </is>
      </c>
      <c r="C1426" t="inlineStr">
        <is>
          <t>sale</t>
        </is>
      </c>
      <c r="D1426" t="inlineStr">
        <is>
          <t>Да</t>
        </is>
      </c>
      <c r="E1426" t="inlineStr"/>
      <c r="F1426" t="inlineStr"/>
      <c r="G1426" t="inlineStr">
        <is>
          <t>98.4</t>
        </is>
      </c>
      <c r="H1426" t="inlineStr"/>
      <c r="I1426" t="inlineStr"/>
      <c r="J1426" t="inlineStr">
        <is>
          <t>20 094 165</t>
        </is>
      </c>
      <c r="K1426" t="inlineStr"/>
      <c r="L1426" t="inlineStr"/>
      <c r="M1426" t="inlineStr">
        <is>
          <t>Нет у нас</t>
        </is>
      </c>
      <c r="N1426" t="inlineStr"/>
      <c r="O1426" t="inlineStr"/>
      <c r="P1426" t="inlineStr"/>
      <c r="Q1426">
        <f>HYPERLINK("https://knru.ru/catalog/krasnoe-selo-gatchinskoe-sh/","ссылка")</f>
        <v/>
      </c>
      <c r="R1426" t="inlineStr"/>
      <c r="S1426" t="inlineStr"/>
    </row>
    <row r="1427">
      <c r="A1427" t="inlineStr">
        <is>
          <t>Санкт-Петербург</t>
        </is>
      </c>
      <c r="B1427" t="inlineStr">
        <is>
          <t>Горское, 165к1</t>
        </is>
      </c>
      <c r="C1427" t="inlineStr">
        <is>
          <t>sale</t>
        </is>
      </c>
      <c r="D1427" t="inlineStr"/>
      <c r="E1427" t="inlineStr">
        <is>
          <t>Да</t>
        </is>
      </c>
      <c r="F1427" t="inlineStr"/>
      <c r="G1427" t="inlineStr"/>
      <c r="H1427" t="inlineStr">
        <is>
          <t>14200</t>
        </is>
      </c>
      <c r="I1427" t="inlineStr"/>
      <c r="J1427" t="inlineStr"/>
      <c r="K1427" t="inlineStr">
        <is>
          <t>99 000 000</t>
        </is>
      </c>
      <c r="L1427" t="inlineStr"/>
      <c r="M1427" t="inlineStr"/>
      <c r="N1427" t="inlineStr">
        <is>
          <t>Нет у нас</t>
        </is>
      </c>
      <c r="O1427" t="inlineStr"/>
      <c r="P1427" t="inlineStr"/>
      <c r="Q1427" t="inlineStr"/>
      <c r="R1427">
        <f>HYPERLINK("https://nordwestinvest.ru/real-estates/prodaza-zemucastka-14-ga","ссылка")</f>
        <v/>
      </c>
      <c r="S1427" t="inlineStr"/>
    </row>
    <row r="1428">
      <c r="A1428" t="inlineStr">
        <is>
          <t>Санкт-Петербург</t>
        </is>
      </c>
      <c r="B1428" t="inlineStr">
        <is>
          <t>Дорожная ул</t>
        </is>
      </c>
      <c r="C1428" t="inlineStr">
        <is>
          <t>sale</t>
        </is>
      </c>
      <c r="D1428" t="inlineStr">
        <is>
          <t>Да</t>
        </is>
      </c>
      <c r="E1428" t="inlineStr"/>
      <c r="F1428" t="inlineStr"/>
      <c r="G1428" t="inlineStr">
        <is>
          <t>467582</t>
        </is>
      </c>
      <c r="H1428" t="inlineStr"/>
      <c r="I1428" t="inlineStr"/>
      <c r="J1428" t="inlineStr">
        <is>
          <t>110 000 000</t>
        </is>
      </c>
      <c r="K1428" t="inlineStr"/>
      <c r="L1428" t="inlineStr"/>
      <c r="M1428" t="inlineStr">
        <is>
          <t>Нет у нас</t>
        </is>
      </c>
      <c r="N1428" t="inlineStr"/>
      <c r="O1428" t="inlineStr"/>
      <c r="P1428" t="inlineStr"/>
      <c r="Q1428">
        <f>HYPERLINK("https://knru.ru/catalog/dorozhnaya-ul/","ссылка")</f>
        <v/>
      </c>
      <c r="R1428" t="inlineStr"/>
      <c r="S1428" t="inlineStr"/>
    </row>
    <row r="1429">
      <c r="A1429" t="inlineStr">
        <is>
          <t>Санкт-Петербург</t>
        </is>
      </c>
      <c r="B1429" t="inlineStr">
        <is>
          <t>Луговая, 8Д</t>
        </is>
      </c>
      <c r="C1429" t="inlineStr">
        <is>
          <t>sale</t>
        </is>
      </c>
      <c r="D1429" t="inlineStr"/>
      <c r="E1429" t="inlineStr">
        <is>
          <t>Да</t>
        </is>
      </c>
      <c r="F1429" t="inlineStr"/>
      <c r="G1429" t="inlineStr"/>
      <c r="H1429" t="inlineStr">
        <is>
          <t>14200</t>
        </is>
      </c>
      <c r="I1429" t="inlineStr"/>
      <c r="J1429" t="inlineStr"/>
      <c r="K1429" t="inlineStr">
        <is>
          <t>105 000 000</t>
        </is>
      </c>
      <c r="L1429" t="inlineStr"/>
      <c r="M1429" t="inlineStr"/>
      <c r="N1429" t="inlineStr">
        <is>
          <t>Нет у нас</t>
        </is>
      </c>
      <c r="O1429" t="inlineStr"/>
      <c r="P1429" t="inlineStr"/>
      <c r="Q1429" t="inlineStr"/>
      <c r="R1429">
        <f>HYPERLINK("https://nordwestinvest.ru/real-estates/prodaza-zu-14200-m2","ссылка")</f>
        <v/>
      </c>
      <c r="S1429" t="inlineStr"/>
    </row>
    <row r="1430">
      <c r="A1430" t="inlineStr">
        <is>
          <t>Санкт-Петербург</t>
        </is>
      </c>
      <c r="B1430" t="inlineStr">
        <is>
          <t>Михайловская, 3.2</t>
        </is>
      </c>
      <c r="C1430" t="inlineStr">
        <is>
          <t>sale</t>
        </is>
      </c>
      <c r="D1430" t="inlineStr">
        <is>
          <t>Да</t>
        </is>
      </c>
      <c r="E1430" t="inlineStr"/>
      <c r="F1430" t="inlineStr"/>
      <c r="G1430" t="inlineStr">
        <is>
          <t>78.1</t>
        </is>
      </c>
      <c r="H1430" t="inlineStr"/>
      <c r="I1430" t="inlineStr"/>
      <c r="J1430" t="inlineStr">
        <is>
          <t>22 914 000</t>
        </is>
      </c>
      <c r="K1430" t="inlineStr"/>
      <c r="L1430" t="inlineStr"/>
      <c r="M1430" t="inlineStr">
        <is>
          <t>Нет у нас</t>
        </is>
      </c>
      <c r="N1430" t="inlineStr"/>
      <c r="O1430" t="inlineStr"/>
      <c r="P1430" t="inlineStr"/>
      <c r="Q1430">
        <f>HYPERLINK("https://knru.ru/catalog/zhk-parkolovo-mikhaylovskaya-doroga-k-3-2/","ссылка")</f>
        <v/>
      </c>
      <c r="R1430" t="inlineStr"/>
      <c r="S1430" t="inlineStr"/>
    </row>
    <row r="1431">
      <c r="A1431" t="inlineStr">
        <is>
          <t>Санкт-Петербург</t>
        </is>
      </c>
      <c r="B1431" t="inlineStr">
        <is>
          <t>Победы ул, 62</t>
        </is>
      </c>
      <c r="C1431" t="inlineStr">
        <is>
          <t>sale</t>
        </is>
      </c>
      <c r="D1431" t="inlineStr">
        <is>
          <t>Да</t>
        </is>
      </c>
      <c r="E1431" t="inlineStr"/>
      <c r="F1431" t="inlineStr"/>
      <c r="G1431" t="inlineStr">
        <is>
          <t>2202</t>
        </is>
      </c>
      <c r="H1431" t="inlineStr"/>
      <c r="I1431" t="inlineStr"/>
      <c r="J1431" t="inlineStr">
        <is>
          <t>165 000 000</t>
        </is>
      </c>
      <c r="K1431" t="inlineStr"/>
      <c r="L1431" t="inlineStr"/>
      <c r="M1431" t="inlineStr">
        <is>
          <t>Нет у нас</t>
        </is>
      </c>
      <c r="N1431" t="inlineStr"/>
      <c r="O1431" t="inlineStr"/>
      <c r="P1431" t="inlineStr"/>
      <c r="Q1431">
        <f>HYPERLINK("https://knru.ru/catalog/pobedy-ul-62-558450/","ссылка")</f>
        <v/>
      </c>
      <c r="R1431" t="inlineStr"/>
      <c r="S1431" t="inlineStr"/>
    </row>
    <row r="1432">
      <c r="A1432" t="inlineStr">
        <is>
          <t>Санкт-Петербург</t>
        </is>
      </c>
      <c r="B1432" t="inlineStr">
        <is>
          <t>Победы ул, 62</t>
        </is>
      </c>
      <c r="C1432" t="inlineStr">
        <is>
          <t>sale</t>
        </is>
      </c>
      <c r="D1432" t="inlineStr">
        <is>
          <t>Да</t>
        </is>
      </c>
      <c r="E1432" t="inlineStr"/>
      <c r="F1432" t="inlineStr"/>
      <c r="G1432" t="inlineStr">
        <is>
          <t>1082</t>
        </is>
      </c>
      <c r="H1432" t="inlineStr"/>
      <c r="I1432" t="inlineStr"/>
      <c r="J1432" t="inlineStr">
        <is>
          <t>88 000 000</t>
        </is>
      </c>
      <c r="K1432" t="inlineStr"/>
      <c r="L1432" t="inlineStr"/>
      <c r="M1432" t="inlineStr">
        <is>
          <t>Нет у нас</t>
        </is>
      </c>
      <c r="N1432" t="inlineStr"/>
      <c r="O1432" t="inlineStr"/>
      <c r="P1432" t="inlineStr"/>
      <c r="Q1432">
        <f>HYPERLINK("https://knru.ru/catalog/pobedy-ul-62/","ссылка")</f>
        <v/>
      </c>
      <c r="R1432" t="inlineStr"/>
      <c r="S1432" t="inlineStr"/>
    </row>
    <row r="1433">
      <c r="A1433" t="inlineStr">
        <is>
          <t>Санкт-Петербург</t>
        </is>
      </c>
      <c r="B1433" t="inlineStr">
        <is>
          <t>Почтовая ул</t>
        </is>
      </c>
      <c r="C1433" t="inlineStr">
        <is>
          <t>sale</t>
        </is>
      </c>
      <c r="D1433" t="inlineStr">
        <is>
          <t>Да</t>
        </is>
      </c>
      <c r="E1433" t="inlineStr"/>
      <c r="F1433" t="inlineStr"/>
      <c r="G1433" t="inlineStr">
        <is>
          <t>1500</t>
        </is>
      </c>
      <c r="H1433" t="inlineStr"/>
      <c r="I1433" t="inlineStr"/>
      <c r="J1433" t="inlineStr">
        <is>
          <t>72 000 000</t>
        </is>
      </c>
      <c r="K1433" t="inlineStr"/>
      <c r="L1433" t="inlineStr"/>
      <c r="M1433" t="inlineStr">
        <is>
          <t>Нет у нас</t>
        </is>
      </c>
      <c r="N1433" t="inlineStr"/>
      <c r="O1433" t="inlineStr"/>
      <c r="P1433" t="inlineStr"/>
      <c r="Q1433">
        <f>HYPERLINK("https://knru.ru/catalog/pochtovaya-ul/","ссылка")</f>
        <v/>
      </c>
      <c r="R1433" t="inlineStr"/>
      <c r="S1433" t="inlineStr"/>
    </row>
    <row r="1434">
      <c r="A1434" t="inlineStr">
        <is>
          <t>Санкт-Петербург</t>
        </is>
      </c>
      <c r="B1434" t="inlineStr">
        <is>
          <t>Почтовая ул, 1</t>
        </is>
      </c>
      <c r="C1434" t="inlineStr">
        <is>
          <t>sale</t>
        </is>
      </c>
      <c r="D1434" t="inlineStr">
        <is>
          <t>Да</t>
        </is>
      </c>
      <c r="E1434" t="inlineStr"/>
      <c r="F1434" t="inlineStr"/>
      <c r="G1434" t="inlineStr">
        <is>
          <t>1000</t>
        </is>
      </c>
      <c r="H1434" t="inlineStr"/>
      <c r="I1434" t="inlineStr"/>
      <c r="J1434" t="inlineStr">
        <is>
          <t>57 000 000</t>
        </is>
      </c>
      <c r="K1434" t="inlineStr"/>
      <c r="L1434" t="inlineStr"/>
      <c r="M1434" t="inlineStr">
        <is>
          <t>Нет у нас</t>
        </is>
      </c>
      <c r="N1434" t="inlineStr"/>
      <c r="O1434" t="inlineStr"/>
      <c r="P1434" t="inlineStr"/>
      <c r="Q1434">
        <f>HYPERLINK("https://knru.ru/catalog/pochtovaya-ul-1/","ссылка")</f>
        <v/>
      </c>
      <c r="R1434" t="inlineStr"/>
      <c r="S1434" t="inlineStr"/>
    </row>
    <row r="1435">
      <c r="A1435" t="inlineStr">
        <is>
          <t>Санкт-Петербург</t>
        </is>
      </c>
      <c r="B1435" t="inlineStr">
        <is>
          <t>Почтовая ул, 18</t>
        </is>
      </c>
      <c r="C1435" t="inlineStr">
        <is>
          <t>sale</t>
        </is>
      </c>
      <c r="D1435" t="inlineStr">
        <is>
          <t>Да</t>
        </is>
      </c>
      <c r="E1435" t="inlineStr"/>
      <c r="F1435" t="inlineStr"/>
      <c r="G1435" t="inlineStr">
        <is>
          <t>2200</t>
        </is>
      </c>
      <c r="H1435" t="inlineStr"/>
      <c r="I1435" t="inlineStr"/>
      <c r="J1435" t="inlineStr">
        <is>
          <t>59 000 000</t>
        </is>
      </c>
      <c r="K1435" t="inlineStr"/>
      <c r="L1435" t="inlineStr"/>
      <c r="M1435" t="inlineStr">
        <is>
          <t>Нет у нас</t>
        </is>
      </c>
      <c r="N1435" t="inlineStr"/>
      <c r="O1435" t="inlineStr"/>
      <c r="P1435" t="inlineStr"/>
      <c r="Q1435">
        <f>HYPERLINK("https://knru.ru/catalog/pochtovaya-ul-18/","ссылка")</f>
        <v/>
      </c>
      <c r="R1435" t="inlineStr"/>
      <c r="S1435" t="inlineStr"/>
    </row>
    <row r="1436">
      <c r="A1436" t="inlineStr">
        <is>
          <t>Санкт-Петербург</t>
        </is>
      </c>
      <c r="B1436" t="inlineStr">
        <is>
          <t>Пушкин г.</t>
        </is>
      </c>
      <c r="C1436" t="inlineStr">
        <is>
          <t>sale</t>
        </is>
      </c>
      <c r="D1436" t="inlineStr">
        <is>
          <t>Да</t>
        </is>
      </c>
      <c r="E1436" t="inlineStr"/>
      <c r="F1436" t="inlineStr"/>
      <c r="G1436" t="inlineStr">
        <is>
          <t>89.6</t>
        </is>
      </c>
      <c r="H1436" t="inlineStr"/>
      <c r="I1436" t="inlineStr"/>
      <c r="J1436" t="inlineStr">
        <is>
          <t>25 747 641</t>
        </is>
      </c>
      <c r="K1436" t="inlineStr"/>
      <c r="L1436" t="inlineStr"/>
      <c r="M1436" t="inlineStr">
        <is>
          <t>Нет у нас</t>
        </is>
      </c>
      <c r="N1436" t="inlineStr"/>
      <c r="O1436" t="inlineStr"/>
      <c r="P1436" t="inlineStr"/>
      <c r="Q1436">
        <f>HYPERLINK("https://knru.ru/catalog/pushkin-g-1356407609/","ссылка")</f>
        <v/>
      </c>
      <c r="R1436" t="inlineStr"/>
      <c r="S1436" t="inlineStr"/>
    </row>
    <row r="1437">
      <c r="A1437" t="inlineStr">
        <is>
          <t>Санкт-Петербург</t>
        </is>
      </c>
      <c r="B1437" t="inlineStr">
        <is>
          <t>Пушкин г.</t>
        </is>
      </c>
      <c r="C1437" t="inlineStr">
        <is>
          <t>sale</t>
        </is>
      </c>
      <c r="D1437" t="inlineStr">
        <is>
          <t>Да</t>
        </is>
      </c>
      <c r="E1437" t="inlineStr"/>
      <c r="F1437" t="inlineStr"/>
      <c r="G1437" t="inlineStr">
        <is>
          <t>58.4</t>
        </is>
      </c>
      <c r="H1437" t="inlineStr"/>
      <c r="I1437" t="inlineStr"/>
      <c r="J1437" t="inlineStr">
        <is>
          <t>17 953 828</t>
        </is>
      </c>
      <c r="K1437" t="inlineStr"/>
      <c r="L1437" t="inlineStr"/>
      <c r="M1437" t="inlineStr">
        <is>
          <t>Нет у нас</t>
        </is>
      </c>
      <c r="N1437" t="inlineStr"/>
      <c r="O1437" t="inlineStr"/>
      <c r="P1437" t="inlineStr"/>
      <c r="Q1437">
        <f>HYPERLINK("https://knru.ru/catalog/pushkin-g-1410273036/","ссылка")</f>
        <v/>
      </c>
      <c r="R1437" t="inlineStr"/>
      <c r="S1437" t="inlineStr"/>
    </row>
    <row r="1438">
      <c r="A1438" t="inlineStr">
        <is>
          <t>Санкт-Петербург</t>
        </is>
      </c>
      <c r="B1438" t="inlineStr">
        <is>
          <t>Пушкин г.</t>
        </is>
      </c>
      <c r="C1438" t="inlineStr">
        <is>
          <t>sale</t>
        </is>
      </c>
      <c r="D1438" t="inlineStr">
        <is>
          <t>Да</t>
        </is>
      </c>
      <c r="E1438" t="inlineStr"/>
      <c r="F1438" t="inlineStr"/>
      <c r="G1438" t="inlineStr">
        <is>
          <t>74</t>
        </is>
      </c>
      <c r="H1438" t="inlineStr"/>
      <c r="I1438" t="inlineStr"/>
      <c r="J1438" t="inlineStr">
        <is>
          <t>22 279 006</t>
        </is>
      </c>
      <c r="K1438" t="inlineStr"/>
      <c r="L1438" t="inlineStr"/>
      <c r="M1438" t="inlineStr">
        <is>
          <t>Нет у нас</t>
        </is>
      </c>
      <c r="N1438" t="inlineStr"/>
      <c r="O1438" t="inlineStr"/>
      <c r="P1438" t="inlineStr"/>
      <c r="Q1438">
        <f>HYPERLINK("https://knru.ru/catalog/pushkin-g/","ссылка")</f>
        <v/>
      </c>
      <c r="R1438" t="inlineStr"/>
      <c r="S1438" t="inlineStr"/>
    </row>
    <row r="1439">
      <c r="A1439" t="inlineStr">
        <is>
          <t>Санкт-Петербург</t>
        </is>
      </c>
      <c r="B1439" t="inlineStr">
        <is>
          <t>Тихоокеанская, 1к1</t>
        </is>
      </c>
      <c r="C1439" t="inlineStr">
        <is>
          <t>sale</t>
        </is>
      </c>
      <c r="D1439" t="inlineStr"/>
      <c r="E1439" t="inlineStr">
        <is>
          <t>Да</t>
        </is>
      </c>
      <c r="F1439" t="inlineStr"/>
      <c r="G1439" t="inlineStr"/>
      <c r="H1439" t="inlineStr">
        <is>
          <t>194.9</t>
        </is>
      </c>
      <c r="I1439" t="inlineStr"/>
      <c r="J1439" t="inlineStr"/>
      <c r="K1439" t="inlineStr">
        <is>
          <t>29 235 000</t>
        </is>
      </c>
      <c r="L1439" t="inlineStr"/>
      <c r="M1439" t="inlineStr"/>
      <c r="N1439" t="inlineStr">
        <is>
          <t>По адресу есть, но площадь другая</t>
        </is>
      </c>
      <c r="O1439" t="inlineStr"/>
      <c r="P1439" t="inlineStr"/>
      <c r="Q1439" t="inlineStr"/>
      <c r="R1439">
        <f>HYPERLINK("https://nordwestinvest.ru/real-estates/prodaza-psn-2","ссылка")</f>
        <v/>
      </c>
      <c r="S1439" t="inlineStr"/>
    </row>
    <row r="1440">
      <c r="A1440" t="inlineStr">
        <is>
          <t>Санкт-Петербург</t>
        </is>
      </c>
      <c r="B1440" t="inlineStr">
        <is>
          <t>Финляндская ул, 38 А</t>
        </is>
      </c>
      <c r="C1440" t="inlineStr">
        <is>
          <t>sale</t>
        </is>
      </c>
      <c r="D1440" t="inlineStr">
        <is>
          <t>Да</t>
        </is>
      </c>
      <c r="E1440" t="inlineStr"/>
      <c r="F1440" t="inlineStr"/>
      <c r="G1440" t="inlineStr">
        <is>
          <t>11000</t>
        </is>
      </c>
      <c r="H1440" t="inlineStr"/>
      <c r="I1440" t="inlineStr"/>
      <c r="J1440" t="inlineStr">
        <is>
          <t>800 000 000</t>
        </is>
      </c>
      <c r="K1440" t="inlineStr"/>
      <c r="L1440" t="inlineStr"/>
      <c r="M1440" t="inlineStr">
        <is>
          <t>По адресу есть, но площадь другая</t>
        </is>
      </c>
      <c r="N1440" t="inlineStr"/>
      <c r="O1440" t="inlineStr"/>
      <c r="P1440" t="inlineStr"/>
      <c r="Q1440">
        <f>HYPERLINK("https://knru.ru/catalog/finlyandskaya-ul-38-a/","ссылка")</f>
        <v/>
      </c>
      <c r="R1440" t="inlineStr"/>
      <c r="S1440" t="inlineStr"/>
    </row>
    <row r="1441">
      <c r="A1441" t="inlineStr">
        <is>
          <t>Сенной округ</t>
        </is>
      </c>
      <c r="B1441" t="inlineStr">
        <is>
          <t>Фонтанки 109</t>
        </is>
      </c>
      <c r="C1441" t="inlineStr">
        <is>
          <t>rent</t>
        </is>
      </c>
      <c r="D1441" t="inlineStr"/>
      <c r="E1441" t="inlineStr"/>
      <c r="F1441" t="inlineStr">
        <is>
          <t>Да</t>
        </is>
      </c>
      <c r="G1441" t="inlineStr"/>
      <c r="H1441" t="inlineStr"/>
      <c r="I1441" t="inlineStr">
        <is>
          <t>81</t>
        </is>
      </c>
      <c r="J1441" t="inlineStr"/>
      <c r="K1441" t="inlineStr"/>
      <c r="L1441" t="inlineStr">
        <is>
          <t>243 000</t>
        </is>
      </c>
      <c r="M1441" t="inlineStr"/>
      <c r="N1441" t="inlineStr"/>
      <c r="O1441" t="inlineStr">
        <is>
          <t>Нет у нас</t>
        </is>
      </c>
      <c r="P1441" t="inlineStr"/>
      <c r="Q1441" t="inlineStr"/>
      <c r="R1441" t="inlineStr"/>
      <c r="S1441">
        <f>HYPERLINK("https://rest2rent.yucrm.ru/s/z76aie43","ссылка")</f>
        <v/>
      </c>
    </row>
    <row r="1442">
      <c r="A1442" t="inlineStr">
        <is>
          <t>Сергиево</t>
        </is>
      </c>
      <c r="B1442" t="inlineStr">
        <is>
          <t>Калинина ул</t>
        </is>
      </c>
      <c r="C1442" t="inlineStr">
        <is>
          <t>sale</t>
        </is>
      </c>
      <c r="D1442" t="inlineStr">
        <is>
          <t>Да</t>
        </is>
      </c>
      <c r="E1442" t="inlineStr"/>
      <c r="F1442" t="inlineStr"/>
      <c r="G1442" t="inlineStr">
        <is>
          <t>7000</t>
        </is>
      </c>
      <c r="H1442" t="inlineStr"/>
      <c r="I1442" t="inlineStr"/>
      <c r="J1442" t="inlineStr">
        <is>
          <t>91 000 000</t>
        </is>
      </c>
      <c r="K1442" t="inlineStr"/>
      <c r="L1442" t="inlineStr"/>
      <c r="M1442" t="inlineStr">
        <is>
          <t>Нет у нас</t>
        </is>
      </c>
      <c r="N1442" t="inlineStr"/>
      <c r="O1442" t="inlineStr"/>
      <c r="P1442" t="inlineStr"/>
      <c r="Q1442">
        <f>HYPERLINK("https://knru.ru/catalog/kalinina-ul/","ссылка")</f>
        <v/>
      </c>
      <c r="R1442" t="inlineStr"/>
      <c r="S1442" t="inlineStr"/>
    </row>
    <row r="1443">
      <c r="A1443" t="inlineStr">
        <is>
          <t>Сергиево</t>
        </is>
      </c>
      <c r="B1443" t="inlineStr">
        <is>
          <t>Паровозная, 29</t>
        </is>
      </c>
      <c r="C1443" t="inlineStr">
        <is>
          <t>sale</t>
        </is>
      </c>
      <c r="D1443" t="inlineStr">
        <is>
          <t>Да</t>
        </is>
      </c>
      <c r="E1443" t="inlineStr"/>
      <c r="F1443" t="inlineStr"/>
      <c r="G1443" t="inlineStr">
        <is>
          <t>3690</t>
        </is>
      </c>
      <c r="H1443" t="inlineStr"/>
      <c r="I1443" t="inlineStr"/>
      <c r="J1443" t="inlineStr">
        <is>
          <t>43 650 000</t>
        </is>
      </c>
      <c r="K1443" t="inlineStr"/>
      <c r="L1443" t="inlineStr"/>
      <c r="M1443" t="inlineStr">
        <is>
          <t>Нет у нас</t>
        </is>
      </c>
      <c r="N1443" t="inlineStr"/>
      <c r="O1443" t="inlineStr"/>
      <c r="P1443" t="inlineStr"/>
      <c r="Q1443">
        <f>HYPERLINK("https://knru.ru/catalog/parovoznaya-29-559486/","ссылка")</f>
        <v/>
      </c>
      <c r="R1443" t="inlineStr"/>
      <c r="S1443" t="inlineStr"/>
    </row>
    <row r="1444">
      <c r="A1444" t="inlineStr">
        <is>
          <t>Сергиево</t>
        </is>
      </c>
      <c r="B1444" t="inlineStr">
        <is>
          <t>Паровозная, 29</t>
        </is>
      </c>
      <c r="C1444" t="inlineStr">
        <is>
          <t>sale</t>
        </is>
      </c>
      <c r="D1444" t="inlineStr">
        <is>
          <t>Да</t>
        </is>
      </c>
      <c r="E1444" t="inlineStr"/>
      <c r="F1444" t="inlineStr"/>
      <c r="G1444" t="inlineStr">
        <is>
          <t>9500</t>
        </is>
      </c>
      <c r="H1444" t="inlineStr"/>
      <c r="I1444" t="inlineStr"/>
      <c r="J1444" t="inlineStr">
        <is>
          <t>25 000 000</t>
        </is>
      </c>
      <c r="K1444" t="inlineStr"/>
      <c r="L1444" t="inlineStr"/>
      <c r="M1444" t="inlineStr">
        <is>
          <t>Нет у нас</t>
        </is>
      </c>
      <c r="N1444" t="inlineStr"/>
      <c r="O1444" t="inlineStr"/>
      <c r="P1444" t="inlineStr"/>
      <c r="Q1444">
        <f>HYPERLINK("https://knru.ru/catalog/parovoznaya-29/","ссылка")</f>
        <v/>
      </c>
      <c r="R1444" t="inlineStr"/>
      <c r="S1444" t="inlineStr"/>
    </row>
    <row r="1445">
      <c r="A1445" t="inlineStr">
        <is>
          <t>Сергиево</t>
        </is>
      </c>
      <c r="B1445" t="inlineStr">
        <is>
          <t>Рабочая ул, 17</t>
        </is>
      </c>
      <c r="C1445" t="inlineStr">
        <is>
          <t>sale</t>
        </is>
      </c>
      <c r="D1445" t="inlineStr">
        <is>
          <t>Да</t>
        </is>
      </c>
      <c r="E1445" t="inlineStr"/>
      <c r="F1445" t="inlineStr"/>
      <c r="G1445" t="inlineStr">
        <is>
          <t>1315</t>
        </is>
      </c>
      <c r="H1445" t="inlineStr"/>
      <c r="I1445" t="inlineStr"/>
      <c r="J1445" t="inlineStr">
        <is>
          <t>131 500 000</t>
        </is>
      </c>
      <c r="K1445" t="inlineStr"/>
      <c r="L1445" t="inlineStr"/>
      <c r="M1445" t="inlineStr">
        <is>
          <t>Нет у нас</t>
        </is>
      </c>
      <c r="N1445" t="inlineStr"/>
      <c r="O1445" t="inlineStr"/>
      <c r="P1445" t="inlineStr"/>
      <c r="Q1445">
        <f>HYPERLINK("https://knru.ru/catalog/rabochaya-ul-17-556242/","ссылка")</f>
        <v/>
      </c>
      <c r="R1445" t="inlineStr"/>
      <c r="S1445" t="inlineStr"/>
    </row>
    <row r="1446">
      <c r="A1446" t="inlineStr">
        <is>
          <t>Сестрорецк</t>
        </is>
      </c>
      <c r="B1446" t="inlineStr">
        <is>
          <t>Дубковское ш, 9 А</t>
        </is>
      </c>
      <c r="C1446" t="inlineStr">
        <is>
          <t>sale</t>
        </is>
      </c>
      <c r="D1446" t="inlineStr">
        <is>
          <t>Да</t>
        </is>
      </c>
      <c r="E1446" t="inlineStr"/>
      <c r="F1446" t="inlineStr"/>
      <c r="G1446" t="inlineStr">
        <is>
          <t>700</t>
        </is>
      </c>
      <c r="H1446" t="inlineStr"/>
      <c r="I1446" t="inlineStr"/>
      <c r="J1446" t="inlineStr">
        <is>
          <t>90 000 000</t>
        </is>
      </c>
      <c r="K1446" t="inlineStr"/>
      <c r="L1446" t="inlineStr"/>
      <c r="M1446" t="inlineStr">
        <is>
          <t>Нет у нас</t>
        </is>
      </c>
      <c r="N1446" t="inlineStr"/>
      <c r="O1446" t="inlineStr"/>
      <c r="P1446" t="inlineStr"/>
      <c r="Q1446">
        <f>HYPERLINK("https://knru.ru/catalog/dubkovskoe-sh-9-a/","ссылка")</f>
        <v/>
      </c>
      <c r="R1446" t="inlineStr"/>
      <c r="S1446" t="inlineStr"/>
    </row>
    <row r="1447">
      <c r="A1447" t="inlineStr">
        <is>
          <t>Старый Петергоф</t>
        </is>
      </c>
      <c r="B1447" t="inlineStr">
        <is>
          <t>Гостилицкое, 13</t>
        </is>
      </c>
      <c r="C1447" t="inlineStr">
        <is>
          <t>sale</t>
        </is>
      </c>
      <c r="D1447" t="inlineStr">
        <is>
          <t>Да</t>
        </is>
      </c>
      <c r="E1447" t="inlineStr"/>
      <c r="F1447" t="inlineStr"/>
      <c r="G1447" t="inlineStr">
        <is>
          <t>774</t>
        </is>
      </c>
      <c r="H1447" t="inlineStr"/>
      <c r="I1447" t="inlineStr"/>
      <c r="J1447" t="inlineStr">
        <is>
          <t>53 000 000</t>
        </is>
      </c>
      <c r="K1447" t="inlineStr"/>
      <c r="L1447" t="inlineStr"/>
      <c r="M1447" t="inlineStr">
        <is>
          <t>Нет у нас</t>
        </is>
      </c>
      <c r="N1447" t="inlineStr"/>
      <c r="O1447" t="inlineStr"/>
      <c r="P1447" t="inlineStr"/>
      <c r="Q1447">
        <f>HYPERLINK("https://knru.ru/catalog/gostilitskoe-13/","ссылка")</f>
        <v/>
      </c>
      <c r="R1447" t="inlineStr"/>
      <c r="S1447" t="inlineStr"/>
    </row>
    <row r="1448">
      <c r="A1448" t="inlineStr">
        <is>
          <t>Старый Петергоф</t>
        </is>
      </c>
      <c r="B1448" t="inlineStr">
        <is>
          <t>Гостилицкое, 13</t>
        </is>
      </c>
      <c r="C1448" t="inlineStr">
        <is>
          <t>sale</t>
        </is>
      </c>
      <c r="D1448" t="inlineStr">
        <is>
          <t>Да</t>
        </is>
      </c>
      <c r="E1448" t="inlineStr"/>
      <c r="F1448" t="inlineStr"/>
      <c r="G1448" t="inlineStr">
        <is>
          <t>864</t>
        </is>
      </c>
      <c r="H1448" t="inlineStr"/>
      <c r="I1448" t="inlineStr"/>
      <c r="J1448" t="inlineStr">
        <is>
          <t>62 000 000</t>
        </is>
      </c>
      <c r="K1448" t="inlineStr"/>
      <c r="L1448" t="inlineStr"/>
      <c r="M1448" t="inlineStr">
        <is>
          <t>Нет у нас</t>
        </is>
      </c>
      <c r="N1448" t="inlineStr"/>
      <c r="O1448" t="inlineStr"/>
      <c r="P1448" t="inlineStr"/>
      <c r="Q1448">
        <f>HYPERLINK("https://knru.ru/catalog/gostilitskoe-13-559984/","ссылка")</f>
        <v/>
      </c>
      <c r="R1448" t="inlineStr"/>
      <c r="S1448" t="inlineStr"/>
    </row>
    <row r="1449">
      <c r="A1449" t="inlineStr">
        <is>
          <t>Старый Петергоф</t>
        </is>
      </c>
      <c r="B1449" t="inlineStr">
        <is>
          <t>Лесная ул, 8</t>
        </is>
      </c>
      <c r="C1449" t="inlineStr">
        <is>
          <t>sale</t>
        </is>
      </c>
      <c r="D1449" t="inlineStr">
        <is>
          <t>Да</t>
        </is>
      </c>
      <c r="E1449" t="inlineStr"/>
      <c r="F1449" t="inlineStr"/>
      <c r="G1449" t="inlineStr">
        <is>
          <t>570</t>
        </is>
      </c>
      <c r="H1449" t="inlineStr"/>
      <c r="I1449" t="inlineStr"/>
      <c r="J1449" t="inlineStr">
        <is>
          <t>40 000 000</t>
        </is>
      </c>
      <c r="K1449" t="inlineStr"/>
      <c r="L1449" t="inlineStr"/>
      <c r="M1449" t="inlineStr">
        <is>
          <t>Нет у нас</t>
        </is>
      </c>
      <c r="N1449" t="inlineStr"/>
      <c r="O1449" t="inlineStr"/>
      <c r="P1449" t="inlineStr"/>
      <c r="Q1449">
        <f>HYPERLINK("https://knru.ru/catalog/lesnaya-ul-8/","ссылка")</f>
        <v/>
      </c>
      <c r="R1449" t="inlineStr"/>
      <c r="S1449" t="inlineStr"/>
    </row>
    <row r="1450">
      <c r="A1450" t="inlineStr">
        <is>
          <t>Старый Петергоф</t>
        </is>
      </c>
      <c r="B1450" t="inlineStr">
        <is>
          <t>Манежная ул, 5 Ж</t>
        </is>
      </c>
      <c r="C1450" t="inlineStr">
        <is>
          <t>sale</t>
        </is>
      </c>
      <c r="D1450" t="inlineStr">
        <is>
          <t>Да</t>
        </is>
      </c>
      <c r="E1450" t="inlineStr"/>
      <c r="F1450" t="inlineStr"/>
      <c r="G1450" t="inlineStr">
        <is>
          <t>5670</t>
        </is>
      </c>
      <c r="H1450" t="inlineStr"/>
      <c r="I1450" t="inlineStr"/>
      <c r="J1450" t="inlineStr">
        <is>
          <t>130 000 000</t>
        </is>
      </c>
      <c r="K1450" t="inlineStr"/>
      <c r="L1450" t="inlineStr"/>
      <c r="M1450" t="inlineStr">
        <is>
          <t>Нет у нас</t>
        </is>
      </c>
      <c r="N1450" t="inlineStr"/>
      <c r="O1450" t="inlineStr"/>
      <c r="P1450" t="inlineStr"/>
      <c r="Q1450">
        <f>HYPERLINK("https://knru.ru/catalog/manezhnaya-ul-5-zh/","ссылка")</f>
        <v/>
      </c>
      <c r="R1450" t="inlineStr"/>
      <c r="S1450" t="inlineStr"/>
    </row>
    <row r="1451">
      <c r="A1451" t="inlineStr">
        <is>
          <t>Торики</t>
        </is>
      </c>
      <c r="B1451" t="inlineStr">
        <is>
          <t>Восточный пер</t>
        </is>
      </c>
      <c r="C1451" t="inlineStr">
        <is>
          <t>sale</t>
        </is>
      </c>
      <c r="D1451" t="inlineStr">
        <is>
          <t>Да</t>
        </is>
      </c>
      <c r="E1451" t="inlineStr"/>
      <c r="F1451" t="inlineStr"/>
      <c r="G1451" t="inlineStr">
        <is>
          <t>106000</t>
        </is>
      </c>
      <c r="H1451" t="inlineStr"/>
      <c r="I1451" t="inlineStr"/>
      <c r="J1451" t="inlineStr">
        <is>
          <t>450 000 000</t>
        </is>
      </c>
      <c r="K1451" t="inlineStr"/>
      <c r="L1451" t="inlineStr"/>
      <c r="M1451" t="inlineStr">
        <is>
          <t>Нет у нас</t>
        </is>
      </c>
      <c r="N1451" t="inlineStr"/>
      <c r="O1451" t="inlineStr"/>
      <c r="P1451" t="inlineStr"/>
      <c r="Q1451">
        <f>HYPERLINK("https://knru.ru/catalog/vostochnyj-per/","ссылка")</f>
        <v/>
      </c>
      <c r="R1451" t="inlineStr"/>
      <c r="S1451" t="inlineStr"/>
    </row>
    <row r="1452">
      <c r="A1452" t="inlineStr">
        <is>
          <t>Торики</t>
        </is>
      </c>
      <c r="B1452" t="inlineStr">
        <is>
          <t>Приозерная ул, 2а</t>
        </is>
      </c>
      <c r="C1452" t="inlineStr">
        <is>
          <t>sale</t>
        </is>
      </c>
      <c r="D1452" t="inlineStr">
        <is>
          <t>Да</t>
        </is>
      </c>
      <c r="E1452" t="inlineStr"/>
      <c r="F1452" t="inlineStr"/>
      <c r="G1452" t="inlineStr">
        <is>
          <t>278000</t>
        </is>
      </c>
      <c r="H1452" t="inlineStr"/>
      <c r="I1452" t="inlineStr"/>
      <c r="J1452" t="inlineStr">
        <is>
          <t>150 000 000</t>
        </is>
      </c>
      <c r="K1452" t="inlineStr"/>
      <c r="L1452" t="inlineStr"/>
      <c r="M1452" t="inlineStr">
        <is>
          <t>Нет у нас</t>
        </is>
      </c>
      <c r="N1452" t="inlineStr"/>
      <c r="O1452" t="inlineStr"/>
      <c r="P1452" t="inlineStr"/>
      <c r="Q1452">
        <f>HYPERLINK("https://knru.ru/catalog/priozernaya-ul-2a/","ссылка")</f>
        <v/>
      </c>
      <c r="R1452" t="inlineStr"/>
      <c r="S1452" t="inlineStr"/>
    </row>
    <row r="1453">
      <c r="A1453" t="inlineStr">
        <is>
          <t>Торфяное</t>
        </is>
      </c>
      <c r="B1453" t="inlineStr">
        <is>
          <t>Ольгинская дорога, 3/20</t>
        </is>
      </c>
      <c r="C1453" t="inlineStr">
        <is>
          <t>sale</t>
        </is>
      </c>
      <c r="D1453" t="inlineStr">
        <is>
          <t>Да</t>
        </is>
      </c>
      <c r="E1453" t="inlineStr"/>
      <c r="F1453" t="inlineStr"/>
      <c r="G1453" t="inlineStr">
        <is>
          <t>62.8</t>
        </is>
      </c>
      <c r="H1453" t="inlineStr"/>
      <c r="I1453" t="inlineStr"/>
      <c r="J1453" t="inlineStr">
        <is>
          <t>13 838 000</t>
        </is>
      </c>
      <c r="K1453" t="inlineStr"/>
      <c r="L1453" t="inlineStr"/>
      <c r="M1453" t="inlineStr">
        <is>
          <t>По адресу есть, но площадь другая</t>
        </is>
      </c>
      <c r="N1453" t="inlineStr"/>
      <c r="O1453" t="inlineStr"/>
      <c r="P1453" t="inlineStr"/>
      <c r="Q1453">
        <f>HYPERLINK("https://knru.ru/catalog/olginskaya-doroga-d-3-k-20/","ссылка")</f>
        <v/>
      </c>
      <c r="R1453" t="inlineStr"/>
      <c r="S1453" t="inlineStr"/>
    </row>
    <row r="1454">
      <c r="A1454" t="inlineStr">
        <is>
          <t>Уютный</t>
        </is>
      </c>
      <c r="B1454" t="inlineStr">
        <is>
          <t>Строителей ул, 38к2</t>
        </is>
      </c>
      <c r="C1454" t="inlineStr">
        <is>
          <t>sale</t>
        </is>
      </c>
      <c r="D1454" t="inlineStr">
        <is>
          <t>Да</t>
        </is>
      </c>
      <c r="E1454" t="inlineStr"/>
      <c r="F1454" t="inlineStr"/>
      <c r="G1454" t="inlineStr">
        <is>
          <t>57</t>
        </is>
      </c>
      <c r="H1454" t="inlineStr"/>
      <c r="I1454" t="inlineStr"/>
      <c r="J1454" t="inlineStr">
        <is>
          <t>2 000 000</t>
        </is>
      </c>
      <c r="K1454" t="inlineStr"/>
      <c r="L1454" t="inlineStr"/>
      <c r="M1454" t="inlineStr">
        <is>
          <t>Нет у нас</t>
        </is>
      </c>
      <c r="N1454" t="inlineStr"/>
      <c r="O1454" t="inlineStr"/>
      <c r="P1454" t="inlineStr"/>
      <c r="Q1454">
        <f>HYPERLINK("https://knru.ru/catalog/stroiteley-ul-38k2/","ссылка")</f>
        <v/>
      </c>
      <c r="R1454" t="inlineStr"/>
      <c r="S1454" t="inlineStr"/>
    </row>
    <row r="1455">
      <c r="A1455" t="inlineStr">
        <is>
          <t>Фрунзенский</t>
        </is>
      </c>
      <c r="B1455" t="inlineStr">
        <is>
          <t>Будапештская ул, 49к1 А</t>
        </is>
      </c>
      <c r="C1455" t="inlineStr">
        <is>
          <t>sale</t>
        </is>
      </c>
      <c r="D1455" t="inlineStr">
        <is>
          <t>Да</t>
        </is>
      </c>
      <c r="E1455" t="inlineStr"/>
      <c r="F1455" t="inlineStr"/>
      <c r="G1455" t="inlineStr">
        <is>
          <t>184</t>
        </is>
      </c>
      <c r="H1455" t="inlineStr"/>
      <c r="I1455" t="inlineStr"/>
      <c r="J1455" t="inlineStr">
        <is>
          <t>74 000 000</t>
        </is>
      </c>
      <c r="K1455" t="inlineStr"/>
      <c r="L1455" t="inlineStr"/>
      <c r="M1455" t="inlineStr">
        <is>
          <t>По адресу есть, но площадь другая</t>
        </is>
      </c>
      <c r="N1455" t="inlineStr"/>
      <c r="O1455" t="inlineStr"/>
      <c r="P1455" t="inlineStr"/>
      <c r="Q1455">
        <f>HYPERLINK("https://knru.ru/catalog/budapeshtskaya-ul-d-49/","ссылка")</f>
        <v/>
      </c>
      <c r="R1455" t="inlineStr"/>
      <c r="S1455" t="inlineStr"/>
    </row>
    <row r="1456">
      <c r="A1456" t="inlineStr">
        <is>
          <t>Фрунзенский</t>
        </is>
      </c>
      <c r="B1456" t="inlineStr">
        <is>
          <t>Будапештская ул, 53</t>
        </is>
      </c>
      <c r="C1456" t="inlineStr">
        <is>
          <t>sale</t>
        </is>
      </c>
      <c r="D1456" t="inlineStr"/>
      <c r="E1456" t="inlineStr">
        <is>
          <t>Да</t>
        </is>
      </c>
      <c r="F1456" t="inlineStr"/>
      <c r="G1456" t="inlineStr"/>
      <c r="H1456" t="inlineStr">
        <is>
          <t>194.2</t>
        </is>
      </c>
      <c r="I1456" t="inlineStr"/>
      <c r="J1456" t="inlineStr"/>
      <c r="K1456" t="inlineStr">
        <is>
          <t>56 900 000</t>
        </is>
      </c>
      <c r="L1456" t="inlineStr"/>
      <c r="M1456" t="inlineStr"/>
      <c r="N1456" t="inlineStr">
        <is>
          <t>Совпало</t>
        </is>
      </c>
      <c r="O1456" t="inlineStr"/>
      <c r="P1456" t="inlineStr"/>
      <c r="Q1456" t="inlineStr"/>
      <c r="R1456">
        <f>HYPERLINK("https://nordwestinvest.ru/real-estates/prodaza-1942-m2-s-arendatorom-magazin-produktov-1","ссылка")</f>
        <v/>
      </c>
      <c r="S1456" t="inlineStr"/>
    </row>
    <row r="1457">
      <c r="A1457" t="inlineStr">
        <is>
          <t>Фрунзенский</t>
        </is>
      </c>
      <c r="B1457" t="inlineStr">
        <is>
          <t>Будапештская, 92</t>
        </is>
      </c>
      <c r="C1457" t="inlineStr">
        <is>
          <t>sale</t>
        </is>
      </c>
      <c r="D1457" t="inlineStr">
        <is>
          <t>Да</t>
        </is>
      </c>
      <c r="E1457" t="inlineStr"/>
      <c r="F1457" t="inlineStr"/>
      <c r="G1457" t="inlineStr">
        <is>
          <t>1370</t>
        </is>
      </c>
      <c r="H1457" t="inlineStr"/>
      <c r="I1457" t="inlineStr"/>
      <c r="J1457" t="inlineStr">
        <is>
          <t>300 000 000</t>
        </is>
      </c>
      <c r="K1457" t="inlineStr"/>
      <c r="L1457" t="inlineStr"/>
      <c r="M1457" t="inlineStr">
        <is>
          <t>Нет у нас</t>
        </is>
      </c>
      <c r="N1457" t="inlineStr"/>
      <c r="O1457" t="inlineStr"/>
      <c r="P1457" t="inlineStr"/>
      <c r="Q1457">
        <f>HYPERLINK("https://knru.ru/catalog/budapeshtskaya-ul-d-92-1535211659/","ссылка")</f>
        <v/>
      </c>
      <c r="R1457" t="inlineStr"/>
      <c r="S1457" t="inlineStr"/>
    </row>
    <row r="1458">
      <c r="A1458" t="inlineStr">
        <is>
          <t>Фрунзенский</t>
        </is>
      </c>
      <c r="B1458" t="inlineStr">
        <is>
          <t>Бухарестская ул, 39к1</t>
        </is>
      </c>
      <c r="C1458" t="inlineStr">
        <is>
          <t>sale</t>
        </is>
      </c>
      <c r="D1458" t="inlineStr">
        <is>
          <t>Да</t>
        </is>
      </c>
      <c r="E1458" t="inlineStr"/>
      <c r="F1458" t="inlineStr"/>
      <c r="G1458" t="inlineStr">
        <is>
          <t>28.1</t>
        </is>
      </c>
      <c r="H1458" t="inlineStr"/>
      <c r="I1458" t="inlineStr"/>
      <c r="J1458" t="inlineStr">
        <is>
          <t>17 000 000</t>
        </is>
      </c>
      <c r="K1458" t="inlineStr"/>
      <c r="L1458" t="inlineStr"/>
      <c r="M1458" t="inlineStr">
        <is>
          <t>Нет у нас</t>
        </is>
      </c>
      <c r="N1458" t="inlineStr"/>
      <c r="O1458" t="inlineStr"/>
      <c r="P1458" t="inlineStr"/>
      <c r="Q1458">
        <f>HYPERLINK("https://knru.ru/catalog/bukharestskaya-ul-39k1-627284695/","ссылка")</f>
        <v/>
      </c>
      <c r="R1458" t="inlineStr"/>
      <c r="S1458" t="inlineStr"/>
    </row>
    <row r="1459">
      <c r="A1459" t="inlineStr">
        <is>
          <t>Фрунзенский</t>
        </is>
      </c>
      <c r="B1459" t="inlineStr">
        <is>
          <t>Бухарестская ул, 6</t>
        </is>
      </c>
      <c r="C1459" t="inlineStr">
        <is>
          <t>sale</t>
        </is>
      </c>
      <c r="D1459" t="inlineStr"/>
      <c r="E1459" t="inlineStr">
        <is>
          <t>Да</t>
        </is>
      </c>
      <c r="F1459" t="inlineStr"/>
      <c r="G1459" t="inlineStr"/>
      <c r="H1459" t="inlineStr">
        <is>
          <t>1476.8</t>
        </is>
      </c>
      <c r="I1459" t="inlineStr"/>
      <c r="J1459" t="inlineStr"/>
      <c r="K1459" t="inlineStr">
        <is>
          <t>70 000 000</t>
        </is>
      </c>
      <c r="L1459" t="inlineStr"/>
      <c r="M1459" t="inlineStr"/>
      <c r="N1459" t="inlineStr">
        <is>
          <t>Нет у нас</t>
        </is>
      </c>
      <c r="O1459" t="inlineStr"/>
      <c r="P1459" t="inlineStr"/>
      <c r="Q1459" t="inlineStr"/>
      <c r="R1459">
        <f>HYPERLINK("https://nordwestinvest.ru/real-estates/prodaza-ofisa-c-vyxodom-na-kpysu","ссылка")</f>
        <v/>
      </c>
      <c r="S1459" t="inlineStr"/>
    </row>
    <row r="1460">
      <c r="A1460" t="inlineStr">
        <is>
          <t>Фрунзенский</t>
        </is>
      </c>
      <c r="B1460" t="inlineStr">
        <is>
          <t>Днепропетровская ул, 49</t>
        </is>
      </c>
      <c r="C1460" t="inlineStr">
        <is>
          <t>sale</t>
        </is>
      </c>
      <c r="D1460" t="inlineStr">
        <is>
          <t>Да</t>
        </is>
      </c>
      <c r="E1460" t="inlineStr"/>
      <c r="F1460" t="inlineStr"/>
      <c r="G1460" t="inlineStr">
        <is>
          <t>4786</t>
        </is>
      </c>
      <c r="H1460" t="inlineStr"/>
      <c r="I1460" t="inlineStr"/>
      <c r="J1460" t="inlineStr">
        <is>
          <t>460 000 000</t>
        </is>
      </c>
      <c r="K1460" t="inlineStr"/>
      <c r="L1460" t="inlineStr"/>
      <c r="M1460" t="inlineStr">
        <is>
          <t>Нет у нас</t>
        </is>
      </c>
      <c r="N1460" t="inlineStr"/>
      <c r="O1460" t="inlineStr"/>
      <c r="P1460" t="inlineStr"/>
      <c r="Q1460">
        <f>HYPERLINK("https://knru.ru/catalog/dnepropetrovskaya-ul-49/","ссылка")</f>
        <v/>
      </c>
      <c r="R1460" t="inlineStr"/>
      <c r="S1460" t="inlineStr"/>
    </row>
    <row r="1461">
      <c r="A1461" t="inlineStr">
        <is>
          <t>Фрунзенский</t>
        </is>
      </c>
      <c r="B1461" t="inlineStr">
        <is>
          <t>Днепропетровская ул, 65</t>
        </is>
      </c>
      <c r="C1461" t="inlineStr">
        <is>
          <t>sale</t>
        </is>
      </c>
      <c r="D1461" t="inlineStr"/>
      <c r="E1461" t="inlineStr">
        <is>
          <t>Да</t>
        </is>
      </c>
      <c r="F1461" t="inlineStr"/>
      <c r="G1461" t="inlineStr"/>
      <c r="H1461" t="inlineStr">
        <is>
          <t>630.1</t>
        </is>
      </c>
      <c r="I1461" t="inlineStr"/>
      <c r="J1461" t="inlineStr"/>
      <c r="K1461" t="inlineStr">
        <is>
          <t>231 700 000</t>
        </is>
      </c>
      <c r="L1461" t="inlineStr"/>
      <c r="M1461" t="inlineStr"/>
      <c r="N1461" t="inlineStr">
        <is>
          <t>По адресу есть, но площадь другая</t>
        </is>
      </c>
      <c r="O1461" t="inlineStr"/>
      <c r="P1461" t="inlineStr"/>
      <c r="Q1461" t="inlineStr"/>
      <c r="R1461">
        <f>HYPERLINK("https://nordwestinvest.ru/real-estates/prodaza-piaterocki-v-centre-na-sennoi-1","ссылка")</f>
        <v/>
      </c>
      <c r="S1461" t="inlineStr"/>
    </row>
    <row r="1462">
      <c r="A1462" t="inlineStr">
        <is>
          <t>Фрунзенский</t>
        </is>
      </c>
      <c r="B1462" t="inlineStr">
        <is>
          <t>Дунайский пр-кт</t>
        </is>
      </c>
      <c r="C1462" t="inlineStr">
        <is>
          <t>sale</t>
        </is>
      </c>
      <c r="D1462" t="inlineStr">
        <is>
          <t>Да</t>
        </is>
      </c>
      <c r="E1462" t="inlineStr"/>
      <c r="F1462" t="inlineStr"/>
      <c r="G1462" t="inlineStr">
        <is>
          <t>2105</t>
        </is>
      </c>
      <c r="H1462" t="inlineStr"/>
      <c r="I1462" t="inlineStr"/>
      <c r="J1462" t="inlineStr">
        <is>
          <t>124 000 000</t>
        </is>
      </c>
      <c r="K1462" t="inlineStr"/>
      <c r="L1462" t="inlineStr"/>
      <c r="M1462" t="inlineStr">
        <is>
          <t>Нет у нас</t>
        </is>
      </c>
      <c r="N1462" t="inlineStr"/>
      <c r="O1462" t="inlineStr"/>
      <c r="P1462" t="inlineStr"/>
      <c r="Q1462">
        <f>HYPERLINK("https://knru.ru/catalog/dunajskij-pr-kt/","ссылка")</f>
        <v/>
      </c>
      <c r="R1462" t="inlineStr"/>
      <c r="S1462" t="inlineStr"/>
    </row>
    <row r="1463">
      <c r="A1463" t="inlineStr">
        <is>
          <t>Фрунзенский</t>
        </is>
      </c>
      <c r="B1463" t="inlineStr">
        <is>
          <t>Дунайский пр-кт, 27к2</t>
        </is>
      </c>
      <c r="C1463" t="inlineStr">
        <is>
          <t>sale</t>
        </is>
      </c>
      <c r="D1463" t="inlineStr"/>
      <c r="E1463" t="inlineStr">
        <is>
          <t>Да</t>
        </is>
      </c>
      <c r="F1463" t="inlineStr"/>
      <c r="G1463" t="inlineStr"/>
      <c r="H1463" t="inlineStr">
        <is>
          <t>2105</t>
        </is>
      </c>
      <c r="I1463" t="inlineStr"/>
      <c r="J1463" t="inlineStr"/>
      <c r="K1463" t="inlineStr">
        <is>
          <t>130 000 000</t>
        </is>
      </c>
      <c r="L1463" t="inlineStr"/>
      <c r="M1463" t="inlineStr"/>
      <c r="N1463" t="inlineStr">
        <is>
          <t>Нет у нас</t>
        </is>
      </c>
      <c r="O1463" t="inlineStr"/>
      <c r="P1463" t="inlineStr"/>
      <c r="Q1463" t="inlineStr"/>
      <c r="R1463">
        <f>HYPERLINK("https://nordwestinvest.ru/real-estates/prodaza-zemelnogo-ucastka-211-sot-1","ссылка")</f>
        <v/>
      </c>
      <c r="S1463" t="inlineStr"/>
    </row>
    <row r="1464">
      <c r="A1464" t="inlineStr">
        <is>
          <t>Фрунзенский</t>
        </is>
      </c>
      <c r="B1464" t="inlineStr">
        <is>
          <t>Дунайский пр-кт, 34</t>
        </is>
      </c>
      <c r="C1464" t="inlineStr">
        <is>
          <t>sale</t>
        </is>
      </c>
      <c r="D1464" t="inlineStr">
        <is>
          <t>Да</t>
        </is>
      </c>
      <c r="E1464" t="inlineStr"/>
      <c r="F1464" t="inlineStr"/>
      <c r="G1464" t="inlineStr">
        <is>
          <t>111</t>
        </is>
      </c>
      <c r="H1464" t="inlineStr"/>
      <c r="I1464" t="inlineStr"/>
      <c r="J1464" t="inlineStr">
        <is>
          <t>26 000 000</t>
        </is>
      </c>
      <c r="K1464" t="inlineStr"/>
      <c r="L1464" t="inlineStr"/>
      <c r="M1464" t="inlineStr">
        <is>
          <t>Совпало</t>
        </is>
      </c>
      <c r="N1464" t="inlineStr"/>
      <c r="O1464" t="inlineStr"/>
      <c r="P1464" t="inlineStr"/>
      <c r="Q1464">
        <f>HYPERLINK("https://knru.ru/catalog/dunayskiy-pr-d-34-16/","ссылка")</f>
        <v/>
      </c>
      <c r="R1464" t="inlineStr"/>
      <c r="S1464" t="inlineStr"/>
    </row>
    <row r="1465">
      <c r="A1465" t="inlineStr">
        <is>
          <t>Фрунзенский</t>
        </is>
      </c>
      <c r="B1465" t="inlineStr">
        <is>
          <t>Курская ул, 40</t>
        </is>
      </c>
      <c r="C1465" t="inlineStr">
        <is>
          <t>sale</t>
        </is>
      </c>
      <c r="D1465" t="inlineStr">
        <is>
          <t>Да</t>
        </is>
      </c>
      <c r="E1465" t="inlineStr"/>
      <c r="F1465" t="inlineStr"/>
      <c r="G1465" t="inlineStr">
        <is>
          <t>4821</t>
        </is>
      </c>
      <c r="H1465" t="inlineStr"/>
      <c r="I1465" t="inlineStr"/>
      <c r="J1465" t="inlineStr">
        <is>
          <t>460 000 000</t>
        </is>
      </c>
      <c r="K1465" t="inlineStr"/>
      <c r="L1465" t="inlineStr"/>
      <c r="M1465" t="inlineStr">
        <is>
          <t>Нет у нас</t>
        </is>
      </c>
      <c r="N1465" t="inlineStr"/>
      <c r="O1465" t="inlineStr"/>
      <c r="P1465" t="inlineStr"/>
      <c r="Q1465">
        <f>HYPERLINK("https://knru.ru/catalog/kurskaya-ul-40/","ссылка")</f>
        <v/>
      </c>
      <c r="R1465" t="inlineStr"/>
      <c r="S1465" t="inlineStr"/>
    </row>
    <row r="1466">
      <c r="A1466" t="inlineStr">
        <is>
          <t>Фрунзенский</t>
        </is>
      </c>
      <c r="B1466" t="inlineStr">
        <is>
          <t>Курская ул., д. 27</t>
        </is>
      </c>
      <c r="C1466" t="inlineStr">
        <is>
          <t>sale</t>
        </is>
      </c>
      <c r="D1466" t="inlineStr">
        <is>
          <t>Да</t>
        </is>
      </c>
      <c r="E1466" t="inlineStr"/>
      <c r="F1466" t="inlineStr"/>
      <c r="G1466" t="inlineStr">
        <is>
          <t>48.1</t>
        </is>
      </c>
      <c r="H1466" t="inlineStr"/>
      <c r="I1466" t="inlineStr"/>
      <c r="J1466" t="inlineStr">
        <is>
          <t>17 619 030</t>
        </is>
      </c>
      <c r="K1466" t="inlineStr"/>
      <c r="L1466" t="inlineStr"/>
      <c r="M1466" t="inlineStr">
        <is>
          <t>По адресу есть, но площадь другая</t>
        </is>
      </c>
      <c r="N1466" t="inlineStr"/>
      <c r="O1466" t="inlineStr"/>
      <c r="P1466" t="inlineStr"/>
      <c r="Q1466">
        <f>HYPERLINK("https://knru.ru/catalog/kurskaya-ul-d-27-70739365/","ссылка")</f>
        <v/>
      </c>
      <c r="R1466" t="inlineStr"/>
      <c r="S1466" t="inlineStr"/>
    </row>
    <row r="1467">
      <c r="A1467" t="inlineStr">
        <is>
          <t>Фрунзенский</t>
        </is>
      </c>
      <c r="B1467" t="inlineStr">
        <is>
          <t>Курская ул., д. 27</t>
        </is>
      </c>
      <c r="C1467" t="inlineStr">
        <is>
          <t>sale</t>
        </is>
      </c>
      <c r="D1467" t="inlineStr">
        <is>
          <t>Да</t>
        </is>
      </c>
      <c r="E1467" t="inlineStr"/>
      <c r="F1467" t="inlineStr"/>
      <c r="G1467" t="inlineStr">
        <is>
          <t>64.8</t>
        </is>
      </c>
      <c r="H1467" t="inlineStr"/>
      <c r="I1467" t="inlineStr"/>
      <c r="J1467" t="inlineStr">
        <is>
          <t>18 621 375</t>
        </is>
      </c>
      <c r="K1467" t="inlineStr"/>
      <c r="L1467" t="inlineStr"/>
      <c r="M1467" t="inlineStr">
        <is>
          <t>По адресу есть, но площадь другая</t>
        </is>
      </c>
      <c r="N1467" t="inlineStr"/>
      <c r="O1467" t="inlineStr"/>
      <c r="P1467" t="inlineStr"/>
      <c r="Q1467">
        <f>HYPERLINK("https://knru.ru/catalog/kurskaya-ul-d-27-2046939361/","ссылка")</f>
        <v/>
      </c>
      <c r="R1467" t="inlineStr"/>
      <c r="S1467" t="inlineStr"/>
    </row>
    <row r="1468">
      <c r="A1468" t="inlineStr">
        <is>
          <t>Фрунзенский</t>
        </is>
      </c>
      <c r="B1468" t="inlineStr">
        <is>
          <t>Курская ул., д. 27</t>
        </is>
      </c>
      <c r="C1468" t="inlineStr">
        <is>
          <t>sale</t>
        </is>
      </c>
      <c r="D1468" t="inlineStr">
        <is>
          <t>Да</t>
        </is>
      </c>
      <c r="E1468" t="inlineStr"/>
      <c r="F1468" t="inlineStr"/>
      <c r="G1468" t="inlineStr">
        <is>
          <t>91.9</t>
        </is>
      </c>
      <c r="H1468" t="inlineStr"/>
      <c r="I1468" t="inlineStr"/>
      <c r="J1468" t="inlineStr">
        <is>
          <t>29 753 982</t>
        </is>
      </c>
      <c r="K1468" t="inlineStr"/>
      <c r="L1468" t="inlineStr"/>
      <c r="M1468" t="inlineStr">
        <is>
          <t>По адресу есть, но площадь другая</t>
        </is>
      </c>
      <c r="N1468" t="inlineStr"/>
      <c r="O1468" t="inlineStr"/>
      <c r="P1468" t="inlineStr"/>
      <c r="Q1468">
        <f>HYPERLINK("https://knru.ru/catalog/kurskaya-ul-d-27-1928686855/","ссылка")</f>
        <v/>
      </c>
      <c r="R1468" t="inlineStr"/>
      <c r="S1468" t="inlineStr"/>
    </row>
    <row r="1469">
      <c r="A1469" t="inlineStr">
        <is>
          <t>Фрунзенский</t>
        </is>
      </c>
      <c r="B1469" t="inlineStr">
        <is>
          <t>Курская ул., д. 27</t>
        </is>
      </c>
      <c r="C1469" t="inlineStr">
        <is>
          <t>sale</t>
        </is>
      </c>
      <c r="D1469" t="inlineStr">
        <is>
          <t>Да</t>
        </is>
      </c>
      <c r="E1469" t="inlineStr"/>
      <c r="F1469" t="inlineStr"/>
      <c r="G1469" t="inlineStr">
        <is>
          <t>57.7</t>
        </is>
      </c>
      <c r="H1469" t="inlineStr"/>
      <c r="I1469" t="inlineStr"/>
      <c r="J1469" t="inlineStr">
        <is>
          <t>16 078 396</t>
        </is>
      </c>
      <c r="K1469" t="inlineStr"/>
      <c r="L1469" t="inlineStr"/>
      <c r="M1469" t="inlineStr">
        <is>
          <t>По адресу есть, но площадь другая</t>
        </is>
      </c>
      <c r="N1469" t="inlineStr"/>
      <c r="O1469" t="inlineStr"/>
      <c r="P1469" t="inlineStr"/>
      <c r="Q1469">
        <f>HYPERLINK("https://knru.ru/catalog/kurskaya-ul-d-27/","ссылка")</f>
        <v/>
      </c>
      <c r="R1469" t="inlineStr"/>
      <c r="S1469" t="inlineStr"/>
    </row>
    <row r="1470">
      <c r="A1470" t="inlineStr">
        <is>
          <t>Фрунзенский</t>
        </is>
      </c>
      <c r="B1470" t="inlineStr">
        <is>
          <t>Лиговский пр-кт, 183</t>
        </is>
      </c>
      <c r="C1470" t="inlineStr">
        <is>
          <t>sale</t>
        </is>
      </c>
      <c r="D1470" t="inlineStr">
        <is>
          <t>Да</t>
        </is>
      </c>
      <c r="E1470" t="inlineStr"/>
      <c r="F1470" t="inlineStr"/>
      <c r="G1470" t="inlineStr">
        <is>
          <t>167</t>
        </is>
      </c>
      <c r="H1470" t="inlineStr"/>
      <c r="I1470" t="inlineStr"/>
      <c r="J1470" t="inlineStr">
        <is>
          <t>6 000 000</t>
        </is>
      </c>
      <c r="K1470" t="inlineStr"/>
      <c r="L1470" t="inlineStr"/>
      <c r="M1470" t="inlineStr">
        <is>
          <t>По адресу есть, но площадь другая</t>
        </is>
      </c>
      <c r="N1470" t="inlineStr"/>
      <c r="O1470" t="inlineStr"/>
      <c r="P1470" t="inlineStr"/>
      <c r="Q1470">
        <f>HYPERLINK("https://knru.ru/catalog/ligovskiy-prospekt-d-183/","ссылка")</f>
        <v/>
      </c>
      <c r="R1470" t="inlineStr"/>
      <c r="S1470" t="inlineStr"/>
    </row>
    <row r="1471">
      <c r="A1471" t="inlineStr">
        <is>
          <t>Фрунзенский</t>
        </is>
      </c>
      <c r="B1471" t="inlineStr">
        <is>
          <t>Малая Бухарестская ул, 12 строение 1</t>
        </is>
      </c>
      <c r="C1471" t="inlineStr">
        <is>
          <t>sale</t>
        </is>
      </c>
      <c r="D1471" t="inlineStr">
        <is>
          <t>Да</t>
        </is>
      </c>
      <c r="E1471" t="inlineStr"/>
      <c r="F1471" t="inlineStr"/>
      <c r="G1471" t="inlineStr">
        <is>
          <t>82.2</t>
        </is>
      </c>
      <c r="H1471" t="inlineStr"/>
      <c r="I1471" t="inlineStr"/>
      <c r="J1471" t="inlineStr">
        <is>
          <t>18 350 000</t>
        </is>
      </c>
      <c r="K1471" t="inlineStr"/>
      <c r="L1471" t="inlineStr"/>
      <c r="M1471" t="inlineStr">
        <is>
          <t>По адресу есть, но площадь другая</t>
        </is>
      </c>
      <c r="N1471" t="inlineStr"/>
      <c r="O1471" t="inlineStr"/>
      <c r="P1471" t="inlineStr"/>
      <c r="Q1471">
        <f>HYPERLINK("https://knru.ru/catalog/ul-malaya-buxarestskaya-d-12-561422/","ссылка")</f>
        <v/>
      </c>
      <c r="R1471" t="inlineStr"/>
      <c r="S1471" t="inlineStr"/>
    </row>
    <row r="1472">
      <c r="A1472" t="inlineStr">
        <is>
          <t>Фрунзенский</t>
        </is>
      </c>
      <c r="B1472" t="inlineStr">
        <is>
          <t>Малая Бухарестская ул, 12 строение 1</t>
        </is>
      </c>
      <c r="C1472" t="inlineStr">
        <is>
          <t>sale</t>
        </is>
      </c>
      <c r="D1472" t="inlineStr">
        <is>
          <t>Да</t>
        </is>
      </c>
      <c r="E1472" t="inlineStr"/>
      <c r="F1472" t="inlineStr"/>
      <c r="G1472" t="inlineStr">
        <is>
          <t>609.2</t>
        </is>
      </c>
      <c r="H1472" t="inlineStr"/>
      <c r="I1472" t="inlineStr"/>
      <c r="J1472" t="inlineStr">
        <is>
          <t>109 656 000</t>
        </is>
      </c>
      <c r="K1472" t="inlineStr"/>
      <c r="L1472" t="inlineStr"/>
      <c r="M1472" t="inlineStr">
        <is>
          <t>По адресу есть, но площадь другая</t>
        </is>
      </c>
      <c r="N1472" t="inlineStr"/>
      <c r="O1472" t="inlineStr"/>
      <c r="P1472" t="inlineStr"/>
      <c r="Q1472">
        <f>HYPERLINK("https://knru.ru/catalog/ul-malaya-buxarestskaya-d-12/","ссылка")</f>
        <v/>
      </c>
      <c r="R1472" t="inlineStr"/>
      <c r="S1472" t="inlineStr"/>
    </row>
    <row r="1473">
      <c r="A1473" t="inlineStr">
        <is>
          <t>Фрунзенский</t>
        </is>
      </c>
      <c r="B1473" t="inlineStr">
        <is>
          <t>Нефтяная дор, 1 к 5</t>
        </is>
      </c>
      <c r="C1473" t="inlineStr">
        <is>
          <t>sale</t>
        </is>
      </c>
      <c r="D1473" t="inlineStr"/>
      <c r="E1473" t="inlineStr">
        <is>
          <t>Да</t>
        </is>
      </c>
      <c r="F1473" t="inlineStr"/>
      <c r="G1473" t="inlineStr"/>
      <c r="H1473" t="inlineStr">
        <is>
          <t>10499.5</t>
        </is>
      </c>
      <c r="I1473" t="inlineStr"/>
      <c r="J1473" t="inlineStr"/>
      <c r="K1473" t="inlineStr">
        <is>
          <t>1 850 000 000</t>
        </is>
      </c>
      <c r="L1473" t="inlineStr"/>
      <c r="M1473" t="inlineStr"/>
      <c r="N1473" t="inlineStr">
        <is>
          <t>Нет у нас</t>
        </is>
      </c>
      <c r="O1473" t="inlineStr"/>
      <c r="P1473" t="inlineStr"/>
      <c r="Q1473" t="inlineStr"/>
      <c r="R1473">
        <f>HYPERLINK("https://nordwestinvest.ru/real-estates/prodaza-imushhectvennogo-komplekca-104995","ссылка")</f>
        <v/>
      </c>
      <c r="S1473" t="inlineStr"/>
    </row>
    <row r="1474">
      <c r="A1474" t="inlineStr">
        <is>
          <t>Фрунзенский</t>
        </is>
      </c>
      <c r="B1474" t="inlineStr">
        <is>
          <t>Нефтяная дор, 5</t>
        </is>
      </c>
      <c r="C1474" t="inlineStr">
        <is>
          <t>sale</t>
        </is>
      </c>
      <c r="D1474" t="inlineStr">
        <is>
          <t>Да</t>
        </is>
      </c>
      <c r="E1474" t="inlineStr"/>
      <c r="F1474" t="inlineStr"/>
      <c r="G1474" t="inlineStr">
        <is>
          <t>2000</t>
        </is>
      </c>
      <c r="H1474" t="inlineStr"/>
      <c r="I1474" t="inlineStr"/>
      <c r="J1474" t="inlineStr">
        <is>
          <t>280 000 000</t>
        </is>
      </c>
      <c r="K1474" t="inlineStr"/>
      <c r="L1474" t="inlineStr"/>
      <c r="M1474" t="inlineStr">
        <is>
          <t>Нет у нас</t>
        </is>
      </c>
      <c r="N1474" t="inlineStr"/>
      <c r="O1474" t="inlineStr"/>
      <c r="P1474" t="inlineStr"/>
      <c r="Q1474">
        <f>HYPERLINK("https://knru.ru/catalog/neftyanaya-dor-5/","ссылка")</f>
        <v/>
      </c>
      <c r="R1474" t="inlineStr"/>
      <c r="S1474" t="inlineStr"/>
    </row>
    <row r="1475">
      <c r="A1475" t="inlineStr">
        <is>
          <t>Фрунзенский</t>
        </is>
      </c>
      <c r="B1475" t="inlineStr">
        <is>
          <t>Обводного канала наб, 136к 27</t>
        </is>
      </c>
      <c r="C1475" t="inlineStr">
        <is>
          <t>sale</t>
        </is>
      </c>
      <c r="D1475" t="inlineStr"/>
      <c r="E1475" t="inlineStr">
        <is>
          <t>Да</t>
        </is>
      </c>
      <c r="F1475" t="inlineStr"/>
      <c r="G1475" t="inlineStr"/>
      <c r="H1475" t="inlineStr">
        <is>
          <t>2894</t>
        </is>
      </c>
      <c r="I1475" t="inlineStr"/>
      <c r="J1475" t="inlineStr"/>
      <c r="K1475" t="inlineStr">
        <is>
          <t>210 000 000</t>
        </is>
      </c>
      <c r="L1475" t="inlineStr"/>
      <c r="M1475" t="inlineStr"/>
      <c r="N1475" t="inlineStr">
        <is>
          <t>По адресу есть, но площадь другая</t>
        </is>
      </c>
      <c r="O1475" t="inlineStr"/>
      <c r="P1475" t="inlineStr"/>
      <c r="Q1475" t="inlineStr"/>
      <c r="R1475">
        <f>HYPERLINK("https://nordwestinvest.ru/real-estates/proizvodstvennoe-pomeshhenie","ссылка")</f>
        <v/>
      </c>
      <c r="S1475" t="inlineStr"/>
    </row>
    <row r="1476">
      <c r="A1476" t="inlineStr">
        <is>
          <t>Фрунзенский</t>
        </is>
      </c>
      <c r="B1476" t="inlineStr">
        <is>
          <t>Обводного канала наб, 56</t>
        </is>
      </c>
      <c r="C1476" t="inlineStr">
        <is>
          <t>sale</t>
        </is>
      </c>
      <c r="D1476" t="inlineStr">
        <is>
          <t>Да</t>
        </is>
      </c>
      <c r="E1476" t="inlineStr"/>
      <c r="F1476" t="inlineStr"/>
      <c r="G1476" t="inlineStr">
        <is>
          <t>97</t>
        </is>
      </c>
      <c r="H1476" t="inlineStr"/>
      <c r="I1476" t="inlineStr"/>
      <c r="J1476" t="inlineStr">
        <is>
          <t>20 000 000</t>
        </is>
      </c>
      <c r="K1476" t="inlineStr"/>
      <c r="L1476" t="inlineStr"/>
      <c r="M1476" t="inlineStr">
        <is>
          <t>Нет у нас</t>
        </is>
      </c>
      <c r="N1476" t="inlineStr"/>
      <c r="O1476" t="inlineStr"/>
      <c r="P1476" t="inlineStr"/>
      <c r="Q1476">
        <f>HYPERLINK("https://knru.ru/catalog/obvodnogo-kanala-nab-56-1027303882/","ссылка")</f>
        <v/>
      </c>
      <c r="R1476" t="inlineStr"/>
      <c r="S1476" t="inlineStr"/>
    </row>
    <row r="1477">
      <c r="A1477" t="inlineStr">
        <is>
          <t>Фрунзенский</t>
        </is>
      </c>
      <c r="B1477" t="inlineStr">
        <is>
          <t>Салова ул, 44</t>
        </is>
      </c>
      <c r="C1477" t="inlineStr">
        <is>
          <t>sale</t>
        </is>
      </c>
      <c r="D1477" t="inlineStr">
        <is>
          <t>Да</t>
        </is>
      </c>
      <c r="E1477" t="inlineStr"/>
      <c r="F1477" t="inlineStr"/>
      <c r="G1477" t="inlineStr">
        <is>
          <t>4146</t>
        </is>
      </c>
      <c r="H1477" t="inlineStr"/>
      <c r="I1477" t="inlineStr"/>
      <c r="J1477" t="inlineStr">
        <is>
          <t>290 000 000</t>
        </is>
      </c>
      <c r="K1477" t="inlineStr"/>
      <c r="L1477" t="inlineStr"/>
      <c r="M1477" t="inlineStr">
        <is>
          <t>Нет у нас</t>
        </is>
      </c>
      <c r="N1477" t="inlineStr"/>
      <c r="O1477" t="inlineStr"/>
      <c r="P1477" t="inlineStr"/>
      <c r="Q1477">
        <f>HYPERLINK("https://knru.ru/catalog/salova-ul-44/","ссылка")</f>
        <v/>
      </c>
      <c r="R1477" t="inlineStr"/>
      <c r="S1477" t="inlineStr"/>
    </row>
    <row r="1478">
      <c r="A1478" t="inlineStr">
        <is>
          <t>Фрунзенский</t>
        </is>
      </c>
      <c r="B1478" t="inlineStr">
        <is>
          <t>Салова ул, 44</t>
        </is>
      </c>
      <c r="C1478" t="inlineStr">
        <is>
          <t>sale</t>
        </is>
      </c>
      <c r="D1478" t="inlineStr">
        <is>
          <t>Да</t>
        </is>
      </c>
      <c r="E1478" t="inlineStr"/>
      <c r="F1478" t="inlineStr"/>
      <c r="G1478" t="inlineStr">
        <is>
          <t>9734</t>
        </is>
      </c>
      <c r="H1478" t="inlineStr"/>
      <c r="I1478" t="inlineStr"/>
      <c r="J1478" t="inlineStr">
        <is>
          <t>300 000 000</t>
        </is>
      </c>
      <c r="K1478" t="inlineStr"/>
      <c r="L1478" t="inlineStr"/>
      <c r="M1478" t="inlineStr">
        <is>
          <t>Нет у нас</t>
        </is>
      </c>
      <c r="N1478" t="inlineStr"/>
      <c r="O1478" t="inlineStr"/>
      <c r="P1478" t="inlineStr"/>
      <c r="Q1478">
        <f>HYPERLINK("https://knru.ru/catalog/salova-ul-44-552630/","ссылка")</f>
        <v/>
      </c>
      <c r="R1478" t="inlineStr"/>
      <c r="S1478" t="inlineStr"/>
    </row>
    <row r="1479">
      <c r="A1479" t="inlineStr">
        <is>
          <t>Фрунзенский</t>
        </is>
      </c>
      <c r="B1479" t="inlineStr">
        <is>
          <t>Салова ул., д. 61/1</t>
        </is>
      </c>
      <c r="C1479" t="inlineStr">
        <is>
          <t>sale</t>
        </is>
      </c>
      <c r="D1479" t="inlineStr">
        <is>
          <t>Да</t>
        </is>
      </c>
      <c r="E1479" t="inlineStr"/>
      <c r="F1479" t="inlineStr"/>
      <c r="G1479" t="inlineStr">
        <is>
          <t>82.1</t>
        </is>
      </c>
      <c r="H1479" t="inlineStr"/>
      <c r="I1479" t="inlineStr"/>
      <c r="J1479" t="inlineStr">
        <is>
          <t>20 935 500</t>
        </is>
      </c>
      <c r="K1479" t="inlineStr"/>
      <c r="L1479" t="inlineStr"/>
      <c r="M1479" t="inlineStr">
        <is>
          <t>По адресу есть, но площадь другая</t>
        </is>
      </c>
      <c r="N1479" t="inlineStr"/>
      <c r="O1479" t="inlineStr"/>
      <c r="P1479" t="inlineStr"/>
      <c r="Q1479">
        <f>HYPERLINK("https://knru.ru/catalog/salova-ul-d-61-1-193475553/","ссылка")</f>
        <v/>
      </c>
      <c r="R1479" t="inlineStr"/>
      <c r="S1479" t="inlineStr"/>
    </row>
    <row r="1480">
      <c r="A1480" t="inlineStr">
        <is>
          <t>Фрунзенский</t>
        </is>
      </c>
      <c r="B1480" t="inlineStr">
        <is>
          <t>Салова ул., д. 61/1</t>
        </is>
      </c>
      <c r="C1480" t="inlineStr">
        <is>
          <t>sale</t>
        </is>
      </c>
      <c r="D1480" t="inlineStr">
        <is>
          <t>Да</t>
        </is>
      </c>
      <c r="E1480" t="inlineStr"/>
      <c r="F1480" t="inlineStr"/>
      <c r="G1480" t="inlineStr">
        <is>
          <t>55.6</t>
        </is>
      </c>
      <c r="H1480" t="inlineStr"/>
      <c r="I1480" t="inlineStr"/>
      <c r="J1480" t="inlineStr">
        <is>
          <t>15 012 000</t>
        </is>
      </c>
      <c r="K1480" t="inlineStr"/>
      <c r="L1480" t="inlineStr"/>
      <c r="M1480" t="inlineStr">
        <is>
          <t>По адресу есть, но площадь другая</t>
        </is>
      </c>
      <c r="N1480" t="inlineStr"/>
      <c r="O1480" t="inlineStr"/>
      <c r="P1480" t="inlineStr"/>
      <c r="Q1480">
        <f>HYPERLINK("https://knru.ru/catalog/salova-ul-d-61-1-560139728/","ссылка")</f>
        <v/>
      </c>
      <c r="R1480" t="inlineStr"/>
      <c r="S1480" t="inlineStr"/>
    </row>
    <row r="1481">
      <c r="A1481" t="inlineStr">
        <is>
          <t>Фрунзенский</t>
        </is>
      </c>
      <c r="B1481" t="inlineStr">
        <is>
          <t>Салова ул., д. 61/1</t>
        </is>
      </c>
      <c r="C1481" t="inlineStr">
        <is>
          <t>sale</t>
        </is>
      </c>
      <c r="D1481" t="inlineStr">
        <is>
          <t>Да</t>
        </is>
      </c>
      <c r="E1481" t="inlineStr"/>
      <c r="F1481" t="inlineStr"/>
      <c r="G1481" t="inlineStr">
        <is>
          <t>39.2</t>
        </is>
      </c>
      <c r="H1481" t="inlineStr"/>
      <c r="I1481" t="inlineStr"/>
      <c r="J1481" t="inlineStr">
        <is>
          <t>10 584 000</t>
        </is>
      </c>
      <c r="K1481" t="inlineStr"/>
      <c r="L1481" t="inlineStr"/>
      <c r="M1481" t="inlineStr">
        <is>
          <t>По адресу есть, но площадь другая</t>
        </is>
      </c>
      <c r="N1481" t="inlineStr"/>
      <c r="O1481" t="inlineStr"/>
      <c r="P1481" t="inlineStr"/>
      <c r="Q1481">
        <f>HYPERLINK("https://knru.ru/catalog/salova-ul-d-61-1-973236738/","ссылка")</f>
        <v/>
      </c>
      <c r="R1481" t="inlineStr"/>
      <c r="S1481" t="inlineStr"/>
    </row>
    <row r="1482">
      <c r="A1482" t="inlineStr">
        <is>
          <t>Фрунзенский</t>
        </is>
      </c>
      <c r="B1482" t="inlineStr">
        <is>
          <t>Салова ул., д. 61/1</t>
        </is>
      </c>
      <c r="C1482" t="inlineStr">
        <is>
          <t>sale</t>
        </is>
      </c>
      <c r="D1482" t="inlineStr">
        <is>
          <t>Да</t>
        </is>
      </c>
      <c r="E1482" t="inlineStr"/>
      <c r="F1482" t="inlineStr"/>
      <c r="G1482" t="inlineStr">
        <is>
          <t>1688</t>
        </is>
      </c>
      <c r="H1482" t="inlineStr"/>
      <c r="I1482" t="inlineStr"/>
      <c r="J1482" t="inlineStr">
        <is>
          <t>506 400 000</t>
        </is>
      </c>
      <c r="K1482" t="inlineStr"/>
      <c r="L1482" t="inlineStr"/>
      <c r="M1482" t="inlineStr">
        <is>
          <t>По адресу есть, но площадь другая</t>
        </is>
      </c>
      <c r="N1482" t="inlineStr"/>
      <c r="O1482" t="inlineStr"/>
      <c r="P1482" t="inlineStr"/>
      <c r="Q1482">
        <f>HYPERLINK("https://knru.ru/catalog/salova-ul-d-61-1-56352521/","ссылка")</f>
        <v/>
      </c>
      <c r="R1482" t="inlineStr"/>
      <c r="S1482" t="inlineStr"/>
    </row>
    <row r="1483">
      <c r="A1483" t="inlineStr">
        <is>
          <t>Фрунзенский</t>
        </is>
      </c>
      <c r="B1483" t="inlineStr">
        <is>
          <t>Салова ул., д. 61/1</t>
        </is>
      </c>
      <c r="C1483" t="inlineStr">
        <is>
          <t>sale</t>
        </is>
      </c>
      <c r="D1483" t="inlineStr">
        <is>
          <t>Да</t>
        </is>
      </c>
      <c r="E1483" t="inlineStr"/>
      <c r="F1483" t="inlineStr"/>
      <c r="G1483" t="inlineStr">
        <is>
          <t>372.6</t>
        </is>
      </c>
      <c r="H1483" t="inlineStr"/>
      <c r="I1483" t="inlineStr"/>
      <c r="J1483" t="inlineStr">
        <is>
          <t>119 232 000</t>
        </is>
      </c>
      <c r="K1483" t="inlineStr"/>
      <c r="L1483" t="inlineStr"/>
      <c r="M1483" t="inlineStr">
        <is>
          <t>По адресу есть, но площадь другая</t>
        </is>
      </c>
      <c r="N1483" t="inlineStr"/>
      <c r="O1483" t="inlineStr"/>
      <c r="P1483" t="inlineStr"/>
      <c r="Q1483">
        <f>HYPERLINK("https://knru.ru/catalog/salova-ul-d-61-1-1307054978/","ссылка")</f>
        <v/>
      </c>
      <c r="R1483" t="inlineStr"/>
      <c r="S1483" t="inlineStr"/>
    </row>
    <row r="1484">
      <c r="A1484" t="inlineStr">
        <is>
          <t>Фрунзенский</t>
        </is>
      </c>
      <c r="B1484" t="inlineStr">
        <is>
          <t>Салова ул., д. 61/1</t>
        </is>
      </c>
      <c r="C1484" t="inlineStr">
        <is>
          <t>sale</t>
        </is>
      </c>
      <c r="D1484" t="inlineStr">
        <is>
          <t>Да</t>
        </is>
      </c>
      <c r="E1484" t="inlineStr"/>
      <c r="F1484" t="inlineStr"/>
      <c r="G1484" t="inlineStr">
        <is>
          <t>204.9</t>
        </is>
      </c>
      <c r="H1484" t="inlineStr"/>
      <c r="I1484" t="inlineStr"/>
      <c r="J1484" t="inlineStr">
        <is>
          <t>53 274 000</t>
        </is>
      </c>
      <c r="K1484" t="inlineStr"/>
      <c r="L1484" t="inlineStr"/>
      <c r="M1484" t="inlineStr">
        <is>
          <t>По адресу есть, но площадь другая</t>
        </is>
      </c>
      <c r="N1484" t="inlineStr"/>
      <c r="O1484" t="inlineStr"/>
      <c r="P1484" t="inlineStr"/>
      <c r="Q1484">
        <f>HYPERLINK("https://knru.ru/catalog/salova-ul-d-61-1-1789231031/","ссылка")</f>
        <v/>
      </c>
      <c r="R1484" t="inlineStr"/>
      <c r="S1484" t="inlineStr"/>
    </row>
    <row r="1485">
      <c r="A1485" t="inlineStr">
        <is>
          <t>Фрунзенский</t>
        </is>
      </c>
      <c r="B1485" t="inlineStr">
        <is>
          <t>Салова ул., д. 61/1</t>
        </is>
      </c>
      <c r="C1485" t="inlineStr">
        <is>
          <t>sale</t>
        </is>
      </c>
      <c r="D1485" t="inlineStr">
        <is>
          <t>Да</t>
        </is>
      </c>
      <c r="E1485" t="inlineStr"/>
      <c r="F1485" t="inlineStr"/>
      <c r="G1485" t="inlineStr">
        <is>
          <t>739.7</t>
        </is>
      </c>
      <c r="H1485" t="inlineStr"/>
      <c r="I1485" t="inlineStr"/>
      <c r="J1485" t="inlineStr">
        <is>
          <t>184 925 000</t>
        </is>
      </c>
      <c r="K1485" t="inlineStr"/>
      <c r="L1485" t="inlineStr"/>
      <c r="M1485" t="inlineStr">
        <is>
          <t>По адресу есть, но площадь другая</t>
        </is>
      </c>
      <c r="N1485" t="inlineStr"/>
      <c r="O1485" t="inlineStr"/>
      <c r="P1485" t="inlineStr"/>
      <c r="Q1485">
        <f>HYPERLINK("https://knru.ru/catalog/salova-ul-d-61-1-1163311854/","ссылка")</f>
        <v/>
      </c>
      <c r="R1485" t="inlineStr"/>
      <c r="S1485" t="inlineStr"/>
    </row>
    <row r="1486">
      <c r="A1486" t="inlineStr">
        <is>
          <t>Фрунзенский</t>
        </is>
      </c>
      <c r="B1486" t="inlineStr">
        <is>
          <t>Салова ул., д. 61/1</t>
        </is>
      </c>
      <c r="C1486" t="inlineStr">
        <is>
          <t>sale</t>
        </is>
      </c>
      <c r="D1486" t="inlineStr">
        <is>
          <t>Да</t>
        </is>
      </c>
      <c r="E1486" t="inlineStr"/>
      <c r="F1486" t="inlineStr"/>
      <c r="G1486" t="inlineStr">
        <is>
          <t>43.4</t>
        </is>
      </c>
      <c r="H1486" t="inlineStr"/>
      <c r="I1486" t="inlineStr"/>
      <c r="J1486" t="inlineStr">
        <is>
          <t>11 718 000</t>
        </is>
      </c>
      <c r="K1486" t="inlineStr"/>
      <c r="L1486" t="inlineStr"/>
      <c r="M1486" t="inlineStr">
        <is>
          <t>По адресу есть, но площадь другая</t>
        </is>
      </c>
      <c r="N1486" t="inlineStr"/>
      <c r="O1486" t="inlineStr"/>
      <c r="P1486" t="inlineStr"/>
      <c r="Q1486">
        <f>HYPERLINK("https://knru.ru/catalog/salova-ul-d-61-1-202970881/","ссылка")</f>
        <v/>
      </c>
      <c r="R1486" t="inlineStr"/>
      <c r="S1486" t="inlineStr"/>
    </row>
    <row r="1487">
      <c r="A1487" t="inlineStr">
        <is>
          <t>Фрунзенский</t>
        </is>
      </c>
      <c r="B1487" t="inlineStr">
        <is>
          <t>Салова ул., д. 61/1</t>
        </is>
      </c>
      <c r="C1487" t="inlineStr">
        <is>
          <t>sale</t>
        </is>
      </c>
      <c r="D1487" t="inlineStr">
        <is>
          <t>Да</t>
        </is>
      </c>
      <c r="E1487" t="inlineStr"/>
      <c r="F1487" t="inlineStr"/>
      <c r="G1487" t="inlineStr">
        <is>
          <t>201.1</t>
        </is>
      </c>
      <c r="H1487" t="inlineStr"/>
      <c r="I1487" t="inlineStr"/>
      <c r="J1487" t="inlineStr">
        <is>
          <t>54 297 000</t>
        </is>
      </c>
      <c r="K1487" t="inlineStr"/>
      <c r="L1487" t="inlineStr"/>
      <c r="M1487" t="inlineStr">
        <is>
          <t>По адресу есть, но площадь другая</t>
        </is>
      </c>
      <c r="N1487" t="inlineStr"/>
      <c r="O1487" t="inlineStr"/>
      <c r="P1487" t="inlineStr"/>
      <c r="Q1487">
        <f>HYPERLINK("https://knru.ru/catalog/salova-ul-d-61-1-1372991773/","ссылка")</f>
        <v/>
      </c>
      <c r="R1487" t="inlineStr"/>
      <c r="S1487" t="inlineStr"/>
    </row>
    <row r="1488">
      <c r="A1488" t="inlineStr">
        <is>
          <t>Фрунзенский</t>
        </is>
      </c>
      <c r="B1488" t="inlineStr">
        <is>
          <t>Салова ул., д. 61/1</t>
        </is>
      </c>
      <c r="C1488" t="inlineStr">
        <is>
          <t>sale</t>
        </is>
      </c>
      <c r="D1488" t="inlineStr">
        <is>
          <t>Да</t>
        </is>
      </c>
      <c r="E1488" t="inlineStr"/>
      <c r="F1488" t="inlineStr"/>
      <c r="G1488" t="inlineStr">
        <is>
          <t>138.7</t>
        </is>
      </c>
      <c r="H1488" t="inlineStr"/>
      <c r="I1488" t="inlineStr"/>
      <c r="J1488" t="inlineStr">
        <is>
          <t>36 062 000</t>
        </is>
      </c>
      <c r="K1488" t="inlineStr"/>
      <c r="L1488" t="inlineStr"/>
      <c r="M1488" t="inlineStr">
        <is>
          <t>По адресу есть, но площадь другая</t>
        </is>
      </c>
      <c r="N1488" t="inlineStr"/>
      <c r="O1488" t="inlineStr"/>
      <c r="P1488" t="inlineStr"/>
      <c r="Q1488">
        <f>HYPERLINK("https://knru.ru/catalog/salova-ul-d-61-1-404345395/","ссылка")</f>
        <v/>
      </c>
      <c r="R1488" t="inlineStr"/>
      <c r="S1488" t="inlineStr"/>
    </row>
    <row r="1489">
      <c r="A1489" t="inlineStr">
        <is>
          <t>Фрунзенский</t>
        </is>
      </c>
      <c r="B1489" t="inlineStr">
        <is>
          <t>Салова ул., д. 61/1</t>
        </is>
      </c>
      <c r="C1489" t="inlineStr">
        <is>
          <t>sale</t>
        </is>
      </c>
      <c r="D1489" t="inlineStr">
        <is>
          <t>Да</t>
        </is>
      </c>
      <c r="E1489" t="inlineStr"/>
      <c r="F1489" t="inlineStr"/>
      <c r="G1489" t="inlineStr">
        <is>
          <t>72.3</t>
        </is>
      </c>
      <c r="H1489" t="inlineStr"/>
      <c r="I1489" t="inlineStr"/>
      <c r="J1489" t="inlineStr">
        <is>
          <t>18 798 000</t>
        </is>
      </c>
      <c r="K1489" t="inlineStr"/>
      <c r="L1489" t="inlineStr"/>
      <c r="M1489" t="inlineStr">
        <is>
          <t>По адресу есть, но площадь другая</t>
        </is>
      </c>
      <c r="N1489" t="inlineStr"/>
      <c r="O1489" t="inlineStr"/>
      <c r="P1489" t="inlineStr"/>
      <c r="Q1489">
        <f>HYPERLINK("https://knru.ru/catalog/salova-ul-d-61-1-355791131/","ссылка")</f>
        <v/>
      </c>
      <c r="R1489" t="inlineStr"/>
      <c r="S1489" t="inlineStr"/>
    </row>
    <row r="1490">
      <c r="A1490" t="inlineStr">
        <is>
          <t>Фрунзенский</t>
        </is>
      </c>
      <c r="B1490" t="inlineStr">
        <is>
          <t>Салова ул., д. 61/1</t>
        </is>
      </c>
      <c r="C1490" t="inlineStr">
        <is>
          <t>sale</t>
        </is>
      </c>
      <c r="D1490" t="inlineStr">
        <is>
          <t>Да</t>
        </is>
      </c>
      <c r="E1490" t="inlineStr"/>
      <c r="F1490" t="inlineStr"/>
      <c r="G1490" t="inlineStr">
        <is>
          <t>33.8</t>
        </is>
      </c>
      <c r="H1490" t="inlineStr"/>
      <c r="I1490" t="inlineStr"/>
      <c r="J1490" t="inlineStr">
        <is>
          <t>9 464 000</t>
        </is>
      </c>
      <c r="K1490" t="inlineStr"/>
      <c r="L1490" t="inlineStr"/>
      <c r="M1490" t="inlineStr">
        <is>
          <t>По адресу есть, но площадь другая</t>
        </is>
      </c>
      <c r="N1490" t="inlineStr"/>
      <c r="O1490" t="inlineStr"/>
      <c r="P1490" t="inlineStr"/>
      <c r="Q1490">
        <f>HYPERLINK("https://knru.ru/catalog/salova-ul-d-61-1-714765762/","ссылка")</f>
        <v/>
      </c>
      <c r="R1490" t="inlineStr"/>
      <c r="S1490" t="inlineStr"/>
    </row>
    <row r="1491">
      <c r="A1491" t="inlineStr">
        <is>
          <t>Фрунзенский</t>
        </is>
      </c>
      <c r="B1491" t="inlineStr">
        <is>
          <t>Салова ул., д. 61/1</t>
        </is>
      </c>
      <c r="C1491" t="inlineStr">
        <is>
          <t>sale</t>
        </is>
      </c>
      <c r="D1491" t="inlineStr">
        <is>
          <t>Да</t>
        </is>
      </c>
      <c r="E1491" t="inlineStr"/>
      <c r="F1491" t="inlineStr"/>
      <c r="G1491" t="inlineStr">
        <is>
          <t>68.2</t>
        </is>
      </c>
      <c r="H1491" t="inlineStr"/>
      <c r="I1491" t="inlineStr"/>
      <c r="J1491" t="inlineStr">
        <is>
          <t>18 414 000</t>
        </is>
      </c>
      <c r="K1491" t="inlineStr"/>
      <c r="L1491" t="inlineStr"/>
      <c r="M1491" t="inlineStr">
        <is>
          <t>По адресу есть, но площадь другая</t>
        </is>
      </c>
      <c r="N1491" t="inlineStr"/>
      <c r="O1491" t="inlineStr"/>
      <c r="P1491" t="inlineStr"/>
      <c r="Q1491">
        <f>HYPERLINK("https://knru.ru/catalog/salova-ul-d-61-1-558498375/","ссылка")</f>
        <v/>
      </c>
      <c r="R1491" t="inlineStr"/>
      <c r="S1491" t="inlineStr"/>
    </row>
    <row r="1492">
      <c r="A1492" t="inlineStr">
        <is>
          <t>Фрунзенский</t>
        </is>
      </c>
      <c r="B1492" t="inlineStr">
        <is>
          <t>Салова ул., д. 61/1</t>
        </is>
      </c>
      <c r="C1492" t="inlineStr">
        <is>
          <t>sale</t>
        </is>
      </c>
      <c r="D1492" t="inlineStr">
        <is>
          <t>Да</t>
        </is>
      </c>
      <c r="E1492" t="inlineStr"/>
      <c r="F1492" t="inlineStr"/>
      <c r="G1492" t="inlineStr">
        <is>
          <t>56.5</t>
        </is>
      </c>
      <c r="H1492" t="inlineStr"/>
      <c r="I1492" t="inlineStr"/>
      <c r="J1492" t="inlineStr">
        <is>
          <t>15 255 000</t>
        </is>
      </c>
      <c r="K1492" t="inlineStr"/>
      <c r="L1492" t="inlineStr"/>
      <c r="M1492" t="inlineStr">
        <is>
          <t>По адресу есть, но площадь другая</t>
        </is>
      </c>
      <c r="N1492" t="inlineStr"/>
      <c r="O1492" t="inlineStr"/>
      <c r="P1492" t="inlineStr"/>
      <c r="Q1492">
        <f>HYPERLINK("https://knru.ru/catalog/salova-ul-d-61-1-1606074809/","ссылка")</f>
        <v/>
      </c>
      <c r="R1492" t="inlineStr"/>
      <c r="S1492" t="inlineStr"/>
    </row>
    <row r="1493">
      <c r="A1493" t="inlineStr">
        <is>
          <t>Фрунзенский</t>
        </is>
      </c>
      <c r="B1493" t="inlineStr">
        <is>
          <t>Салова ул., д. 61/1</t>
        </is>
      </c>
      <c r="C1493" t="inlineStr">
        <is>
          <t>sale</t>
        </is>
      </c>
      <c r="D1493" t="inlineStr">
        <is>
          <t>Да</t>
        </is>
      </c>
      <c r="E1493" t="inlineStr"/>
      <c r="F1493" t="inlineStr"/>
      <c r="G1493" t="inlineStr">
        <is>
          <t>28.5</t>
        </is>
      </c>
      <c r="H1493" t="inlineStr"/>
      <c r="I1493" t="inlineStr"/>
      <c r="J1493" t="inlineStr">
        <is>
          <t>7 980 000</t>
        </is>
      </c>
      <c r="K1493" t="inlineStr"/>
      <c r="L1493" t="inlineStr"/>
      <c r="M1493" t="inlineStr">
        <is>
          <t>По адресу есть, но площадь другая</t>
        </is>
      </c>
      <c r="N1493" t="inlineStr"/>
      <c r="O1493" t="inlineStr"/>
      <c r="P1493" t="inlineStr"/>
      <c r="Q1493">
        <f>HYPERLINK("https://knru.ru/catalog/salova-ul-d-61-1-1815286506/","ссылка")</f>
        <v/>
      </c>
      <c r="R1493" t="inlineStr"/>
      <c r="S1493" t="inlineStr"/>
    </row>
    <row r="1494">
      <c r="A1494" t="inlineStr">
        <is>
          <t>Фрунзенский</t>
        </is>
      </c>
      <c r="B1494" t="inlineStr">
        <is>
          <t>Софийская ул, 141</t>
        </is>
      </c>
      <c r="C1494" t="inlineStr">
        <is>
          <t>sale</t>
        </is>
      </c>
      <c r="D1494" t="inlineStr"/>
      <c r="E1494" t="inlineStr">
        <is>
          <t>Да</t>
        </is>
      </c>
      <c r="F1494" t="inlineStr"/>
      <c r="G1494" t="inlineStr"/>
      <c r="H1494" t="inlineStr">
        <is>
          <t>10000</t>
        </is>
      </c>
      <c r="I1494" t="inlineStr"/>
      <c r="J1494" t="inlineStr"/>
      <c r="K1494" t="inlineStr">
        <is>
          <t>70 000 000</t>
        </is>
      </c>
      <c r="L1494" t="inlineStr"/>
      <c r="M1494" t="inlineStr"/>
      <c r="N1494" t="inlineStr">
        <is>
          <t>Нет у нас</t>
        </is>
      </c>
      <c r="O1494" t="inlineStr"/>
      <c r="P1494" t="inlineStr"/>
      <c r="Q1494" t="inlineStr"/>
      <c r="R1494">
        <f>HYPERLINK("https://nordwestinvest.ru/real-estates/prodaza-zemelnogo-ucastka-100-sotok","ссылка")</f>
        <v/>
      </c>
      <c r="S1494" t="inlineStr"/>
    </row>
    <row r="1495">
      <c r="A1495" t="inlineStr">
        <is>
          <t>Фрунзенский</t>
        </is>
      </c>
      <c r="B1495" t="inlineStr">
        <is>
          <t>Софийская ул, 6к5</t>
        </is>
      </c>
      <c r="C1495" t="inlineStr">
        <is>
          <t>sale</t>
        </is>
      </c>
      <c r="D1495" t="inlineStr">
        <is>
          <t>Да</t>
        </is>
      </c>
      <c r="E1495" t="inlineStr"/>
      <c r="F1495" t="inlineStr"/>
      <c r="G1495" t="inlineStr">
        <is>
          <t>294</t>
        </is>
      </c>
      <c r="H1495" t="inlineStr"/>
      <c r="I1495" t="inlineStr"/>
      <c r="J1495" t="inlineStr">
        <is>
          <t>39 500 000</t>
        </is>
      </c>
      <c r="K1495" t="inlineStr"/>
      <c r="L1495" t="inlineStr"/>
      <c r="M1495" t="inlineStr">
        <is>
          <t>Нет у нас</t>
        </is>
      </c>
      <c r="N1495" t="inlineStr"/>
      <c r="O1495" t="inlineStr"/>
      <c r="P1495" t="inlineStr"/>
      <c r="Q1495">
        <f>HYPERLINK("https://knru.ru/catalog/sofiyskaya-ul-d-6-k-5/","ссылка")</f>
        <v/>
      </c>
      <c r="R1495" t="inlineStr"/>
      <c r="S1495" t="inlineStr"/>
    </row>
    <row r="1496">
      <c r="A1496" t="inlineStr">
        <is>
          <t>Фрунзенский</t>
        </is>
      </c>
      <c r="B1496" t="inlineStr">
        <is>
          <t>Ярослава Гашека ул, 5</t>
        </is>
      </c>
      <c r="C1496" t="inlineStr">
        <is>
          <t>sale</t>
        </is>
      </c>
      <c r="D1496" t="inlineStr">
        <is>
          <t>Да</t>
        </is>
      </c>
      <c r="E1496" t="inlineStr"/>
      <c r="F1496" t="inlineStr"/>
      <c r="G1496" t="inlineStr">
        <is>
          <t>677</t>
        </is>
      </c>
      <c r="H1496" t="inlineStr"/>
      <c r="I1496" t="inlineStr"/>
      <c r="J1496" t="inlineStr">
        <is>
          <t>99 500 000</t>
        </is>
      </c>
      <c r="K1496" t="inlineStr"/>
      <c r="L1496" t="inlineStr"/>
      <c r="M1496" t="inlineStr">
        <is>
          <t>По адресу есть, но площадь другая</t>
        </is>
      </c>
      <c r="N1496" t="inlineStr"/>
      <c r="O1496" t="inlineStr"/>
      <c r="P1496" t="inlineStr"/>
      <c r="Q1496">
        <f>HYPERLINK("https://knru.ru/catalog/ul-yaroslava-gasheka-d-5-875604145/","ссылка")</f>
        <v/>
      </c>
      <c r="R1496" t="inlineStr"/>
      <c r="S1496" t="inlineStr"/>
    </row>
    <row r="1497">
      <c r="A1497" t="inlineStr">
        <is>
          <t>Фрунзенский</t>
        </is>
      </c>
      <c r="B1497" t="inlineStr">
        <is>
          <t>Ярослава Гашека ул, 8</t>
        </is>
      </c>
      <c r="C1497" t="inlineStr">
        <is>
          <t>sale</t>
        </is>
      </c>
      <c r="D1497" t="inlineStr">
        <is>
          <t>Да</t>
        </is>
      </c>
      <c r="E1497" t="inlineStr"/>
      <c r="F1497" t="inlineStr"/>
      <c r="G1497" t="inlineStr">
        <is>
          <t>28</t>
        </is>
      </c>
      <c r="H1497" t="inlineStr"/>
      <c r="I1497" t="inlineStr"/>
      <c r="J1497" t="inlineStr">
        <is>
          <t>13 600 000</t>
        </is>
      </c>
      <c r="K1497" t="inlineStr"/>
      <c r="L1497" t="inlineStr"/>
      <c r="M1497" t="inlineStr">
        <is>
          <t>По адресу есть, но площадь другая</t>
        </is>
      </c>
      <c r="N1497" t="inlineStr"/>
      <c r="O1497" t="inlineStr"/>
      <c r="P1497" t="inlineStr"/>
      <c r="Q1497">
        <f>HYPERLINK("https://knru.ru/catalog/ul-yaroslava-gasheka-d-8/","ссылка")</f>
        <v/>
      </c>
      <c r="R1497" t="inlineStr"/>
      <c r="S1497" t="inlineStr"/>
    </row>
    <row r="1498">
      <c r="A1498" t="inlineStr">
        <is>
          <t>Фрунзенский</t>
        </is>
      </c>
      <c r="B1498" t="inlineStr">
        <is>
          <t>Ярослава Гашека, 4</t>
        </is>
      </c>
      <c r="C1498" t="inlineStr">
        <is>
          <t>sale</t>
        </is>
      </c>
      <c r="D1498" t="inlineStr">
        <is>
          <t>Да</t>
        </is>
      </c>
      <c r="E1498" t="inlineStr"/>
      <c r="F1498" t="inlineStr"/>
      <c r="G1498" t="inlineStr">
        <is>
          <t>45</t>
        </is>
      </c>
      <c r="H1498" t="inlineStr"/>
      <c r="I1498" t="inlineStr"/>
      <c r="J1498" t="inlineStr">
        <is>
          <t>33 000 000</t>
        </is>
      </c>
      <c r="K1498" t="inlineStr"/>
      <c r="L1498" t="inlineStr"/>
      <c r="M1498" t="inlineStr">
        <is>
          <t>По адресу есть, но площадь другая</t>
        </is>
      </c>
      <c r="N1498" t="inlineStr"/>
      <c r="O1498" t="inlineStr"/>
      <c r="P1498" t="inlineStr"/>
      <c r="Q1498">
        <f>HYPERLINK("https://knru.ru/catalog/yaroslava-gasheka-ul-d-4-546262/","ссылка")</f>
        <v/>
      </c>
      <c r="R1498" t="inlineStr"/>
      <c r="S1498" t="inlineStr"/>
    </row>
    <row r="1499">
      <c r="A1499" t="inlineStr">
        <is>
          <t>Центр</t>
        </is>
      </c>
      <c r="B1499" t="inlineStr">
        <is>
          <t>Малая ул, 53а А</t>
        </is>
      </c>
      <c r="C1499" t="inlineStr">
        <is>
          <t>sale</t>
        </is>
      </c>
      <c r="D1499" t="inlineStr">
        <is>
          <t>Да</t>
        </is>
      </c>
      <c r="E1499" t="inlineStr"/>
      <c r="F1499" t="inlineStr"/>
      <c r="G1499" t="inlineStr">
        <is>
          <t>530</t>
        </is>
      </c>
      <c r="H1499" t="inlineStr"/>
      <c r="I1499" t="inlineStr"/>
      <c r="J1499" t="inlineStr">
        <is>
          <t>23 000 000</t>
        </is>
      </c>
      <c r="K1499" t="inlineStr"/>
      <c r="L1499" t="inlineStr"/>
      <c r="M1499" t="inlineStr">
        <is>
          <t>Нет у нас</t>
        </is>
      </c>
      <c r="N1499" t="inlineStr"/>
      <c r="O1499" t="inlineStr"/>
      <c r="P1499" t="inlineStr"/>
      <c r="Q1499">
        <f>HYPERLINK("https://knru.ru/catalog/malaya-ul-53a-a/","ссылка")</f>
        <v/>
      </c>
      <c r="R1499" t="inlineStr"/>
      <c r="S1499" t="inlineStr"/>
    </row>
    <row r="1500">
      <c r="A1500" t="inlineStr">
        <is>
          <t>Центр</t>
        </is>
      </c>
      <c r="B1500" t="inlineStr">
        <is>
          <t>Пулковское ш, 53 А</t>
        </is>
      </c>
      <c r="C1500" t="inlineStr">
        <is>
          <t>sale</t>
        </is>
      </c>
      <c r="D1500" t="inlineStr"/>
      <c r="E1500" t="inlineStr">
        <is>
          <t>Да</t>
        </is>
      </c>
      <c r="F1500" t="inlineStr"/>
      <c r="G1500" t="inlineStr"/>
      <c r="H1500" t="inlineStr">
        <is>
          <t>5000</t>
        </is>
      </c>
      <c r="I1500" t="inlineStr"/>
      <c r="J1500" t="inlineStr"/>
      <c r="K1500" t="inlineStr">
        <is>
          <t>65 000 000</t>
        </is>
      </c>
      <c r="L1500" t="inlineStr"/>
      <c r="M1500" t="inlineStr"/>
      <c r="N1500" t="inlineStr">
        <is>
          <t>Нет у нас</t>
        </is>
      </c>
      <c r="O1500" t="inlineStr"/>
      <c r="P1500" t="inlineStr"/>
      <c r="Q1500" t="inlineStr"/>
      <c r="R1500">
        <f>HYPERLINK("https://nordwestinvest.ru/real-estates/prodaza-zemelnogo-ucastka-5000m","ссылка")</f>
        <v/>
      </c>
      <c r="S1500" t="inlineStr"/>
    </row>
    <row r="1501">
      <c r="A1501" t="inlineStr">
        <is>
          <t>Центр</t>
        </is>
      </c>
      <c r="B1501" t="inlineStr">
        <is>
          <t>Пулковское ш, 53 А</t>
        </is>
      </c>
      <c r="C1501" t="inlineStr">
        <is>
          <t>sale</t>
        </is>
      </c>
      <c r="D1501" t="inlineStr"/>
      <c r="E1501" t="inlineStr">
        <is>
          <t>Да</t>
        </is>
      </c>
      <c r="F1501" t="inlineStr"/>
      <c r="G1501" t="inlineStr"/>
      <c r="H1501" t="inlineStr">
        <is>
          <t>2007</t>
        </is>
      </c>
      <c r="I1501" t="inlineStr"/>
      <c r="J1501" t="inlineStr"/>
      <c r="K1501" t="inlineStr">
        <is>
          <t>41 000 000</t>
        </is>
      </c>
      <c r="L1501" t="inlineStr"/>
      <c r="M1501" t="inlineStr"/>
      <c r="N1501" t="inlineStr">
        <is>
          <t>Нет у нас</t>
        </is>
      </c>
      <c r="O1501" t="inlineStr"/>
      <c r="P1501" t="inlineStr"/>
      <c r="Q1501" t="inlineStr"/>
      <c r="R1501">
        <f>HYPERLINK("https://nordwestinvest.ru/real-estates/zu-s-pavilyonami","ссылка")</f>
        <v/>
      </c>
      <c r="S1501" t="inlineStr"/>
    </row>
    <row r="1502">
      <c r="A1502" t="inlineStr">
        <is>
          <t>Центр</t>
        </is>
      </c>
      <c r="B1502" t="inlineStr">
        <is>
          <t>Пулковское ш, 53 А</t>
        </is>
      </c>
      <c r="C1502" t="inlineStr">
        <is>
          <t>sale</t>
        </is>
      </c>
      <c r="D1502" t="inlineStr"/>
      <c r="E1502" t="inlineStr">
        <is>
          <t>Да</t>
        </is>
      </c>
      <c r="F1502" t="inlineStr"/>
      <c r="G1502" t="inlineStr"/>
      <c r="H1502" t="inlineStr">
        <is>
          <t>2000</t>
        </is>
      </c>
      <c r="I1502" t="inlineStr"/>
      <c r="J1502" t="inlineStr"/>
      <c r="K1502" t="inlineStr">
        <is>
          <t>24 000 000</t>
        </is>
      </c>
      <c r="L1502" t="inlineStr"/>
      <c r="M1502" t="inlineStr"/>
      <c r="N1502" t="inlineStr">
        <is>
          <t>Нет у нас</t>
        </is>
      </c>
      <c r="O1502" t="inlineStr"/>
      <c r="P1502" t="inlineStr"/>
      <c r="Q1502" t="inlineStr"/>
      <c r="R1502">
        <f>HYPERLINK("https://nordwestinvest.ru/real-estates/prodaza-zemelnogo-ucastka-2000m","ссылка")</f>
        <v/>
      </c>
      <c r="S1502" t="inlineStr"/>
    </row>
    <row r="1503">
      <c r="A1503" t="inlineStr">
        <is>
          <t>Центральный</t>
        </is>
      </c>
      <c r="B1503" t="inlineStr">
        <is>
          <t>25 Октября пр-кт, 40г</t>
        </is>
      </c>
      <c r="C1503" t="inlineStr">
        <is>
          <t>sale</t>
        </is>
      </c>
      <c r="D1503" t="inlineStr">
        <is>
          <t>Да</t>
        </is>
      </c>
      <c r="E1503" t="inlineStr"/>
      <c r="F1503" t="inlineStr"/>
      <c r="G1503" t="inlineStr">
        <is>
          <t>450</t>
        </is>
      </c>
      <c r="H1503" t="inlineStr"/>
      <c r="I1503" t="inlineStr"/>
      <c r="J1503" t="inlineStr">
        <is>
          <t>100 000 000</t>
        </is>
      </c>
      <c r="K1503" t="inlineStr"/>
      <c r="L1503" t="inlineStr"/>
      <c r="M1503" t="inlineStr">
        <is>
          <t>Нет у нас</t>
        </is>
      </c>
      <c r="N1503" t="inlineStr"/>
      <c r="O1503" t="inlineStr"/>
      <c r="P1503" t="inlineStr"/>
      <c r="Q1503">
        <f>HYPERLINK("https://knru.ru/catalog/gatchina-25-oktyabrya-40g/","ссылка")</f>
        <v/>
      </c>
      <c r="R1503" t="inlineStr"/>
      <c r="S1503" t="inlineStr"/>
    </row>
    <row r="1504">
      <c r="A1504" t="inlineStr">
        <is>
          <t>Центральный</t>
        </is>
      </c>
      <c r="B1504" t="inlineStr">
        <is>
          <t>27-я В.О. линия, 6к2 Б</t>
        </is>
      </c>
      <c r="C1504" t="inlineStr">
        <is>
          <t>sale</t>
        </is>
      </c>
      <c r="D1504" t="inlineStr"/>
      <c r="E1504" t="inlineStr">
        <is>
          <t>Да</t>
        </is>
      </c>
      <c r="F1504" t="inlineStr"/>
      <c r="G1504" t="inlineStr"/>
      <c r="H1504" t="inlineStr">
        <is>
          <t>4500</t>
        </is>
      </c>
      <c r="I1504" t="inlineStr"/>
      <c r="J1504" t="inlineStr"/>
      <c r="K1504" t="inlineStr">
        <is>
          <t>590 000 000</t>
        </is>
      </c>
      <c r="L1504" t="inlineStr"/>
      <c r="M1504" t="inlineStr"/>
      <c r="N1504" t="inlineStr">
        <is>
          <t>Нет у нас</t>
        </is>
      </c>
      <c r="O1504" t="inlineStr"/>
      <c r="P1504" t="inlineStr"/>
      <c r="Q1504" t="inlineStr"/>
      <c r="R1504">
        <f>HYPERLINK("https://nordwestinvest.ru/real-estates/prodaza-zdaniia-u-metro-gornyi-institut-4500-m2","ссылка")</f>
        <v/>
      </c>
      <c r="S1504" t="inlineStr"/>
    </row>
    <row r="1505">
      <c r="A1505" t="inlineStr">
        <is>
          <t>Центральный</t>
        </is>
      </c>
      <c r="B1505" t="inlineStr">
        <is>
          <t>8-я Советская ул, 16/25 А</t>
        </is>
      </c>
      <c r="C1505" t="inlineStr">
        <is>
          <t>sale</t>
        </is>
      </c>
      <c r="D1505" t="inlineStr"/>
      <c r="E1505" t="inlineStr">
        <is>
          <t>Да</t>
        </is>
      </c>
      <c r="F1505" t="inlineStr"/>
      <c r="G1505" t="inlineStr"/>
      <c r="H1505" t="inlineStr">
        <is>
          <t>32</t>
        </is>
      </c>
      <c r="I1505" t="inlineStr"/>
      <c r="J1505" t="inlineStr"/>
      <c r="K1505" t="inlineStr">
        <is>
          <t>16 000 000</t>
        </is>
      </c>
      <c r="L1505" t="inlineStr"/>
      <c r="M1505" t="inlineStr"/>
      <c r="N1505" t="inlineStr">
        <is>
          <t>Нет у нас</t>
        </is>
      </c>
      <c r="O1505" t="inlineStr"/>
      <c r="P1505" t="inlineStr"/>
      <c r="Q1505" t="inlineStr"/>
      <c r="R1505">
        <f>HYPERLINK("https://nordwestinvest.ru/real-estates/prodaza-gab-cito-gvrito-arenduet-11-let","ссылка")</f>
        <v/>
      </c>
      <c r="S1505" t="inlineStr"/>
    </row>
    <row r="1506">
      <c r="A1506" t="inlineStr">
        <is>
          <t>Центральный</t>
        </is>
      </c>
      <c r="B1506" t="inlineStr">
        <is>
          <t>8-я Советская ул, 17 19 А</t>
        </is>
      </c>
      <c r="C1506" t="inlineStr">
        <is>
          <t>sale</t>
        </is>
      </c>
      <c r="D1506" t="inlineStr">
        <is>
          <t>Да</t>
        </is>
      </c>
      <c r="E1506" t="inlineStr"/>
      <c r="F1506" t="inlineStr"/>
      <c r="G1506" t="inlineStr">
        <is>
          <t>87.7</t>
        </is>
      </c>
      <c r="H1506" t="inlineStr"/>
      <c r="I1506" t="inlineStr"/>
      <c r="J1506" t="inlineStr">
        <is>
          <t>24 000 000</t>
        </is>
      </c>
      <c r="K1506" t="inlineStr"/>
      <c r="L1506" t="inlineStr"/>
      <c r="M1506" t="inlineStr">
        <is>
          <t>Нет у нас</t>
        </is>
      </c>
      <c r="N1506" t="inlineStr"/>
      <c r="O1506" t="inlineStr"/>
      <c r="P1506" t="inlineStr"/>
      <c r="Q1506">
        <f>HYPERLINK("https://knru.ru/catalog/8-ya-sovetskaya-ul-17-19-a/","ссылка")</f>
        <v/>
      </c>
      <c r="R1506" t="inlineStr"/>
      <c r="S1506" t="inlineStr"/>
    </row>
    <row r="1507">
      <c r="A1507" t="inlineStr">
        <is>
          <t>Центральный</t>
        </is>
      </c>
      <c r="B1507" t="inlineStr">
        <is>
          <t>8-я Советская ул, 9-13</t>
        </is>
      </c>
      <c r="C1507" t="inlineStr">
        <is>
          <t>sale</t>
        </is>
      </c>
      <c r="D1507" t="inlineStr">
        <is>
          <t>Да</t>
        </is>
      </c>
      <c r="E1507" t="inlineStr"/>
      <c r="F1507" t="inlineStr"/>
      <c r="G1507" t="inlineStr">
        <is>
          <t>160</t>
        </is>
      </c>
      <c r="H1507" t="inlineStr"/>
      <c r="I1507" t="inlineStr"/>
      <c r="J1507" t="inlineStr">
        <is>
          <t>15 000 000</t>
        </is>
      </c>
      <c r="K1507" t="inlineStr"/>
      <c r="L1507" t="inlineStr"/>
      <c r="M1507" t="inlineStr">
        <is>
          <t>По адресу есть, но площадь другая</t>
        </is>
      </c>
      <c r="N1507" t="inlineStr"/>
      <c r="O1507" t="inlineStr"/>
      <c r="P1507" t="inlineStr"/>
      <c r="Q1507">
        <f>HYPERLINK("https://knru.ru/catalog/8-ya-sovetskaya-ul-9-13/","ссылка")</f>
        <v/>
      </c>
      <c r="R1507" t="inlineStr"/>
      <c r="S1507" t="inlineStr"/>
    </row>
    <row r="1508">
      <c r="A1508" t="inlineStr">
        <is>
          <t>Центральный</t>
        </is>
      </c>
      <c r="B1508" t="inlineStr">
        <is>
          <t>8-я Советская, 7</t>
        </is>
      </c>
      <c r="C1508" t="inlineStr">
        <is>
          <t>sale</t>
        </is>
      </c>
      <c r="D1508" t="inlineStr">
        <is>
          <t>Да</t>
        </is>
      </c>
      <c r="E1508" t="inlineStr"/>
      <c r="F1508" t="inlineStr"/>
      <c r="G1508" t="inlineStr">
        <is>
          <t>134</t>
        </is>
      </c>
      <c r="H1508" t="inlineStr"/>
      <c r="I1508" t="inlineStr"/>
      <c r="J1508" t="inlineStr">
        <is>
          <t>35 000 000</t>
        </is>
      </c>
      <c r="K1508" t="inlineStr"/>
      <c r="L1508" t="inlineStr"/>
      <c r="M1508" t="inlineStr">
        <is>
          <t>Совпало</t>
        </is>
      </c>
      <c r="N1508" t="inlineStr"/>
      <c r="O1508" t="inlineStr"/>
      <c r="P1508" t="inlineStr"/>
      <c r="Q1508">
        <f>HYPERLINK("https://knru.ru/catalog/8-ya-sovetskaya-ul-d-7-1564865643/","ссылка")</f>
        <v/>
      </c>
      <c r="R1508" t="inlineStr"/>
      <c r="S1508" t="inlineStr"/>
    </row>
    <row r="1509">
      <c r="A1509" t="inlineStr">
        <is>
          <t>Центральный</t>
        </is>
      </c>
      <c r="B1509" t="inlineStr">
        <is>
          <t>Александра Невского, 3</t>
        </is>
      </c>
      <c r="C1509" t="inlineStr">
        <is>
          <t>sale</t>
        </is>
      </c>
      <c r="D1509" t="inlineStr">
        <is>
          <t>Да</t>
        </is>
      </c>
      <c r="E1509" t="inlineStr"/>
      <c r="F1509" t="inlineStr"/>
      <c r="G1509" t="inlineStr">
        <is>
          <t>250</t>
        </is>
      </c>
      <c r="H1509" t="inlineStr"/>
      <c r="I1509" t="inlineStr"/>
      <c r="J1509" t="inlineStr">
        <is>
          <t>90 000 000</t>
        </is>
      </c>
      <c r="K1509" t="inlineStr"/>
      <c r="L1509" t="inlineStr"/>
      <c r="M1509" t="inlineStr">
        <is>
          <t>Совпало</t>
        </is>
      </c>
      <c r="N1509" t="inlineStr"/>
      <c r="O1509" t="inlineStr"/>
      <c r="P1509" t="inlineStr"/>
      <c r="Q1509">
        <f>HYPERLINK("https://knru.ru/catalog/aleksandra-nevskogo-ul-d-3/","ссылка")</f>
        <v/>
      </c>
      <c r="R1509" t="inlineStr"/>
      <c r="S1509" t="inlineStr"/>
    </row>
    <row r="1510">
      <c r="A1510" t="inlineStr">
        <is>
          <t>Центральный</t>
        </is>
      </c>
      <c r="B1510" t="inlineStr">
        <is>
          <t>Бакунина пр-кт, 29а</t>
        </is>
      </c>
      <c r="C1510" t="inlineStr">
        <is>
          <t>sale</t>
        </is>
      </c>
      <c r="D1510" t="inlineStr"/>
      <c r="E1510" t="inlineStr">
        <is>
          <t>Да</t>
        </is>
      </c>
      <c r="F1510" t="inlineStr"/>
      <c r="G1510" t="inlineStr"/>
      <c r="H1510" t="inlineStr">
        <is>
          <t>4000</t>
        </is>
      </c>
      <c r="I1510" t="inlineStr"/>
      <c r="J1510" t="inlineStr"/>
      <c r="K1510" t="inlineStr">
        <is>
          <t>500 000 000</t>
        </is>
      </c>
      <c r="L1510" t="inlineStr"/>
      <c r="M1510" t="inlineStr"/>
      <c r="N1510" t="inlineStr">
        <is>
          <t>По адресу есть, но площадь другая</t>
        </is>
      </c>
      <c r="O1510" t="inlineStr"/>
      <c r="P1510" t="inlineStr"/>
      <c r="Q1510" t="inlineStr"/>
      <c r="R1510">
        <f>HYPERLINK("https://nordwestinvest.ru/real-estates/prodaza-bc-na-bakunina","ссылка")</f>
        <v/>
      </c>
      <c r="S1510" t="inlineStr"/>
    </row>
    <row r="1511">
      <c r="A1511" t="inlineStr">
        <is>
          <t>Центральный</t>
        </is>
      </c>
      <c r="B1511" t="inlineStr">
        <is>
          <t>Бакунина пр-кт, 33</t>
        </is>
      </c>
      <c r="C1511" t="inlineStr">
        <is>
          <t>sale</t>
        </is>
      </c>
      <c r="D1511" t="inlineStr">
        <is>
          <t>Да</t>
        </is>
      </c>
      <c r="E1511" t="inlineStr"/>
      <c r="F1511" t="inlineStr"/>
      <c r="G1511" t="inlineStr">
        <is>
          <t>117</t>
        </is>
      </c>
      <c r="H1511" t="inlineStr"/>
      <c r="I1511" t="inlineStr"/>
      <c r="J1511" t="inlineStr">
        <is>
          <t>46 640 000</t>
        </is>
      </c>
      <c r="K1511" t="inlineStr"/>
      <c r="L1511" t="inlineStr"/>
      <c r="M1511" t="inlineStr">
        <is>
          <t>Совпало</t>
        </is>
      </c>
      <c r="N1511" t="inlineStr"/>
      <c r="O1511" t="inlineStr"/>
      <c r="P1511" t="inlineStr"/>
      <c r="Q1511">
        <f>HYPERLINK("https://knru.ru/catalog/pr-bakunina-d-33-1580091841/","ссылка")</f>
        <v/>
      </c>
      <c r="R1511" t="inlineStr"/>
      <c r="S1511" t="inlineStr"/>
    </row>
    <row r="1512">
      <c r="A1512" t="inlineStr">
        <is>
          <t>Центральный</t>
        </is>
      </c>
      <c r="B1512" t="inlineStr">
        <is>
          <t>Большая Разночинная ул, 32 Л</t>
        </is>
      </c>
      <c r="C1512" t="inlineStr">
        <is>
          <t>sale</t>
        </is>
      </c>
      <c r="D1512" t="inlineStr"/>
      <c r="E1512" t="inlineStr">
        <is>
          <t>Да</t>
        </is>
      </c>
      <c r="F1512" t="inlineStr"/>
      <c r="G1512" t="inlineStr"/>
      <c r="H1512" t="inlineStr">
        <is>
          <t>4560</t>
        </is>
      </c>
      <c r="I1512" t="inlineStr"/>
      <c r="J1512" t="inlineStr"/>
      <c r="K1512" t="inlineStr">
        <is>
          <t>835 000 000</t>
        </is>
      </c>
      <c r="L1512" t="inlineStr"/>
      <c r="M1512" t="inlineStr"/>
      <c r="N1512" t="inlineStr">
        <is>
          <t>Нет у нас</t>
        </is>
      </c>
      <c r="O1512" t="inlineStr"/>
      <c r="P1512" t="inlineStr"/>
      <c r="Q1512" t="inlineStr"/>
      <c r="R1512">
        <f>HYPERLINK("https://nordwestinvest.ru/real-estates/osz-v-petrogradskom-raione-4560m2","ссылка")</f>
        <v/>
      </c>
      <c r="S1512" t="inlineStr"/>
    </row>
    <row r="1513">
      <c r="A1513" t="inlineStr">
        <is>
          <t>Центральный</t>
        </is>
      </c>
      <c r="B1513" t="inlineStr">
        <is>
          <t>Боровая ул, 34/24</t>
        </is>
      </c>
      <c r="C1513" t="inlineStr">
        <is>
          <t>sale</t>
        </is>
      </c>
      <c r="D1513" t="inlineStr">
        <is>
          <t>Да</t>
        </is>
      </c>
      <c r="E1513" t="inlineStr"/>
      <c r="F1513" t="inlineStr"/>
      <c r="G1513" t="inlineStr">
        <is>
          <t>157</t>
        </is>
      </c>
      <c r="H1513" t="inlineStr"/>
      <c r="I1513" t="inlineStr"/>
      <c r="J1513" t="inlineStr">
        <is>
          <t>37 000 000</t>
        </is>
      </c>
      <c r="K1513" t="inlineStr"/>
      <c r="L1513" t="inlineStr"/>
      <c r="M1513" t="inlineStr">
        <is>
          <t>Совпало</t>
        </is>
      </c>
      <c r="N1513" t="inlineStr"/>
      <c r="O1513" t="inlineStr"/>
      <c r="P1513" t="inlineStr"/>
      <c r="Q1513">
        <f>HYPERLINK("https://knru.ru/catalog/ul-borovaya-d-34-24-574221696/","ссылка")</f>
        <v/>
      </c>
      <c r="R1513" t="inlineStr"/>
      <c r="S1513" t="inlineStr"/>
    </row>
    <row r="1514">
      <c r="A1514" t="inlineStr">
        <is>
          <t>Центральный</t>
        </is>
      </c>
      <c r="B1514" t="inlineStr">
        <is>
          <t>Боровая ул, 55к2</t>
        </is>
      </c>
      <c r="C1514" t="inlineStr">
        <is>
          <t>sale</t>
        </is>
      </c>
      <c r="D1514" t="inlineStr"/>
      <c r="E1514" t="inlineStr">
        <is>
          <t>Да</t>
        </is>
      </c>
      <c r="F1514" t="inlineStr"/>
      <c r="G1514" t="inlineStr"/>
      <c r="H1514" t="inlineStr">
        <is>
          <t>1603.8</t>
        </is>
      </c>
      <c r="I1514" t="inlineStr"/>
      <c r="J1514" t="inlineStr"/>
      <c r="K1514" t="inlineStr">
        <is>
          <t>160 000 000</t>
        </is>
      </c>
      <c r="L1514" t="inlineStr"/>
      <c r="M1514" t="inlineStr"/>
      <c r="N1514" t="inlineStr">
        <is>
          <t>По адресу есть, но площадь другая</t>
        </is>
      </c>
      <c r="O1514" t="inlineStr"/>
      <c r="P1514" t="inlineStr"/>
      <c r="Q1514" t="inlineStr"/>
      <c r="R1514">
        <f>HYPERLINK("https://nordwestinvest.ru/real-estates/prodaza-ulybka-radugi-160-m2-v-novom-tc-2","ссылка")</f>
        <v/>
      </c>
      <c r="S1514" t="inlineStr"/>
    </row>
    <row r="1515">
      <c r="A1515" t="inlineStr">
        <is>
          <t>Центральный</t>
        </is>
      </c>
      <c r="B1515" t="inlineStr">
        <is>
          <t>Воскресенская наб, 4</t>
        </is>
      </c>
      <c r="C1515" t="inlineStr">
        <is>
          <t>sale</t>
        </is>
      </c>
      <c r="D1515" t="inlineStr">
        <is>
          <t>Да</t>
        </is>
      </c>
      <c r="E1515" t="inlineStr"/>
      <c r="F1515" t="inlineStr"/>
      <c r="G1515" t="inlineStr">
        <is>
          <t>173</t>
        </is>
      </c>
      <c r="H1515" t="inlineStr"/>
      <c r="I1515" t="inlineStr"/>
      <c r="J1515" t="inlineStr">
        <is>
          <t>53 630 000</t>
        </is>
      </c>
      <c r="K1515" t="inlineStr"/>
      <c r="L1515" t="inlineStr"/>
      <c r="M1515" t="inlineStr">
        <is>
          <t>По адресу есть, но площадь другая</t>
        </is>
      </c>
      <c r="N1515" t="inlineStr"/>
      <c r="O1515" t="inlineStr"/>
      <c r="P1515" t="inlineStr"/>
      <c r="Q1515">
        <f>HYPERLINK("https://knru.ru/catalog/nab-voskresenskaya-d-4-1927414743/","ссылка")</f>
        <v/>
      </c>
      <c r="R1515" t="inlineStr"/>
      <c r="S1515" t="inlineStr"/>
    </row>
    <row r="1516">
      <c r="A1516" t="inlineStr">
        <is>
          <t>Центральный</t>
        </is>
      </c>
      <c r="B1516" t="inlineStr">
        <is>
          <t>Восстания ул, 23/1</t>
        </is>
      </c>
      <c r="C1516" t="inlineStr">
        <is>
          <t>sale</t>
        </is>
      </c>
      <c r="D1516" t="inlineStr">
        <is>
          <t>Да</t>
        </is>
      </c>
      <c r="E1516" t="inlineStr"/>
      <c r="F1516" t="inlineStr"/>
      <c r="G1516" t="inlineStr">
        <is>
          <t>107</t>
        </is>
      </c>
      <c r="H1516" t="inlineStr"/>
      <c r="I1516" t="inlineStr"/>
      <c r="J1516" t="inlineStr">
        <is>
          <t>7 900 000</t>
        </is>
      </c>
      <c r="K1516" t="inlineStr"/>
      <c r="L1516" t="inlineStr"/>
      <c r="M1516" t="inlineStr">
        <is>
          <t>У нас аренда, у конкурента продажа</t>
        </is>
      </c>
      <c r="N1516" t="inlineStr"/>
      <c r="O1516" t="inlineStr"/>
      <c r="P1516" t="inlineStr"/>
      <c r="Q1516">
        <f>HYPERLINK("https://knru.ru/catalog/ul-vosstaniya-d-23/","ссылка")</f>
        <v/>
      </c>
      <c r="R1516" t="inlineStr"/>
      <c r="S1516" t="inlineStr"/>
    </row>
    <row r="1517">
      <c r="A1517" t="inlineStr">
        <is>
          <t>Центральный</t>
        </is>
      </c>
      <c r="B1517" t="inlineStr">
        <is>
          <t>Восстания ул, 33</t>
        </is>
      </c>
      <c r="C1517" t="inlineStr">
        <is>
          <t>sale</t>
        </is>
      </c>
      <c r="D1517" t="inlineStr">
        <is>
          <t>Да</t>
        </is>
      </c>
      <c r="E1517" t="inlineStr"/>
      <c r="F1517" t="inlineStr"/>
      <c r="G1517" t="inlineStr">
        <is>
          <t>200</t>
        </is>
      </c>
      <c r="H1517" t="inlineStr"/>
      <c r="I1517" t="inlineStr"/>
      <c r="J1517" t="inlineStr">
        <is>
          <t>4 300 000</t>
        </is>
      </c>
      <c r="K1517" t="inlineStr"/>
      <c r="L1517" t="inlineStr"/>
      <c r="M1517" t="inlineStr">
        <is>
          <t>По адресу есть, но площадь другая</t>
        </is>
      </c>
      <c r="N1517" t="inlineStr"/>
      <c r="O1517" t="inlineStr"/>
      <c r="P1517" t="inlineStr"/>
      <c r="Q1517">
        <f>HYPERLINK("https://knru.ru/catalog/vosstaniya-ul-d-33/","ссылка")</f>
        <v/>
      </c>
      <c r="R1517" t="inlineStr"/>
      <c r="S1517" t="inlineStr"/>
    </row>
    <row r="1518">
      <c r="A1518" t="inlineStr">
        <is>
          <t>Центральный</t>
        </is>
      </c>
      <c r="B1518" t="inlineStr">
        <is>
          <t>Гагаринская ул, 6/1</t>
        </is>
      </c>
      <c r="C1518" t="inlineStr">
        <is>
          <t>sale</t>
        </is>
      </c>
      <c r="D1518" t="inlineStr">
        <is>
          <t>Да</t>
        </is>
      </c>
      <c r="E1518" t="inlineStr"/>
      <c r="F1518" t="inlineStr"/>
      <c r="G1518" t="inlineStr">
        <is>
          <t>384</t>
        </is>
      </c>
      <c r="H1518" t="inlineStr"/>
      <c r="I1518" t="inlineStr"/>
      <c r="J1518" t="inlineStr">
        <is>
          <t>51 000 000</t>
        </is>
      </c>
      <c r="K1518" t="inlineStr"/>
      <c r="L1518" t="inlineStr"/>
      <c r="M1518" t="inlineStr">
        <is>
          <t>Нет у нас</t>
        </is>
      </c>
      <c r="N1518" t="inlineStr"/>
      <c r="O1518" t="inlineStr"/>
      <c r="P1518" t="inlineStr"/>
      <c r="Q1518">
        <f>HYPERLINK("https://knru.ru/catalog/gagarinskaya-ul-6-1/","ссылка")</f>
        <v/>
      </c>
      <c r="R1518" t="inlineStr"/>
      <c r="S1518" t="inlineStr"/>
    </row>
    <row r="1519">
      <c r="A1519" t="inlineStr">
        <is>
          <t>Центральный</t>
        </is>
      </c>
      <c r="B1519" t="inlineStr">
        <is>
          <t>Гончарная ул, 6</t>
        </is>
      </c>
      <c r="C1519" t="inlineStr">
        <is>
          <t>sale</t>
        </is>
      </c>
      <c r="D1519" t="inlineStr">
        <is>
          <t>Да</t>
        </is>
      </c>
      <c r="E1519" t="inlineStr"/>
      <c r="F1519" t="inlineStr"/>
      <c r="G1519" t="inlineStr">
        <is>
          <t>134</t>
        </is>
      </c>
      <c r="H1519" t="inlineStr"/>
      <c r="I1519" t="inlineStr"/>
      <c r="J1519" t="inlineStr">
        <is>
          <t>67 000 000</t>
        </is>
      </c>
      <c r="K1519" t="inlineStr"/>
      <c r="L1519" t="inlineStr"/>
      <c r="M1519" t="inlineStr">
        <is>
          <t>Нет у нас</t>
        </is>
      </c>
      <c r="N1519" t="inlineStr"/>
      <c r="O1519" t="inlineStr"/>
      <c r="P1519" t="inlineStr"/>
      <c r="Q1519">
        <f>HYPERLINK("https://knru.ru/catalog/goncharnaya-ul-d-6-1957405971/","ссылка")</f>
        <v/>
      </c>
      <c r="R1519" t="inlineStr"/>
      <c r="S1519" t="inlineStr"/>
    </row>
    <row r="1520">
      <c r="A1520" t="inlineStr">
        <is>
          <t>Центральный</t>
        </is>
      </c>
      <c r="B1520" t="inlineStr">
        <is>
          <t>Гончарная ул, 6</t>
        </is>
      </c>
      <c r="C1520" t="inlineStr">
        <is>
          <t>sale</t>
        </is>
      </c>
      <c r="D1520" t="inlineStr">
        <is>
          <t>Да</t>
        </is>
      </c>
      <c r="E1520" t="inlineStr"/>
      <c r="F1520" t="inlineStr"/>
      <c r="G1520" t="inlineStr">
        <is>
          <t>190</t>
        </is>
      </c>
      <c r="H1520" t="inlineStr"/>
      <c r="I1520" t="inlineStr"/>
      <c r="J1520" t="inlineStr">
        <is>
          <t>95 000 000</t>
        </is>
      </c>
      <c r="K1520" t="inlineStr"/>
      <c r="L1520" t="inlineStr"/>
      <c r="M1520" t="inlineStr">
        <is>
          <t>Нет у нас</t>
        </is>
      </c>
      <c r="N1520" t="inlineStr"/>
      <c r="O1520" t="inlineStr"/>
      <c r="P1520" t="inlineStr"/>
      <c r="Q1520">
        <f>HYPERLINK("https://knru.ru/catalog/goncharnaya-ul-d-6-1091037435/","ссылка")</f>
        <v/>
      </c>
      <c r="R1520" t="inlineStr"/>
      <c r="S1520" t="inlineStr"/>
    </row>
    <row r="1521">
      <c r="A1521" t="inlineStr">
        <is>
          <t>Центральный</t>
        </is>
      </c>
      <c r="B1521" t="inlineStr">
        <is>
          <t>Гончарная ул, 6</t>
        </is>
      </c>
      <c r="C1521" t="inlineStr">
        <is>
          <t>sale</t>
        </is>
      </c>
      <c r="D1521" t="inlineStr">
        <is>
          <t>Да</t>
        </is>
      </c>
      <c r="E1521" t="inlineStr"/>
      <c r="F1521" t="inlineStr"/>
      <c r="G1521" t="inlineStr">
        <is>
          <t>49</t>
        </is>
      </c>
      <c r="H1521" t="inlineStr"/>
      <c r="I1521" t="inlineStr"/>
      <c r="J1521" t="inlineStr">
        <is>
          <t>24 500 000</t>
        </is>
      </c>
      <c r="K1521" t="inlineStr"/>
      <c r="L1521" t="inlineStr"/>
      <c r="M1521" t="inlineStr">
        <is>
          <t>Нет у нас</t>
        </is>
      </c>
      <c r="N1521" t="inlineStr"/>
      <c r="O1521" t="inlineStr"/>
      <c r="P1521" t="inlineStr"/>
      <c r="Q1521">
        <f>HYPERLINK("https://knru.ru/catalog/goncharnaya-ul-d-6-694434700/","ссылка")</f>
        <v/>
      </c>
      <c r="R1521" t="inlineStr"/>
      <c r="S1521" t="inlineStr"/>
    </row>
    <row r="1522">
      <c r="A1522" t="inlineStr">
        <is>
          <t>Центральный</t>
        </is>
      </c>
      <c r="B1522" t="inlineStr">
        <is>
          <t>Гончарная ул, 6литераГ</t>
        </is>
      </c>
      <c r="C1522" t="inlineStr">
        <is>
          <t>sale</t>
        </is>
      </c>
      <c r="D1522" t="inlineStr">
        <is>
          <t>Да</t>
        </is>
      </c>
      <c r="E1522" t="inlineStr"/>
      <c r="F1522" t="inlineStr"/>
      <c r="G1522" t="inlineStr">
        <is>
          <t>93</t>
        </is>
      </c>
      <c r="H1522" t="inlineStr"/>
      <c r="I1522" t="inlineStr"/>
      <c r="J1522" t="inlineStr">
        <is>
          <t>46 500 000</t>
        </is>
      </c>
      <c r="K1522" t="inlineStr"/>
      <c r="L1522" t="inlineStr"/>
      <c r="M1522" t="inlineStr">
        <is>
          <t>Нет у нас</t>
        </is>
      </c>
      <c r="N1522" t="inlineStr"/>
      <c r="O1522" t="inlineStr"/>
      <c r="P1522" t="inlineStr"/>
      <c r="Q1522">
        <f>HYPERLINK("https://knru.ru/catalog/goncharnaya-ul-d-6-320572196/","ссылка")</f>
        <v/>
      </c>
      <c r="R1522" t="inlineStr"/>
      <c r="S1522" t="inlineStr"/>
    </row>
    <row r="1523">
      <c r="A1523" t="inlineStr">
        <is>
          <t>Центральный</t>
        </is>
      </c>
      <c r="B1523" t="inlineStr">
        <is>
          <t>Гончарная ул, 6литераГ</t>
        </is>
      </c>
      <c r="C1523" t="inlineStr">
        <is>
          <t>sale</t>
        </is>
      </c>
      <c r="D1523" t="inlineStr">
        <is>
          <t>Да</t>
        </is>
      </c>
      <c r="E1523" t="inlineStr"/>
      <c r="F1523" t="inlineStr"/>
      <c r="G1523" t="inlineStr">
        <is>
          <t>41</t>
        </is>
      </c>
      <c r="H1523" t="inlineStr"/>
      <c r="I1523" t="inlineStr"/>
      <c r="J1523" t="inlineStr">
        <is>
          <t>20 500 000</t>
        </is>
      </c>
      <c r="K1523" t="inlineStr"/>
      <c r="L1523" t="inlineStr"/>
      <c r="M1523" t="inlineStr">
        <is>
          <t>Нет у нас</t>
        </is>
      </c>
      <c r="N1523" t="inlineStr"/>
      <c r="O1523" t="inlineStr"/>
      <c r="P1523" t="inlineStr"/>
      <c r="Q1523">
        <f>HYPERLINK("https://knru.ru/catalog/goncharnaya-ul-d-6-1273789704/","ссылка")</f>
        <v/>
      </c>
      <c r="R1523" t="inlineStr"/>
      <c r="S1523" t="inlineStr"/>
    </row>
    <row r="1524">
      <c r="A1524" t="inlineStr">
        <is>
          <t>Центральный</t>
        </is>
      </c>
      <c r="B1524" t="inlineStr">
        <is>
          <t>Гороховая ул, 41</t>
        </is>
      </c>
      <c r="C1524" t="inlineStr">
        <is>
          <t>sale</t>
        </is>
      </c>
      <c r="D1524" t="inlineStr">
        <is>
          <t>Да</t>
        </is>
      </c>
      <c r="E1524" t="inlineStr"/>
      <c r="F1524" t="inlineStr"/>
      <c r="G1524" t="inlineStr">
        <is>
          <t>109</t>
        </is>
      </c>
      <c r="H1524" t="inlineStr"/>
      <c r="I1524" t="inlineStr"/>
      <c r="J1524" t="inlineStr">
        <is>
          <t>75 000 000</t>
        </is>
      </c>
      <c r="K1524" t="inlineStr"/>
      <c r="L1524" t="inlineStr"/>
      <c r="M1524" t="inlineStr">
        <is>
          <t>По адресу есть, но площадь другая</t>
        </is>
      </c>
      <c r="N1524" t="inlineStr"/>
      <c r="O1524" t="inlineStr"/>
      <c r="P1524" t="inlineStr"/>
      <c r="Q1524">
        <f>HYPERLINK("https://knru.ru/catalog/ul-sadovaya-d-33-ul-gorokhovaya-d-41/","ссылка")</f>
        <v/>
      </c>
      <c r="R1524" t="inlineStr"/>
      <c r="S1524" t="inlineStr"/>
    </row>
    <row r="1525">
      <c r="A1525" t="inlineStr">
        <is>
          <t>Центральный</t>
        </is>
      </c>
      <c r="B1525" t="inlineStr">
        <is>
          <t>Гороховая ул, 64 А</t>
        </is>
      </c>
      <c r="C1525" t="inlineStr">
        <is>
          <t>sale</t>
        </is>
      </c>
      <c r="D1525" t="inlineStr">
        <is>
          <t>Да</t>
        </is>
      </c>
      <c r="E1525" t="inlineStr"/>
      <c r="F1525" t="inlineStr"/>
      <c r="G1525" t="inlineStr">
        <is>
          <t>51.4</t>
        </is>
      </c>
      <c r="H1525" t="inlineStr"/>
      <c r="I1525" t="inlineStr"/>
      <c r="J1525" t="inlineStr">
        <is>
          <t>1 400 000</t>
        </is>
      </c>
      <c r="K1525" t="inlineStr"/>
      <c r="L1525" t="inlineStr"/>
      <c r="M1525" t="inlineStr">
        <is>
          <t>Нет у нас</t>
        </is>
      </c>
      <c r="N1525" t="inlineStr"/>
      <c r="O1525" t="inlineStr"/>
      <c r="P1525" t="inlineStr"/>
      <c r="Q1525">
        <f>HYPERLINK("https://knru.ru/catalog/gorokhovaya-ul-d-64/","ссылка")</f>
        <v/>
      </c>
      <c r="R1525" t="inlineStr"/>
      <c r="S1525" t="inlineStr"/>
    </row>
    <row r="1526">
      <c r="A1526" t="inlineStr">
        <is>
          <t>Центральный</t>
        </is>
      </c>
      <c r="B1526" t="inlineStr">
        <is>
          <t>Грузовой проезд, 7 Б</t>
        </is>
      </c>
      <c r="C1526" t="inlineStr">
        <is>
          <t>sale</t>
        </is>
      </c>
      <c r="D1526" t="inlineStr"/>
      <c r="E1526" t="inlineStr">
        <is>
          <t>Да</t>
        </is>
      </c>
      <c r="F1526" t="inlineStr"/>
      <c r="G1526" t="inlineStr"/>
      <c r="H1526" t="inlineStr">
        <is>
          <t>1514</t>
        </is>
      </c>
      <c r="I1526" t="inlineStr"/>
      <c r="J1526" t="inlineStr"/>
      <c r="K1526" t="inlineStr">
        <is>
          <t>55 000 000</t>
        </is>
      </c>
      <c r="L1526" t="inlineStr"/>
      <c r="M1526" t="inlineStr"/>
      <c r="N1526" t="inlineStr">
        <is>
          <t>По адресу есть, но площадь другая</t>
        </is>
      </c>
      <c r="O1526" t="inlineStr"/>
      <c r="P1526" t="inlineStr"/>
      <c r="Q1526" t="inlineStr"/>
      <c r="R1526">
        <f>HYPERLINK("https://nordwestinvest.ru/real-estates/prodaza-osz-1514-m2-s-arendatorom","ссылка")</f>
        <v/>
      </c>
      <c r="S1526" t="inlineStr"/>
    </row>
    <row r="1527">
      <c r="A1527" t="inlineStr">
        <is>
          <t>Центральный</t>
        </is>
      </c>
      <c r="B1527" t="inlineStr">
        <is>
          <t>Дегтярная ул, 31</t>
        </is>
      </c>
      <c r="C1527" t="inlineStr">
        <is>
          <t>sale</t>
        </is>
      </c>
      <c r="D1527" t="inlineStr"/>
      <c r="E1527" t="inlineStr">
        <is>
          <t>Да</t>
        </is>
      </c>
      <c r="F1527" t="inlineStr"/>
      <c r="G1527" t="inlineStr"/>
      <c r="H1527" t="inlineStr">
        <is>
          <t>180</t>
        </is>
      </c>
      <c r="I1527" t="inlineStr"/>
      <c r="J1527" t="inlineStr"/>
      <c r="K1527" t="inlineStr">
        <is>
          <t>50 000 000</t>
        </is>
      </c>
      <c r="L1527" t="inlineStr"/>
      <c r="M1527" t="inlineStr"/>
      <c r="N1527" t="inlineStr">
        <is>
          <t>Совпало</t>
        </is>
      </c>
      <c r="O1527" t="inlineStr"/>
      <c r="P1527" t="inlineStr"/>
      <c r="Q1527" t="inlineStr"/>
      <c r="R1527">
        <f>HYPERLINK("https://nordwestinvest.ru/real-estates/prodaza-gab-krasnoe-i-beloe-i-vb-4","ссылка")</f>
        <v/>
      </c>
      <c r="S1527" t="inlineStr"/>
    </row>
    <row r="1528">
      <c r="A1528" t="inlineStr">
        <is>
          <t>Центральный</t>
        </is>
      </c>
      <c r="B1528" t="inlineStr">
        <is>
          <t>Жуковского ул, 7-9</t>
        </is>
      </c>
      <c r="C1528" t="inlineStr">
        <is>
          <t>sale</t>
        </is>
      </c>
      <c r="D1528" t="inlineStr">
        <is>
          <t>Да</t>
        </is>
      </c>
      <c r="E1528" t="inlineStr"/>
      <c r="F1528" t="inlineStr"/>
      <c r="G1528" t="inlineStr">
        <is>
          <t>182</t>
        </is>
      </c>
      <c r="H1528" t="inlineStr"/>
      <c r="I1528" t="inlineStr"/>
      <c r="J1528" t="inlineStr">
        <is>
          <t>89 900 000</t>
        </is>
      </c>
      <c r="K1528" t="inlineStr"/>
      <c r="L1528" t="inlineStr"/>
      <c r="M1528" t="inlineStr">
        <is>
          <t>Совпало</t>
        </is>
      </c>
      <c r="N1528" t="inlineStr"/>
      <c r="O1528" t="inlineStr"/>
      <c r="P1528" t="inlineStr"/>
      <c r="Q1528">
        <f>HYPERLINK("https://knru.ru/catalog/zhukovskogo-ul-d-7-9/","ссылка")</f>
        <v/>
      </c>
      <c r="R1528" t="inlineStr"/>
      <c r="S1528" t="inlineStr"/>
    </row>
    <row r="1529">
      <c r="A1529" t="inlineStr">
        <is>
          <t>Центральный</t>
        </is>
      </c>
      <c r="B1529" t="inlineStr">
        <is>
          <t>Захарьевская ул, 16</t>
        </is>
      </c>
      <c r="C1529" t="inlineStr">
        <is>
          <t>sale</t>
        </is>
      </c>
      <c r="D1529" t="inlineStr">
        <is>
          <t>Да</t>
        </is>
      </c>
      <c r="E1529" t="inlineStr"/>
      <c r="F1529" t="inlineStr"/>
      <c r="G1529" t="inlineStr">
        <is>
          <t>180</t>
        </is>
      </c>
      <c r="H1529" t="inlineStr"/>
      <c r="I1529" t="inlineStr"/>
      <c r="J1529" t="inlineStr">
        <is>
          <t>6 900 000</t>
        </is>
      </c>
      <c r="K1529" t="inlineStr"/>
      <c r="L1529" t="inlineStr"/>
      <c r="M1529" t="inlineStr">
        <is>
          <t>У нас аренда, у конкурента продажа</t>
        </is>
      </c>
      <c r="N1529" t="inlineStr"/>
      <c r="O1529" t="inlineStr"/>
      <c r="P1529" t="inlineStr"/>
      <c r="Q1529">
        <f>HYPERLINK("https://knru.ru/catalog/zakharevskaya-ul-16/","ссылка")</f>
        <v/>
      </c>
      <c r="R1529" t="inlineStr"/>
      <c r="S1529" t="inlineStr"/>
    </row>
    <row r="1530">
      <c r="A1530" t="inlineStr">
        <is>
          <t>Центральный</t>
        </is>
      </c>
      <c r="B1530" t="inlineStr">
        <is>
          <t>Итальянская ул, 10</t>
        </is>
      </c>
      <c r="C1530" t="inlineStr">
        <is>
          <t>sale</t>
        </is>
      </c>
      <c r="D1530" t="inlineStr">
        <is>
          <t>Да</t>
        </is>
      </c>
      <c r="E1530" t="inlineStr"/>
      <c r="F1530" t="inlineStr"/>
      <c r="G1530" t="inlineStr">
        <is>
          <t>170</t>
        </is>
      </c>
      <c r="H1530" t="inlineStr"/>
      <c r="I1530" t="inlineStr"/>
      <c r="J1530" t="inlineStr">
        <is>
          <t>120 000 000</t>
        </is>
      </c>
      <c r="K1530" t="inlineStr"/>
      <c r="L1530" t="inlineStr"/>
      <c r="M1530" t="inlineStr">
        <is>
          <t>По адресу есть, но площадь другая</t>
        </is>
      </c>
      <c r="N1530" t="inlineStr"/>
      <c r="O1530" t="inlineStr"/>
      <c r="P1530" t="inlineStr"/>
      <c r="Q1530">
        <f>HYPERLINK("https://knru.ru/catalog/italyanskaya-ul-d-10/","ссылка")</f>
        <v/>
      </c>
      <c r="R1530" t="inlineStr"/>
      <c r="S1530" t="inlineStr"/>
    </row>
    <row r="1531">
      <c r="A1531" t="inlineStr">
        <is>
          <t>Центральный</t>
        </is>
      </c>
      <c r="B1531" t="inlineStr">
        <is>
          <t>Кавалергардская ул, 12</t>
        </is>
      </c>
      <c r="C1531" t="inlineStr">
        <is>
          <t>sale</t>
        </is>
      </c>
      <c r="D1531" t="inlineStr">
        <is>
          <t>Да</t>
        </is>
      </c>
      <c r="E1531" t="inlineStr"/>
      <c r="F1531" t="inlineStr"/>
      <c r="G1531" t="inlineStr">
        <is>
          <t>142.7</t>
        </is>
      </c>
      <c r="H1531" t="inlineStr"/>
      <c r="I1531" t="inlineStr"/>
      <c r="J1531" t="inlineStr">
        <is>
          <t>7 700 000</t>
        </is>
      </c>
      <c r="K1531" t="inlineStr"/>
      <c r="L1531" t="inlineStr"/>
      <c r="M1531" t="inlineStr">
        <is>
          <t>Нет у нас</t>
        </is>
      </c>
      <c r="N1531" t="inlineStr"/>
      <c r="O1531" t="inlineStr"/>
      <c r="P1531" t="inlineStr"/>
      <c r="Q1531">
        <f>HYPERLINK("https://knru.ru/catalog/kavalergardskaya-ul-12/","ссылка")</f>
        <v/>
      </c>
      <c r="R1531" t="inlineStr"/>
      <c r="S1531" t="inlineStr"/>
    </row>
    <row r="1532">
      <c r="A1532" t="inlineStr">
        <is>
          <t>Центральный</t>
        </is>
      </c>
      <c r="B1532" t="inlineStr">
        <is>
          <t>Казанская ул, 22</t>
        </is>
      </c>
      <c r="C1532" t="inlineStr">
        <is>
          <t>sale</t>
        </is>
      </c>
      <c r="D1532" t="inlineStr">
        <is>
          <t>Да</t>
        </is>
      </c>
      <c r="E1532" t="inlineStr"/>
      <c r="F1532" t="inlineStr"/>
      <c r="G1532" t="inlineStr">
        <is>
          <t>60</t>
        </is>
      </c>
      <c r="H1532" t="inlineStr"/>
      <c r="I1532" t="inlineStr"/>
      <c r="J1532" t="inlineStr">
        <is>
          <t>42 000 000</t>
        </is>
      </c>
      <c r="K1532" t="inlineStr"/>
      <c r="L1532" t="inlineStr"/>
      <c r="M1532" t="inlineStr">
        <is>
          <t>Совпало</t>
        </is>
      </c>
      <c r="N1532" t="inlineStr"/>
      <c r="O1532" t="inlineStr"/>
      <c r="P1532" t="inlineStr"/>
      <c r="Q1532">
        <f>HYPERLINK("https://knru.ru/catalog/ul-kazanskaya-d-22-935079057/","ссылка")</f>
        <v/>
      </c>
      <c r="R1532" t="inlineStr"/>
      <c r="S1532" t="inlineStr"/>
    </row>
    <row r="1533">
      <c r="A1533" t="inlineStr">
        <is>
          <t>Центральный</t>
        </is>
      </c>
      <c r="B1533" t="inlineStr">
        <is>
          <t>Кирочная ул, 18</t>
        </is>
      </c>
      <c r="C1533" t="inlineStr">
        <is>
          <t>sale</t>
        </is>
      </c>
      <c r="D1533" t="inlineStr">
        <is>
          <t>Да</t>
        </is>
      </c>
      <c r="E1533" t="inlineStr"/>
      <c r="F1533" t="inlineStr"/>
      <c r="G1533" t="inlineStr">
        <is>
          <t>50</t>
        </is>
      </c>
      <c r="H1533" t="inlineStr"/>
      <c r="I1533" t="inlineStr"/>
      <c r="J1533" t="inlineStr">
        <is>
          <t>12 000 000</t>
        </is>
      </c>
      <c r="K1533" t="inlineStr"/>
      <c r="L1533" t="inlineStr"/>
      <c r="M1533" t="inlineStr">
        <is>
          <t>Нет у нас</t>
        </is>
      </c>
      <c r="N1533" t="inlineStr"/>
      <c r="O1533" t="inlineStr"/>
      <c r="P1533" t="inlineStr"/>
      <c r="Q1533">
        <f>HYPERLINK("https://knru.ru/catalog/kirochnaya-ul-18/","ссылка")</f>
        <v/>
      </c>
      <c r="R1533" t="inlineStr"/>
      <c r="S1533" t="inlineStr"/>
    </row>
    <row r="1534">
      <c r="A1534" t="inlineStr">
        <is>
          <t>Центральный</t>
        </is>
      </c>
      <c r="B1534" t="inlineStr">
        <is>
          <t>Коломенская ул, 14 Б</t>
        </is>
      </c>
      <c r="C1534" t="inlineStr">
        <is>
          <t>sale</t>
        </is>
      </c>
      <c r="D1534" t="inlineStr"/>
      <c r="E1534" t="inlineStr">
        <is>
          <t>Да</t>
        </is>
      </c>
      <c r="F1534" t="inlineStr"/>
      <c r="G1534" t="inlineStr"/>
      <c r="H1534" t="inlineStr">
        <is>
          <t>181.7</t>
        </is>
      </c>
      <c r="I1534" t="inlineStr"/>
      <c r="J1534" t="inlineStr"/>
      <c r="K1534" t="inlineStr">
        <is>
          <t>18 000 000</t>
        </is>
      </c>
      <c r="L1534" t="inlineStr"/>
      <c r="M1534" t="inlineStr"/>
      <c r="N1534" t="inlineStr">
        <is>
          <t>Нет у нас</t>
        </is>
      </c>
      <c r="O1534" t="inlineStr"/>
      <c r="P1534" t="inlineStr"/>
      <c r="Q1534" t="inlineStr"/>
      <c r="R1534">
        <f>HYPERLINK("https://nordwestinvest.ru/real-estates/prodaza-zdaniia-pod-rekonstrukciiu","ссылка")</f>
        <v/>
      </c>
      <c r="S1534" t="inlineStr"/>
    </row>
    <row r="1535">
      <c r="A1535" t="inlineStr">
        <is>
          <t>Центральный</t>
        </is>
      </c>
      <c r="B1535" t="inlineStr">
        <is>
          <t>Константина Заслонова ул, 8 Б</t>
        </is>
      </c>
      <c r="C1535" t="inlineStr">
        <is>
          <t>sale</t>
        </is>
      </c>
      <c r="D1535" t="inlineStr">
        <is>
          <t>Да</t>
        </is>
      </c>
      <c r="E1535" t="inlineStr"/>
      <c r="F1535" t="inlineStr"/>
      <c r="G1535" t="inlineStr">
        <is>
          <t>92.5</t>
        </is>
      </c>
      <c r="H1535" t="inlineStr"/>
      <c r="I1535" t="inlineStr"/>
      <c r="J1535" t="inlineStr">
        <is>
          <t>21 275 000</t>
        </is>
      </c>
      <c r="K1535" t="inlineStr"/>
      <c r="L1535" t="inlineStr"/>
      <c r="M1535" t="inlineStr">
        <is>
          <t>Нет у нас</t>
        </is>
      </c>
      <c r="N1535" t="inlineStr"/>
      <c r="O1535" t="inlineStr"/>
      <c r="P1535" t="inlineStr"/>
      <c r="Q1535">
        <f>HYPERLINK("https://knru.ru/catalog/spb-ul-konstantina-zaslonova-8/","ссылка")</f>
        <v/>
      </c>
      <c r="R1535" t="inlineStr"/>
      <c r="S1535" t="inlineStr"/>
    </row>
    <row r="1536">
      <c r="A1536" t="inlineStr">
        <is>
          <t>Центральный</t>
        </is>
      </c>
      <c r="B1536" t="inlineStr">
        <is>
          <t>Ленинградская обл, Карьер-Мяглово м, Торговая ул, 10 а</t>
        </is>
      </c>
      <c r="C1536" t="inlineStr">
        <is>
          <t>sale</t>
        </is>
      </c>
      <c r="D1536" t="inlineStr"/>
      <c r="E1536" t="inlineStr">
        <is>
          <t>Да</t>
        </is>
      </c>
      <c r="F1536" t="inlineStr"/>
      <c r="G1536" t="inlineStr"/>
      <c r="H1536" t="inlineStr">
        <is>
          <t>520</t>
        </is>
      </c>
      <c r="I1536" t="inlineStr"/>
      <c r="J1536" t="inlineStr"/>
      <c r="K1536" t="inlineStr">
        <is>
          <t>85 000 000</t>
        </is>
      </c>
      <c r="L1536" t="inlineStr"/>
      <c r="M1536" t="inlineStr"/>
      <c r="N1536" t="inlineStr">
        <is>
          <t>По адресу есть, но площадь другая</t>
        </is>
      </c>
      <c r="O1536" t="inlineStr"/>
      <c r="P1536" t="inlineStr"/>
      <c r="Q1536" t="inlineStr"/>
      <c r="R1536">
        <f>HYPERLINK("https://nordwestinvest.ru/real-estates/prodaza-zdaniia-s-arendatorom-diksi-520m2","ссылка")</f>
        <v/>
      </c>
      <c r="S1536" t="inlineStr"/>
    </row>
    <row r="1537">
      <c r="A1537" t="inlineStr">
        <is>
          <t>Центральный</t>
        </is>
      </c>
      <c r="B1537" t="inlineStr">
        <is>
          <t>Лиговский пр., д. 127/А</t>
        </is>
      </c>
      <c r="C1537" t="inlineStr">
        <is>
          <t>sale</t>
        </is>
      </c>
      <c r="D1537" t="inlineStr">
        <is>
          <t>Да</t>
        </is>
      </c>
      <c r="E1537" t="inlineStr"/>
      <c r="F1537" t="inlineStr"/>
      <c r="G1537" t="inlineStr">
        <is>
          <t>70</t>
        </is>
      </c>
      <c r="H1537" t="inlineStr"/>
      <c r="I1537" t="inlineStr"/>
      <c r="J1537" t="inlineStr">
        <is>
          <t>26 610 801</t>
        </is>
      </c>
      <c r="K1537" t="inlineStr"/>
      <c r="L1537" t="inlineStr"/>
      <c r="M1537" t="inlineStr">
        <is>
          <t>Нет у нас</t>
        </is>
      </c>
      <c r="N1537" t="inlineStr"/>
      <c r="O1537" t="inlineStr"/>
      <c r="P1537" t="inlineStr"/>
      <c r="Q1537">
        <f>HYPERLINK("https://knru.ru/catalog/ligovskiy-pr-d-127-a-1293291228/","ссылка")</f>
        <v/>
      </c>
      <c r="R1537" t="inlineStr"/>
      <c r="S1537" t="inlineStr"/>
    </row>
    <row r="1538">
      <c r="A1538" t="inlineStr">
        <is>
          <t>Центральный</t>
        </is>
      </c>
      <c r="B1538" t="inlineStr">
        <is>
          <t>Лиговский пр., д. 127/А</t>
        </is>
      </c>
      <c r="C1538" t="inlineStr">
        <is>
          <t>sale</t>
        </is>
      </c>
      <c r="D1538" t="inlineStr">
        <is>
          <t>Да</t>
        </is>
      </c>
      <c r="E1538" t="inlineStr"/>
      <c r="F1538" t="inlineStr"/>
      <c r="G1538" t="inlineStr">
        <is>
          <t>129.1</t>
        </is>
      </c>
      <c r="H1538" t="inlineStr"/>
      <c r="I1538" t="inlineStr"/>
      <c r="J1538" t="inlineStr">
        <is>
          <t>49 059 507</t>
        </is>
      </c>
      <c r="K1538" t="inlineStr"/>
      <c r="L1538" t="inlineStr"/>
      <c r="M1538" t="inlineStr">
        <is>
          <t>Нет у нас</t>
        </is>
      </c>
      <c r="N1538" t="inlineStr"/>
      <c r="O1538" t="inlineStr"/>
      <c r="P1538" t="inlineStr"/>
      <c r="Q1538">
        <f>HYPERLINK("https://knru.ru/catalog/ligovskiy-pr-d-127-a/","ссылка")</f>
        <v/>
      </c>
      <c r="R1538" t="inlineStr"/>
      <c r="S1538" t="inlineStr"/>
    </row>
    <row r="1539">
      <c r="A1539" t="inlineStr">
        <is>
          <t>Центральный</t>
        </is>
      </c>
      <c r="B1539" t="inlineStr">
        <is>
          <t>Лиговский пр., д. 56/Б</t>
        </is>
      </c>
      <c r="C1539" t="inlineStr">
        <is>
          <t>sale</t>
        </is>
      </c>
      <c r="D1539" t="inlineStr">
        <is>
          <t>Да</t>
        </is>
      </c>
      <c r="E1539" t="inlineStr"/>
      <c r="F1539" t="inlineStr"/>
      <c r="G1539" t="inlineStr">
        <is>
          <t>86.1</t>
        </is>
      </c>
      <c r="H1539" t="inlineStr"/>
      <c r="I1539" t="inlineStr"/>
      <c r="J1539" t="inlineStr">
        <is>
          <t>21 525 000</t>
        </is>
      </c>
      <c r="K1539" t="inlineStr"/>
      <c r="L1539" t="inlineStr"/>
      <c r="M1539" t="inlineStr">
        <is>
          <t>Нет у нас</t>
        </is>
      </c>
      <c r="N1539" t="inlineStr"/>
      <c r="O1539" t="inlineStr"/>
      <c r="P1539" t="inlineStr"/>
      <c r="Q1539">
        <f>HYPERLINK("https://knru.ru/catalog/ligovskiy-pr-d-56-b-2070144282/","ссылка")</f>
        <v/>
      </c>
      <c r="R1539" t="inlineStr"/>
      <c r="S1539" t="inlineStr"/>
    </row>
    <row r="1540">
      <c r="A1540" t="inlineStr">
        <is>
          <t>Центральный</t>
        </is>
      </c>
      <c r="B1540" t="inlineStr">
        <is>
          <t>Лиговский пр-кт, 115</t>
        </is>
      </c>
      <c r="C1540" t="inlineStr">
        <is>
          <t>sale</t>
        </is>
      </c>
      <c r="D1540" t="inlineStr"/>
      <c r="E1540" t="inlineStr">
        <is>
          <t>Да</t>
        </is>
      </c>
      <c r="F1540" t="inlineStr"/>
      <c r="G1540" t="inlineStr"/>
      <c r="H1540" t="inlineStr">
        <is>
          <t>2100</t>
        </is>
      </c>
      <c r="I1540" t="inlineStr"/>
      <c r="J1540" t="inlineStr"/>
      <c r="K1540" t="inlineStr">
        <is>
          <t>400 000 000</t>
        </is>
      </c>
      <c r="L1540" t="inlineStr"/>
      <c r="M1540" t="inlineStr"/>
      <c r="N1540" t="inlineStr">
        <is>
          <t>Совпало</t>
        </is>
      </c>
      <c r="O1540" t="inlineStr"/>
      <c r="P1540" t="inlineStr"/>
      <c r="Q1540" t="inlineStr"/>
      <c r="R1540">
        <f>HYPERLINK("https://nordwestinvest.ru/real-estates/prodaza-zdaniia-2100-m2-u-metro","ссылка")</f>
        <v/>
      </c>
      <c r="S1540" t="inlineStr"/>
    </row>
    <row r="1541">
      <c r="A1541" t="inlineStr">
        <is>
          <t>Центральный</t>
        </is>
      </c>
      <c r="B1541" t="inlineStr">
        <is>
          <t>Лиговский пр-кт, 127</t>
        </is>
      </c>
      <c r="C1541" t="inlineStr">
        <is>
          <t>sale</t>
        </is>
      </c>
      <c r="D1541" t="inlineStr">
        <is>
          <t>Да</t>
        </is>
      </c>
      <c r="E1541" t="inlineStr"/>
      <c r="F1541" t="inlineStr"/>
      <c r="G1541" t="inlineStr">
        <is>
          <t>566</t>
        </is>
      </c>
      <c r="H1541" t="inlineStr"/>
      <c r="I1541" t="inlineStr"/>
      <c r="J1541" t="inlineStr">
        <is>
          <t>226 108 947</t>
        </is>
      </c>
      <c r="K1541" t="inlineStr"/>
      <c r="L1541" t="inlineStr"/>
      <c r="M1541" t="inlineStr">
        <is>
          <t>По адресу есть, но площадь другая</t>
        </is>
      </c>
      <c r="N1541" t="inlineStr"/>
      <c r="O1541" t="inlineStr"/>
      <c r="P1541" t="inlineStr"/>
      <c r="Q1541">
        <f>HYPERLINK("https://knru.ru/catalog/ligovskiy-pr-127-476355945/","ссылка")</f>
        <v/>
      </c>
      <c r="R1541" t="inlineStr"/>
      <c r="S1541" t="inlineStr"/>
    </row>
    <row r="1542">
      <c r="A1542" t="inlineStr">
        <is>
          <t>Центральный</t>
        </is>
      </c>
      <c r="B1542" t="inlineStr">
        <is>
          <t>Лиговский пр-кт, 127</t>
        </is>
      </c>
      <c r="C1542" t="inlineStr">
        <is>
          <t>sale</t>
        </is>
      </c>
      <c r="D1542" t="inlineStr">
        <is>
          <t>Да</t>
        </is>
      </c>
      <c r="E1542" t="inlineStr"/>
      <c r="F1542" t="inlineStr"/>
      <c r="G1542" t="inlineStr">
        <is>
          <t>129</t>
        </is>
      </c>
      <c r="H1542" t="inlineStr"/>
      <c r="I1542" t="inlineStr"/>
      <c r="J1542" t="inlineStr">
        <is>
          <t>51 512 482</t>
        </is>
      </c>
      <c r="K1542" t="inlineStr"/>
      <c r="L1542" t="inlineStr"/>
      <c r="M1542" t="inlineStr">
        <is>
          <t>По адресу есть, но площадь другая</t>
        </is>
      </c>
      <c r="N1542" t="inlineStr"/>
      <c r="O1542" t="inlineStr"/>
      <c r="P1542" t="inlineStr"/>
      <c r="Q1542">
        <f>HYPERLINK("https://knru.ru/catalog/ligovskiy-pr-127/","ссылка")</f>
        <v/>
      </c>
      <c r="R1542" t="inlineStr"/>
      <c r="S1542" t="inlineStr"/>
    </row>
    <row r="1543">
      <c r="A1543" t="inlineStr">
        <is>
          <t>Центральный</t>
        </is>
      </c>
      <c r="B1543" t="inlineStr">
        <is>
          <t>Лиговский пр-кт, 127</t>
        </is>
      </c>
      <c r="C1543" t="inlineStr">
        <is>
          <t>sale</t>
        </is>
      </c>
      <c r="D1543" t="inlineStr">
        <is>
          <t>Да</t>
        </is>
      </c>
      <c r="E1543" t="inlineStr"/>
      <c r="F1543" t="inlineStr"/>
      <c r="G1543" t="inlineStr">
        <is>
          <t>70</t>
        </is>
      </c>
      <c r="H1543" t="inlineStr"/>
      <c r="I1543" t="inlineStr"/>
      <c r="J1543" t="inlineStr">
        <is>
          <t>45 000 000</t>
        </is>
      </c>
      <c r="K1543" t="inlineStr"/>
      <c r="L1543" t="inlineStr"/>
      <c r="M1543" t="inlineStr">
        <is>
          <t>По адресу есть, но площадь другая</t>
        </is>
      </c>
      <c r="N1543" t="inlineStr"/>
      <c r="O1543" t="inlineStr"/>
      <c r="P1543" t="inlineStr"/>
      <c r="Q1543">
        <f>HYPERLINK("https://knru.ru/catalog/ligovskiy-pr-d-127/","ссылка")</f>
        <v/>
      </c>
      <c r="R1543" t="inlineStr"/>
      <c r="S1543" t="inlineStr"/>
    </row>
    <row r="1544">
      <c r="A1544" t="inlineStr">
        <is>
          <t>Центральный</t>
        </is>
      </c>
      <c r="B1544" t="inlineStr">
        <is>
          <t>Лиговский пр-кт, 56Б</t>
        </is>
      </c>
      <c r="C1544" t="inlineStr">
        <is>
          <t>sale</t>
        </is>
      </c>
      <c r="D1544" t="inlineStr">
        <is>
          <t>Да</t>
        </is>
      </c>
      <c r="E1544" t="inlineStr"/>
      <c r="F1544" t="inlineStr"/>
      <c r="G1544" t="inlineStr">
        <is>
          <t>86.1</t>
        </is>
      </c>
      <c r="H1544" t="inlineStr"/>
      <c r="I1544" t="inlineStr"/>
      <c r="J1544" t="inlineStr">
        <is>
          <t>21 525 000</t>
        </is>
      </c>
      <c r="K1544" t="inlineStr"/>
      <c r="L1544" t="inlineStr"/>
      <c r="M1544" t="inlineStr">
        <is>
          <t>Нет у нас</t>
        </is>
      </c>
      <c r="N1544" t="inlineStr"/>
      <c r="O1544" t="inlineStr"/>
      <c r="P1544" t="inlineStr"/>
      <c r="Q1544">
        <f>HYPERLINK("https://knru.ru/catalog/ligovskiy-pr-d-56-1545894825/","ссылка")</f>
        <v/>
      </c>
      <c r="R1544" t="inlineStr"/>
      <c r="S1544" t="inlineStr"/>
    </row>
    <row r="1545">
      <c r="A1545" t="inlineStr">
        <is>
          <t>Центральный</t>
        </is>
      </c>
      <c r="B1545" t="inlineStr">
        <is>
          <t>Лиговский пр-кт, 56Б</t>
        </is>
      </c>
      <c r="C1545" t="inlineStr">
        <is>
          <t>sale</t>
        </is>
      </c>
      <c r="D1545" t="inlineStr">
        <is>
          <t>Да</t>
        </is>
      </c>
      <c r="E1545" t="inlineStr"/>
      <c r="F1545" t="inlineStr"/>
      <c r="G1545" t="inlineStr">
        <is>
          <t>52.5</t>
        </is>
      </c>
      <c r="H1545" t="inlineStr"/>
      <c r="I1545" t="inlineStr"/>
      <c r="J1545" t="inlineStr">
        <is>
          <t>14 962 500</t>
        </is>
      </c>
      <c r="K1545" t="inlineStr"/>
      <c r="L1545" t="inlineStr"/>
      <c r="M1545" t="inlineStr">
        <is>
          <t>Нет у нас</t>
        </is>
      </c>
      <c r="N1545" t="inlineStr"/>
      <c r="O1545" t="inlineStr"/>
      <c r="P1545" t="inlineStr"/>
      <c r="Q1545">
        <f>HYPERLINK("https://knru.ru/catalog/ligovskiy-pr-d-56-414833084/","ссылка")</f>
        <v/>
      </c>
      <c r="R1545" t="inlineStr"/>
      <c r="S1545" t="inlineStr"/>
    </row>
    <row r="1546">
      <c r="A1546" t="inlineStr">
        <is>
          <t>Центральный</t>
        </is>
      </c>
      <c r="B1546" t="inlineStr">
        <is>
          <t>Лиговский пр-кт, 56Б</t>
        </is>
      </c>
      <c r="C1546" t="inlineStr">
        <is>
          <t>sale</t>
        </is>
      </c>
      <c r="D1546" t="inlineStr">
        <is>
          <t>Да</t>
        </is>
      </c>
      <c r="E1546" t="inlineStr"/>
      <c r="F1546" t="inlineStr"/>
      <c r="G1546" t="inlineStr">
        <is>
          <t>82.7</t>
        </is>
      </c>
      <c r="H1546" t="inlineStr"/>
      <c r="I1546" t="inlineStr"/>
      <c r="J1546" t="inlineStr">
        <is>
          <t>20 675 000</t>
        </is>
      </c>
      <c r="K1546" t="inlineStr"/>
      <c r="L1546" t="inlineStr"/>
      <c r="M1546" t="inlineStr">
        <is>
          <t>Нет у нас</t>
        </is>
      </c>
      <c r="N1546" t="inlineStr"/>
      <c r="O1546" t="inlineStr"/>
      <c r="P1546" t="inlineStr"/>
      <c r="Q1546">
        <f>HYPERLINK("https://knru.ru/catalog/ligovskiy-pr-d-56/","ссылка")</f>
        <v/>
      </c>
      <c r="R1546" t="inlineStr"/>
      <c r="S1546" t="inlineStr"/>
    </row>
    <row r="1547">
      <c r="A1547" t="inlineStr">
        <is>
          <t>Центральный</t>
        </is>
      </c>
      <c r="B1547" t="inlineStr">
        <is>
          <t>Лиговский, 87</t>
        </is>
      </c>
      <c r="C1547" t="inlineStr">
        <is>
          <t>sale</t>
        </is>
      </c>
      <c r="D1547" t="inlineStr">
        <is>
          <t>Да</t>
        </is>
      </c>
      <c r="E1547" t="inlineStr"/>
      <c r="F1547" t="inlineStr"/>
      <c r="G1547" t="inlineStr">
        <is>
          <t>275</t>
        </is>
      </c>
      <c r="H1547" t="inlineStr"/>
      <c r="I1547" t="inlineStr"/>
      <c r="J1547" t="inlineStr">
        <is>
          <t>270 000 000</t>
        </is>
      </c>
      <c r="K1547" t="inlineStr"/>
      <c r="L1547" t="inlineStr"/>
      <c r="M1547" t="inlineStr">
        <is>
          <t>У нас аренда, у конкурента продажа</t>
        </is>
      </c>
      <c r="N1547" t="inlineStr"/>
      <c r="O1547" t="inlineStr"/>
      <c r="P1547" t="inlineStr"/>
      <c r="Q1547">
        <f>HYPERLINK("https://knru.ru/catalog/ligovskij-pr-kt-d-87-553289/","ссылка")</f>
        <v/>
      </c>
      <c r="R1547" t="inlineStr"/>
      <c r="S1547" t="inlineStr"/>
    </row>
    <row r="1548">
      <c r="A1548" t="inlineStr">
        <is>
          <t>Центральный</t>
        </is>
      </c>
      <c r="B1548" t="inlineStr">
        <is>
          <t>Лиговский, 87</t>
        </is>
      </c>
      <c r="C1548" t="inlineStr">
        <is>
          <t>sale</t>
        </is>
      </c>
      <c r="D1548" t="inlineStr">
        <is>
          <t>Да</t>
        </is>
      </c>
      <c r="E1548" t="inlineStr"/>
      <c r="F1548" t="inlineStr"/>
      <c r="G1548" t="inlineStr">
        <is>
          <t>200</t>
        </is>
      </c>
      <c r="H1548" t="inlineStr"/>
      <c r="I1548" t="inlineStr"/>
      <c r="J1548" t="inlineStr">
        <is>
          <t>180 000 000</t>
        </is>
      </c>
      <c r="K1548" t="inlineStr"/>
      <c r="L1548" t="inlineStr"/>
      <c r="M1548" t="inlineStr">
        <is>
          <t>У нас аренда, у конкурента продажа</t>
        </is>
      </c>
      <c r="N1548" t="inlineStr"/>
      <c r="O1548" t="inlineStr"/>
      <c r="P1548" t="inlineStr"/>
      <c r="Q1548">
        <f>HYPERLINK("https://knru.ru/catalog/ligovskij-pr-kt-d-87/","ссылка")</f>
        <v/>
      </c>
      <c r="R1548" t="inlineStr"/>
      <c r="S1548" t="inlineStr"/>
    </row>
    <row r="1549">
      <c r="A1549" t="inlineStr">
        <is>
          <t>Центральный</t>
        </is>
      </c>
      <c r="B1549" t="inlineStr">
        <is>
          <t>Литейный пр-кт, 35</t>
        </is>
      </c>
      <c r="C1549" t="inlineStr">
        <is>
          <t>sale</t>
        </is>
      </c>
      <c r="D1549" t="inlineStr">
        <is>
          <t>Да</t>
        </is>
      </c>
      <c r="E1549" t="inlineStr"/>
      <c r="F1549" t="inlineStr"/>
      <c r="G1549" t="inlineStr">
        <is>
          <t>149</t>
        </is>
      </c>
      <c r="H1549" t="inlineStr"/>
      <c r="I1549" t="inlineStr"/>
      <c r="J1549" t="inlineStr">
        <is>
          <t>30 500 000</t>
        </is>
      </c>
      <c r="K1549" t="inlineStr"/>
      <c r="L1549" t="inlineStr"/>
      <c r="M1549" t="inlineStr">
        <is>
          <t>Совпало</t>
        </is>
      </c>
      <c r="N1549" t="inlineStr"/>
      <c r="O1549" t="inlineStr"/>
      <c r="P1549" t="inlineStr"/>
      <c r="Q1549">
        <f>HYPERLINK("https://knru.ru/catalog/liteynyy-prospekt-d-35/","ссылка")</f>
        <v/>
      </c>
      <c r="R1549" t="inlineStr"/>
      <c r="S1549" t="inlineStr"/>
    </row>
    <row r="1550">
      <c r="A1550" t="inlineStr">
        <is>
          <t>Центральный</t>
        </is>
      </c>
      <c r="B1550" t="inlineStr">
        <is>
          <t>Литейный пр-кт, 43</t>
        </is>
      </c>
      <c r="C1550" t="inlineStr">
        <is>
          <t>sale</t>
        </is>
      </c>
      <c r="D1550" t="inlineStr">
        <is>
          <t>Да</t>
        </is>
      </c>
      <c r="E1550" t="inlineStr"/>
      <c r="F1550" t="inlineStr"/>
      <c r="G1550" t="inlineStr">
        <is>
          <t>145</t>
        </is>
      </c>
      <c r="H1550" t="inlineStr"/>
      <c r="I1550" t="inlineStr"/>
      <c r="J1550" t="inlineStr">
        <is>
          <t>92 000 000</t>
        </is>
      </c>
      <c r="K1550" t="inlineStr"/>
      <c r="L1550" t="inlineStr"/>
      <c r="M1550" t="inlineStr">
        <is>
          <t>По адресу есть, но площадь другая</t>
        </is>
      </c>
      <c r="N1550" t="inlineStr"/>
      <c r="O1550" t="inlineStr"/>
      <c r="P1550" t="inlineStr"/>
      <c r="Q1550">
        <f>HYPERLINK("https://knru.ru/catalog/liteynyy-pr-kt-d-43/","ссылка")</f>
        <v/>
      </c>
      <c r="R1550" t="inlineStr"/>
      <c r="S1550" t="inlineStr"/>
    </row>
    <row r="1551">
      <c r="A1551" t="inlineStr">
        <is>
          <t>Центральный</t>
        </is>
      </c>
      <c r="B1551" t="inlineStr">
        <is>
          <t>Литейный пр-кт, 60</t>
        </is>
      </c>
      <c r="C1551" t="inlineStr">
        <is>
          <t>sale</t>
        </is>
      </c>
      <c r="D1551" t="inlineStr">
        <is>
          <t>Да</t>
        </is>
      </c>
      <c r="E1551" t="inlineStr"/>
      <c r="F1551" t="inlineStr"/>
      <c r="G1551" t="inlineStr">
        <is>
          <t>223</t>
        </is>
      </c>
      <c r="H1551" t="inlineStr"/>
      <c r="I1551" t="inlineStr"/>
      <c r="J1551" t="inlineStr">
        <is>
          <t>130 000 000</t>
        </is>
      </c>
      <c r="K1551" t="inlineStr"/>
      <c r="L1551" t="inlineStr"/>
      <c r="M1551" t="inlineStr">
        <is>
          <t>Совпало</t>
        </is>
      </c>
      <c r="N1551" t="inlineStr"/>
      <c r="O1551" t="inlineStr"/>
      <c r="P1551" t="inlineStr"/>
      <c r="Q1551">
        <f>HYPERLINK("https://knru.ru/catalog/liteynyy-pr-kt-d-60/","ссылка")</f>
        <v/>
      </c>
      <c r="R1551" t="inlineStr"/>
      <c r="S1551" t="inlineStr"/>
    </row>
    <row r="1552">
      <c r="A1552" t="inlineStr">
        <is>
          <t>Центральный</t>
        </is>
      </c>
      <c r="B1552" t="inlineStr">
        <is>
          <t>Ломоносов г, Дегтярёва ул, 4а Б</t>
        </is>
      </c>
      <c r="C1552" t="inlineStr">
        <is>
          <t>sale</t>
        </is>
      </c>
      <c r="D1552" t="inlineStr"/>
      <c r="E1552" t="inlineStr">
        <is>
          <t>Да</t>
        </is>
      </c>
      <c r="F1552" t="inlineStr"/>
      <c r="G1552" t="inlineStr"/>
      <c r="H1552" t="inlineStr">
        <is>
          <t>178</t>
        </is>
      </c>
      <c r="I1552" t="inlineStr"/>
      <c r="J1552" t="inlineStr"/>
      <c r="K1552" t="inlineStr">
        <is>
          <t>15 500 000</t>
        </is>
      </c>
      <c r="L1552" t="inlineStr"/>
      <c r="M1552" t="inlineStr"/>
      <c r="N1552" t="inlineStr">
        <is>
          <t>По адресу есть, но площадь другая</t>
        </is>
      </c>
      <c r="O1552" t="inlineStr"/>
      <c r="P1552" t="inlineStr"/>
      <c r="Q1552" t="inlineStr"/>
      <c r="R1552">
        <f>HYPERLINK("https://nordwestinvest.ru/real-estates/prodaza-osz-178-m2-s-arendatorom","ссылка")</f>
        <v/>
      </c>
      <c r="S1552" t="inlineStr"/>
    </row>
    <row r="1553">
      <c r="A1553" t="inlineStr">
        <is>
          <t>Центральный</t>
        </is>
      </c>
      <c r="B1553" t="inlineStr">
        <is>
          <t>Ломоносова ул, 16</t>
        </is>
      </c>
      <c r="C1553" t="inlineStr">
        <is>
          <t>sale</t>
        </is>
      </c>
      <c r="D1553" t="inlineStr">
        <is>
          <t>Да</t>
        </is>
      </c>
      <c r="E1553" t="inlineStr"/>
      <c r="F1553" t="inlineStr"/>
      <c r="G1553" t="inlineStr">
        <is>
          <t>210</t>
        </is>
      </c>
      <c r="H1553" t="inlineStr"/>
      <c r="I1553" t="inlineStr"/>
      <c r="J1553" t="inlineStr">
        <is>
          <t>35 000 000</t>
        </is>
      </c>
      <c r="K1553" t="inlineStr"/>
      <c r="L1553" t="inlineStr"/>
      <c r="M1553" t="inlineStr">
        <is>
          <t>Совпало</t>
        </is>
      </c>
      <c r="N1553" t="inlineStr"/>
      <c r="O1553" t="inlineStr"/>
      <c r="P1553" t="inlineStr"/>
      <c r="Q1553">
        <f>HYPERLINK("https://knru.ru/catalog/ul-lomonosova-d-16/","ссылка")</f>
        <v/>
      </c>
      <c r="R1553" t="inlineStr"/>
      <c r="S1553" t="inlineStr"/>
    </row>
    <row r="1554">
      <c r="A1554" t="inlineStr">
        <is>
          <t>Центральный</t>
        </is>
      </c>
      <c r="B1554" t="inlineStr">
        <is>
          <t>Лужская ул, 10к1 литера Б</t>
        </is>
      </c>
      <c r="C1554" t="inlineStr">
        <is>
          <t>sale</t>
        </is>
      </c>
      <c r="D1554" t="inlineStr"/>
      <c r="E1554" t="inlineStr">
        <is>
          <t>Да</t>
        </is>
      </c>
      <c r="F1554" t="inlineStr"/>
      <c r="G1554" t="inlineStr"/>
      <c r="H1554" t="inlineStr">
        <is>
          <t>210</t>
        </is>
      </c>
      <c r="I1554" t="inlineStr"/>
      <c r="J1554" t="inlineStr"/>
      <c r="K1554" t="inlineStr">
        <is>
          <t>35 800 000</t>
        </is>
      </c>
      <c r="L1554" t="inlineStr"/>
      <c r="M1554" t="inlineStr"/>
      <c r="N1554" t="inlineStr">
        <is>
          <t>По адресу есть, но площадь другая</t>
        </is>
      </c>
      <c r="O1554" t="inlineStr"/>
      <c r="P1554" t="inlineStr"/>
      <c r="Q1554" t="inlineStr"/>
      <c r="R1554">
        <f>HYPERLINK("https://nordwestinvest.ru/real-estates/gab-s-samokatom-210-m2-2","ссылка")</f>
        <v/>
      </c>
      <c r="S1554" t="inlineStr"/>
    </row>
    <row r="1555">
      <c r="A1555" t="inlineStr">
        <is>
          <t>Центральный</t>
        </is>
      </c>
      <c r="B1555" t="inlineStr">
        <is>
          <t>Марата ул, 2/73-75</t>
        </is>
      </c>
      <c r="C1555" t="inlineStr">
        <is>
          <t>sale</t>
        </is>
      </c>
      <c r="D1555" t="inlineStr">
        <is>
          <t>Да</t>
        </is>
      </c>
      <c r="E1555" t="inlineStr"/>
      <c r="F1555" t="inlineStr"/>
      <c r="G1555" t="inlineStr">
        <is>
          <t>363</t>
        </is>
      </c>
      <c r="H1555" t="inlineStr"/>
      <c r="I1555" t="inlineStr"/>
      <c r="J1555" t="inlineStr">
        <is>
          <t>335 000 000</t>
        </is>
      </c>
      <c r="K1555" t="inlineStr"/>
      <c r="L1555" t="inlineStr"/>
      <c r="M1555" t="inlineStr">
        <is>
          <t>По адресу есть, но площадь другая</t>
        </is>
      </c>
      <c r="N1555" t="inlineStr"/>
      <c r="O1555" t="inlineStr"/>
      <c r="P1555" t="inlineStr"/>
      <c r="Q1555">
        <f>HYPERLINK("https://knru.ru/catalog/ul-marata-d-2/","ссылка")</f>
        <v/>
      </c>
      <c r="R1555" t="inlineStr"/>
      <c r="S1555" t="inlineStr"/>
    </row>
    <row r="1556">
      <c r="A1556" t="inlineStr">
        <is>
          <t>Центральный</t>
        </is>
      </c>
      <c r="B1556" t="inlineStr">
        <is>
          <t>Марата ул, 6 А</t>
        </is>
      </c>
      <c r="C1556" t="inlineStr">
        <is>
          <t>sale</t>
        </is>
      </c>
      <c r="D1556" t="inlineStr">
        <is>
          <t>Да</t>
        </is>
      </c>
      <c r="E1556" t="inlineStr"/>
      <c r="F1556" t="inlineStr"/>
      <c r="G1556" t="inlineStr">
        <is>
          <t>6803</t>
        </is>
      </c>
      <c r="H1556" t="inlineStr"/>
      <c r="I1556" t="inlineStr"/>
      <c r="J1556" t="inlineStr">
        <is>
          <t>2 190 000 000</t>
        </is>
      </c>
      <c r="K1556" t="inlineStr"/>
      <c r="L1556" t="inlineStr"/>
      <c r="M1556" t="inlineStr">
        <is>
          <t>Нет у нас</t>
        </is>
      </c>
      <c r="N1556" t="inlineStr"/>
      <c r="O1556" t="inlineStr"/>
      <c r="P1556" t="inlineStr"/>
      <c r="Q1556">
        <f>HYPERLINK("https://knru.ru/catalog/marata-ul-d-6/","ссылка")</f>
        <v/>
      </c>
      <c r="R1556" t="inlineStr"/>
      <c r="S1556" t="inlineStr"/>
    </row>
    <row r="1557">
      <c r="A1557" t="inlineStr">
        <is>
          <t>Центральный</t>
        </is>
      </c>
      <c r="B1557" t="inlineStr">
        <is>
          <t>Маяковского ул, 10 А</t>
        </is>
      </c>
      <c r="C1557" t="inlineStr">
        <is>
          <t>sale</t>
        </is>
      </c>
      <c r="D1557" t="inlineStr">
        <is>
          <t>Да</t>
        </is>
      </c>
      <c r="E1557" t="inlineStr"/>
      <c r="F1557" t="inlineStr"/>
      <c r="G1557" t="inlineStr">
        <is>
          <t>107</t>
        </is>
      </c>
      <c r="H1557" t="inlineStr"/>
      <c r="I1557" t="inlineStr"/>
      <c r="J1557" t="inlineStr">
        <is>
          <t>37 000 000</t>
        </is>
      </c>
      <c r="K1557" t="inlineStr"/>
      <c r="L1557" t="inlineStr"/>
      <c r="M1557" t="inlineStr">
        <is>
          <t>Совпало</t>
        </is>
      </c>
      <c r="N1557" t="inlineStr"/>
      <c r="O1557" t="inlineStr"/>
      <c r="P1557" t="inlineStr"/>
      <c r="Q1557">
        <f>HYPERLINK("https://knru.ru/catalog/ul-mayakovskogo-d-10-1026916472/","ссылка")</f>
        <v/>
      </c>
      <c r="R1557" t="inlineStr"/>
      <c r="S1557" t="inlineStr"/>
    </row>
    <row r="1558">
      <c r="A1558" t="inlineStr">
        <is>
          <t>Центральный</t>
        </is>
      </c>
      <c r="B1558" t="inlineStr">
        <is>
          <t>Маяковского ул, 14</t>
        </is>
      </c>
      <c r="C1558" t="inlineStr">
        <is>
          <t>sale</t>
        </is>
      </c>
      <c r="D1558" t="inlineStr">
        <is>
          <t>Да</t>
        </is>
      </c>
      <c r="E1558" t="inlineStr"/>
      <c r="F1558" t="inlineStr"/>
      <c r="G1558" t="inlineStr">
        <is>
          <t>324</t>
        </is>
      </c>
      <c r="H1558" t="inlineStr"/>
      <c r="I1558" t="inlineStr"/>
      <c r="J1558" t="inlineStr">
        <is>
          <t>54 000 000</t>
        </is>
      </c>
      <c r="K1558" t="inlineStr"/>
      <c r="L1558" t="inlineStr"/>
      <c r="M1558" t="inlineStr">
        <is>
          <t>По адресу есть, но площадь другая</t>
        </is>
      </c>
      <c r="N1558" t="inlineStr"/>
      <c r="O1558" t="inlineStr"/>
      <c r="P1558" t="inlineStr"/>
      <c r="Q1558">
        <f>HYPERLINK("https://knru.ru/catalog/mayakovskogo-ul-14/","ссылка")</f>
        <v/>
      </c>
      <c r="R1558" t="inlineStr"/>
      <c r="S1558" t="inlineStr"/>
    </row>
    <row r="1559">
      <c r="A1559" t="inlineStr">
        <is>
          <t>Центральный</t>
        </is>
      </c>
      <c r="B1559" t="inlineStr">
        <is>
          <t>Маяковского ул, 16</t>
        </is>
      </c>
      <c r="C1559" t="inlineStr">
        <is>
          <t>sale</t>
        </is>
      </c>
      <c r="D1559" t="inlineStr">
        <is>
          <t>Да</t>
        </is>
      </c>
      <c r="E1559" t="inlineStr"/>
      <c r="F1559" t="inlineStr"/>
      <c r="G1559" t="inlineStr">
        <is>
          <t>72</t>
        </is>
      </c>
      <c r="H1559" t="inlineStr"/>
      <c r="I1559" t="inlineStr"/>
      <c r="J1559" t="inlineStr">
        <is>
          <t>48 600 000</t>
        </is>
      </c>
      <c r="K1559" t="inlineStr"/>
      <c r="L1559" t="inlineStr"/>
      <c r="M1559" t="inlineStr">
        <is>
          <t>Совпало</t>
        </is>
      </c>
      <c r="N1559" t="inlineStr"/>
      <c r="O1559" t="inlineStr"/>
      <c r="P1559" t="inlineStr"/>
      <c r="Q1559">
        <f>HYPERLINK("https://knru.ru/catalog/ul-mayakovskogo-d-16/","ссылка")</f>
        <v/>
      </c>
      <c r="R1559" t="inlineStr"/>
      <c r="S1559" t="inlineStr"/>
    </row>
    <row r="1560">
      <c r="A1560" t="inlineStr">
        <is>
          <t>Центральный</t>
        </is>
      </c>
      <c r="B1560" t="inlineStr">
        <is>
          <t>Маяковского ул, 34</t>
        </is>
      </c>
      <c r="C1560" t="inlineStr">
        <is>
          <t>sale</t>
        </is>
      </c>
      <c r="D1560" t="inlineStr">
        <is>
          <t>Да</t>
        </is>
      </c>
      <c r="E1560" t="inlineStr"/>
      <c r="F1560" t="inlineStr"/>
      <c r="G1560" t="inlineStr">
        <is>
          <t>47</t>
        </is>
      </c>
      <c r="H1560" t="inlineStr"/>
      <c r="I1560" t="inlineStr"/>
      <c r="J1560" t="inlineStr">
        <is>
          <t>13 500 000</t>
        </is>
      </c>
      <c r="K1560" t="inlineStr"/>
      <c r="L1560" t="inlineStr"/>
      <c r="M1560" t="inlineStr">
        <is>
          <t>По адресу есть, но площадь другая</t>
        </is>
      </c>
      <c r="N1560" t="inlineStr"/>
      <c r="O1560" t="inlineStr"/>
      <c r="P1560" t="inlineStr"/>
      <c r="Q1560">
        <f>HYPERLINK("https://knru.ru/catalog/ul-mayakovskogo-d-34/","ссылка")</f>
        <v/>
      </c>
      <c r="R1560" t="inlineStr"/>
      <c r="S1560" t="inlineStr"/>
    </row>
    <row r="1561">
      <c r="A1561" t="inlineStr">
        <is>
          <t>Центральный</t>
        </is>
      </c>
      <c r="B1561" t="inlineStr">
        <is>
          <t>Маяковского ул, 48 А</t>
        </is>
      </c>
      <c r="C1561" t="inlineStr">
        <is>
          <t>sale</t>
        </is>
      </c>
      <c r="D1561" t="inlineStr">
        <is>
          <t>Да</t>
        </is>
      </c>
      <c r="E1561" t="inlineStr"/>
      <c r="F1561" t="inlineStr"/>
      <c r="G1561" t="inlineStr">
        <is>
          <t>688</t>
        </is>
      </c>
      <c r="H1561" t="inlineStr"/>
      <c r="I1561" t="inlineStr"/>
      <c r="J1561" t="inlineStr">
        <is>
          <t>80 000 000</t>
        </is>
      </c>
      <c r="K1561" t="inlineStr"/>
      <c r="L1561" t="inlineStr"/>
      <c r="M1561" t="inlineStr">
        <is>
          <t>Нет у нас</t>
        </is>
      </c>
      <c r="N1561" t="inlineStr"/>
      <c r="O1561" t="inlineStr"/>
      <c r="P1561" t="inlineStr"/>
      <c r="Q1561">
        <f>HYPERLINK("https://knru.ru/catalog/ul-mayakovskogo-d-48/","ссылка")</f>
        <v/>
      </c>
      <c r="R1561" t="inlineStr"/>
      <c r="S1561" t="inlineStr"/>
    </row>
    <row r="1562">
      <c r="A1562" t="inlineStr">
        <is>
          <t>Центральный</t>
        </is>
      </c>
      <c r="B1562" t="inlineStr">
        <is>
          <t>Миллионная ул, 4/1 Б</t>
        </is>
      </c>
      <c r="C1562" t="inlineStr">
        <is>
          <t>sale</t>
        </is>
      </c>
      <c r="D1562" t="inlineStr">
        <is>
          <t>Да</t>
        </is>
      </c>
      <c r="E1562" t="inlineStr"/>
      <c r="F1562" t="inlineStr"/>
      <c r="G1562" t="inlineStr">
        <is>
          <t>382</t>
        </is>
      </c>
      <c r="H1562" t="inlineStr"/>
      <c r="I1562" t="inlineStr"/>
      <c r="J1562" t="inlineStr">
        <is>
          <t>80 000 000</t>
        </is>
      </c>
      <c r="K1562" t="inlineStr"/>
      <c r="L1562" t="inlineStr"/>
      <c r="M1562" t="inlineStr">
        <is>
          <t>Нет у нас</t>
        </is>
      </c>
      <c r="N1562" t="inlineStr"/>
      <c r="O1562" t="inlineStr"/>
      <c r="P1562" t="inlineStr"/>
      <c r="Q1562">
        <f>HYPERLINK("https://knru.ru/catalog/ul-millionnaya-d-4-1-lit-b-1350913440/","ссылка")</f>
        <v/>
      </c>
      <c r="R1562" t="inlineStr"/>
      <c r="S1562" t="inlineStr"/>
    </row>
    <row r="1563">
      <c r="A1563" t="inlineStr">
        <is>
          <t>Центральный</t>
        </is>
      </c>
      <c r="B1563" t="inlineStr">
        <is>
          <t>Миргородская ул, 1</t>
        </is>
      </c>
      <c r="C1563" t="inlineStr">
        <is>
          <t>sale</t>
        </is>
      </c>
      <c r="D1563" t="inlineStr">
        <is>
          <t>Да</t>
        </is>
      </c>
      <c r="E1563" t="inlineStr"/>
      <c r="F1563" t="inlineStr"/>
      <c r="G1563" t="inlineStr">
        <is>
          <t>100.9</t>
        </is>
      </c>
      <c r="H1563" t="inlineStr"/>
      <c r="I1563" t="inlineStr"/>
      <c r="J1563" t="inlineStr">
        <is>
          <t>38 000 000</t>
        </is>
      </c>
      <c r="K1563" t="inlineStr"/>
      <c r="L1563" t="inlineStr"/>
      <c r="M1563" t="inlineStr">
        <is>
          <t>Нет у нас</t>
        </is>
      </c>
      <c r="N1563" t="inlineStr"/>
      <c r="O1563" t="inlineStr"/>
      <c r="P1563" t="inlineStr"/>
      <c r="Q1563">
        <f>HYPERLINK("https://knru.ru/catalog/ul-mirgorodskaya-d-1/","ссылка")</f>
        <v/>
      </c>
      <c r="R1563" t="inlineStr"/>
      <c r="S1563" t="inlineStr"/>
    </row>
    <row r="1564">
      <c r="A1564" t="inlineStr">
        <is>
          <t>Центральный</t>
        </is>
      </c>
      <c r="B1564" t="inlineStr">
        <is>
          <t>Мытнинская ул, 5/2</t>
        </is>
      </c>
      <c r="C1564" t="inlineStr">
        <is>
          <t>sale</t>
        </is>
      </c>
      <c r="D1564" t="inlineStr"/>
      <c r="E1564" t="inlineStr">
        <is>
          <t>Да</t>
        </is>
      </c>
      <c r="F1564" t="inlineStr"/>
      <c r="G1564" t="inlineStr"/>
      <c r="H1564" t="inlineStr">
        <is>
          <t>229.7</t>
        </is>
      </c>
      <c r="I1564" t="inlineStr"/>
      <c r="J1564" t="inlineStr"/>
      <c r="K1564" t="inlineStr">
        <is>
          <t>64 000 000</t>
        </is>
      </c>
      <c r="L1564" t="inlineStr"/>
      <c r="M1564" t="inlineStr"/>
      <c r="N1564" t="inlineStr">
        <is>
          <t>Совпало</t>
        </is>
      </c>
      <c r="O1564" t="inlineStr"/>
      <c r="P1564" t="inlineStr"/>
      <c r="Q1564" t="inlineStr"/>
      <c r="R1564">
        <f>HYPERLINK("https://nordwestinvest.ru/real-estates/prodaza-pomeshheniia-s-panoramnymi-oknami-1","ссылка")</f>
        <v/>
      </c>
      <c r="S1564" t="inlineStr"/>
    </row>
    <row r="1565">
      <c r="A1565" t="inlineStr">
        <is>
          <t>Центральный</t>
        </is>
      </c>
      <c r="B1565" t="inlineStr">
        <is>
          <t>Набережная, 9</t>
        </is>
      </c>
      <c r="C1565" t="inlineStr">
        <is>
          <t>sale</t>
        </is>
      </c>
      <c r="D1565" t="inlineStr">
        <is>
          <t>Да</t>
        </is>
      </c>
      <c r="E1565" t="inlineStr"/>
      <c r="F1565" t="inlineStr"/>
      <c r="G1565" t="inlineStr">
        <is>
          <t>445.5</t>
        </is>
      </c>
      <c r="H1565" t="inlineStr"/>
      <c r="I1565" t="inlineStr"/>
      <c r="J1565" t="inlineStr">
        <is>
          <t>46 000 000</t>
        </is>
      </c>
      <c r="K1565" t="inlineStr"/>
      <c r="L1565" t="inlineStr"/>
      <c r="M1565" t="inlineStr">
        <is>
          <t>Нет у нас</t>
        </is>
      </c>
      <c r="N1565" t="inlineStr"/>
      <c r="O1565" t="inlineStr"/>
      <c r="P1565" t="inlineStr"/>
      <c r="Q1565">
        <f>HYPERLINK("https://knru.ru/catalog/naberezhnaya-9/","ссылка")</f>
        <v/>
      </c>
      <c r="R1565" t="inlineStr"/>
      <c r="S1565" t="inlineStr"/>
    </row>
    <row r="1566">
      <c r="A1566" t="inlineStr">
        <is>
          <t>Центральный</t>
        </is>
      </c>
      <c r="B1566" t="inlineStr">
        <is>
          <t>Народная ул, 39 Б</t>
        </is>
      </c>
      <c r="C1566" t="inlineStr">
        <is>
          <t>sale</t>
        </is>
      </c>
      <c r="D1566" t="inlineStr"/>
      <c r="E1566" t="inlineStr">
        <is>
          <t>Да</t>
        </is>
      </c>
      <c r="F1566" t="inlineStr"/>
      <c r="G1566" t="inlineStr"/>
      <c r="H1566" t="inlineStr">
        <is>
          <t>1140</t>
        </is>
      </c>
      <c r="I1566" t="inlineStr"/>
      <c r="J1566" t="inlineStr"/>
      <c r="K1566" t="inlineStr">
        <is>
          <t>357 000 000</t>
        </is>
      </c>
      <c r="L1566" t="inlineStr"/>
      <c r="M1566" t="inlineStr"/>
      <c r="N1566" t="inlineStr">
        <is>
          <t>Нет у нас</t>
        </is>
      </c>
      <c r="O1566" t="inlineStr"/>
      <c r="P1566" t="inlineStr"/>
      <c r="Q1566" t="inlineStr"/>
      <c r="R1566">
        <f>HYPERLINK("https://nordwestinvest.ru/real-estates/prodaza-1140m-arendator-piaterocka-okupaemost-9let","ссылка")</f>
        <v/>
      </c>
      <c r="S1566" t="inlineStr"/>
    </row>
    <row r="1567">
      <c r="A1567" t="inlineStr">
        <is>
          <t>Центральный</t>
        </is>
      </c>
      <c r="B1567" t="inlineStr">
        <is>
          <t>Народного Ополчения пр-кт, 10 А</t>
        </is>
      </c>
      <c r="C1567" t="inlineStr">
        <is>
          <t>sale</t>
        </is>
      </c>
      <c r="D1567" t="inlineStr"/>
      <c r="E1567" t="inlineStr">
        <is>
          <t>Да</t>
        </is>
      </c>
      <c r="F1567" t="inlineStr"/>
      <c r="G1567" t="inlineStr"/>
      <c r="H1567" t="inlineStr">
        <is>
          <t>385</t>
        </is>
      </c>
      <c r="I1567" t="inlineStr"/>
      <c r="J1567" t="inlineStr"/>
      <c r="K1567" t="inlineStr">
        <is>
          <t>56 000 000</t>
        </is>
      </c>
      <c r="L1567" t="inlineStr"/>
      <c r="M1567" t="inlineStr"/>
      <c r="N1567" t="inlineStr">
        <is>
          <t>По адресу есть, но площадь другая</t>
        </is>
      </c>
      <c r="O1567" t="inlineStr"/>
      <c r="P1567" t="inlineStr"/>
      <c r="Q1567" t="inlineStr"/>
      <c r="R1567">
        <f>HYPERLINK("https://nordwestinvest.ru/real-estates/prodaza-385-m2-s-arendatorom","ссылка")</f>
        <v/>
      </c>
      <c r="S1567" t="inlineStr"/>
    </row>
    <row r="1568">
      <c r="A1568" t="inlineStr">
        <is>
          <t>Центральный</t>
        </is>
      </c>
      <c r="B1568" t="inlineStr">
        <is>
          <t>Невский пр-кт, 11</t>
        </is>
      </c>
      <c r="C1568" t="inlineStr">
        <is>
          <t>sale</t>
        </is>
      </c>
      <c r="D1568" t="inlineStr">
        <is>
          <t>Да</t>
        </is>
      </c>
      <c r="E1568" t="inlineStr"/>
      <c r="F1568" t="inlineStr"/>
      <c r="G1568" t="inlineStr">
        <is>
          <t>147</t>
        </is>
      </c>
      <c r="H1568" t="inlineStr"/>
      <c r="I1568" t="inlineStr"/>
      <c r="J1568" t="inlineStr">
        <is>
          <t>75 000 000</t>
        </is>
      </c>
      <c r="K1568" t="inlineStr"/>
      <c r="L1568" t="inlineStr"/>
      <c r="M1568" t="inlineStr">
        <is>
          <t>По адресу есть, но площадь другая</t>
        </is>
      </c>
      <c r="N1568" t="inlineStr"/>
      <c r="O1568" t="inlineStr"/>
      <c r="P1568" t="inlineStr"/>
      <c r="Q1568">
        <f>HYPERLINK("https://knru.ru/catalog/nevskiy-pr-kt-11-519424913/","ссылка")</f>
        <v/>
      </c>
      <c r="R1568" t="inlineStr"/>
      <c r="S1568" t="inlineStr"/>
    </row>
    <row r="1569">
      <c r="A1569" t="inlineStr">
        <is>
          <t>Центральный</t>
        </is>
      </c>
      <c r="B1569" t="inlineStr">
        <is>
          <t>Невский пр-кт, 11/2</t>
        </is>
      </c>
      <c r="C1569" t="inlineStr">
        <is>
          <t>sale</t>
        </is>
      </c>
      <c r="D1569" t="inlineStr">
        <is>
          <t>Да</t>
        </is>
      </c>
      <c r="E1569" t="inlineStr"/>
      <c r="F1569" t="inlineStr"/>
      <c r="G1569" t="inlineStr">
        <is>
          <t>937</t>
        </is>
      </c>
      <c r="H1569" t="inlineStr"/>
      <c r="I1569" t="inlineStr"/>
      <c r="J1569" t="inlineStr">
        <is>
          <t>1 200 000 000</t>
        </is>
      </c>
      <c r="K1569" t="inlineStr"/>
      <c r="L1569" t="inlineStr"/>
      <c r="M1569" t="inlineStr">
        <is>
          <t>Совпало</t>
        </is>
      </c>
      <c r="N1569" t="inlineStr"/>
      <c r="O1569" t="inlineStr"/>
      <c r="P1569" t="inlineStr"/>
      <c r="Q1569">
        <f>HYPERLINK("https://knru.ru/catalog/nevskij-d-11/","ссылка")</f>
        <v/>
      </c>
      <c r="R1569" t="inlineStr"/>
      <c r="S1569" t="inlineStr"/>
    </row>
    <row r="1570">
      <c r="A1570" t="inlineStr">
        <is>
          <t>Центральный</t>
        </is>
      </c>
      <c r="B1570" t="inlineStr">
        <is>
          <t>Невский пр-кт, 137</t>
        </is>
      </c>
      <c r="C1570" t="inlineStr">
        <is>
          <t>sale</t>
        </is>
      </c>
      <c r="D1570" t="inlineStr">
        <is>
          <t>Да</t>
        </is>
      </c>
      <c r="E1570" t="inlineStr"/>
      <c r="F1570" t="inlineStr"/>
      <c r="G1570" t="inlineStr">
        <is>
          <t>519</t>
        </is>
      </c>
      <c r="H1570" t="inlineStr"/>
      <c r="I1570" t="inlineStr"/>
      <c r="J1570" t="inlineStr">
        <is>
          <t>540 000 000</t>
        </is>
      </c>
      <c r="K1570" t="inlineStr"/>
      <c r="L1570" t="inlineStr"/>
      <c r="M1570" t="inlineStr">
        <is>
          <t>По адресу есть, но площадь другая</t>
        </is>
      </c>
      <c r="N1570" t="inlineStr"/>
      <c r="O1570" t="inlineStr"/>
      <c r="P1570" t="inlineStr"/>
      <c r="Q1570">
        <f>HYPERLINK("https://knru.ru/catalog/nevskiy-pr-d-137/","ссылка")</f>
        <v/>
      </c>
      <c r="R1570" t="inlineStr"/>
      <c r="S1570" t="inlineStr"/>
    </row>
    <row r="1571">
      <c r="A1571" t="inlineStr">
        <is>
          <t>Центральный</t>
        </is>
      </c>
      <c r="B1571" t="inlineStr">
        <is>
          <t>Невский пр-кт, 47</t>
        </is>
      </c>
      <c r="C1571" t="inlineStr">
        <is>
          <t>sale</t>
        </is>
      </c>
      <c r="D1571" t="inlineStr">
        <is>
          <t>Да</t>
        </is>
      </c>
      <c r="E1571" t="inlineStr"/>
      <c r="F1571" t="inlineStr"/>
      <c r="G1571" t="inlineStr">
        <is>
          <t>802</t>
        </is>
      </c>
      <c r="H1571" t="inlineStr"/>
      <c r="I1571" t="inlineStr"/>
      <c r="J1571" t="inlineStr">
        <is>
          <t>802 000 000</t>
        </is>
      </c>
      <c r="K1571" t="inlineStr"/>
      <c r="L1571" t="inlineStr"/>
      <c r="M1571" t="inlineStr">
        <is>
          <t>Совпало</t>
        </is>
      </c>
      <c r="N1571" t="inlineStr"/>
      <c r="O1571" t="inlineStr"/>
      <c r="P1571" t="inlineStr"/>
      <c r="Q1571">
        <f>HYPERLINK("https://knru.ru/catalog/nevskij-pr-d-47/","ссылка")</f>
        <v/>
      </c>
      <c r="R1571" t="inlineStr"/>
      <c r="S1571" t="inlineStr"/>
    </row>
    <row r="1572">
      <c r="A1572" t="inlineStr">
        <is>
          <t>Центральный</t>
        </is>
      </c>
      <c r="B1572" t="inlineStr">
        <is>
          <t>Невский пр-кт, 5</t>
        </is>
      </c>
      <c r="C1572" t="inlineStr">
        <is>
          <t>sale</t>
        </is>
      </c>
      <c r="D1572" t="inlineStr"/>
      <c r="E1572" t="inlineStr">
        <is>
          <t>Да</t>
        </is>
      </c>
      <c r="F1572" t="inlineStr"/>
      <c r="G1572" t="inlineStr"/>
      <c r="H1572" t="inlineStr">
        <is>
          <t>90</t>
        </is>
      </c>
      <c r="I1572" t="inlineStr"/>
      <c r="J1572" t="inlineStr"/>
      <c r="K1572" t="inlineStr">
        <is>
          <t>63 000 000</t>
        </is>
      </c>
      <c r="L1572" t="inlineStr"/>
      <c r="M1572" t="inlineStr"/>
      <c r="N1572" t="inlineStr">
        <is>
          <t>По адресу есть, но площадь другая</t>
        </is>
      </c>
      <c r="O1572" t="inlineStr"/>
      <c r="P1572" t="inlineStr"/>
      <c r="Q1572" t="inlineStr"/>
      <c r="R1572">
        <f>HYPERLINK("https://nordwestinvest.ru/real-estates/pomeshhenie-s-nadeznym-arendatorom","ссылка")</f>
        <v/>
      </c>
      <c r="S1572" t="inlineStr"/>
    </row>
    <row r="1573">
      <c r="A1573" t="inlineStr">
        <is>
          <t>Центральный</t>
        </is>
      </c>
      <c r="B1573" t="inlineStr">
        <is>
          <t>Невский пр-кт, 54</t>
        </is>
      </c>
      <c r="C1573" t="inlineStr">
        <is>
          <t>sale</t>
        </is>
      </c>
      <c r="D1573" t="inlineStr">
        <is>
          <t>Да</t>
        </is>
      </c>
      <c r="E1573" t="inlineStr"/>
      <c r="F1573" t="inlineStr"/>
      <c r="G1573" t="inlineStr">
        <is>
          <t>208</t>
        </is>
      </c>
      <c r="H1573" t="inlineStr"/>
      <c r="I1573" t="inlineStr"/>
      <c r="J1573" t="inlineStr">
        <is>
          <t>285 000 000</t>
        </is>
      </c>
      <c r="K1573" t="inlineStr"/>
      <c r="L1573" t="inlineStr"/>
      <c r="M1573" t="inlineStr">
        <is>
          <t>У нас аренда, у конкурента продажа</t>
        </is>
      </c>
      <c r="N1573" t="inlineStr"/>
      <c r="O1573" t="inlineStr"/>
      <c r="P1573" t="inlineStr"/>
      <c r="Q1573">
        <f>HYPERLINK("https://knru.ru/catalog/nevskiy-pr-d-54/","ссылка")</f>
        <v/>
      </c>
      <c r="R1573" t="inlineStr"/>
      <c r="S1573" t="inlineStr"/>
    </row>
    <row r="1574">
      <c r="A1574" t="inlineStr">
        <is>
          <t>Центральный</t>
        </is>
      </c>
      <c r="B1574" t="inlineStr">
        <is>
          <t>Невский пр-кт, 61</t>
        </is>
      </c>
      <c r="C1574" t="inlineStr">
        <is>
          <t>sale</t>
        </is>
      </c>
      <c r="D1574" t="inlineStr">
        <is>
          <t>Да</t>
        </is>
      </c>
      <c r="E1574" t="inlineStr"/>
      <c r="F1574" t="inlineStr"/>
      <c r="G1574" t="inlineStr">
        <is>
          <t>297</t>
        </is>
      </c>
      <c r="H1574" t="inlineStr"/>
      <c r="I1574" t="inlineStr"/>
      <c r="J1574" t="inlineStr">
        <is>
          <t>600 000 000</t>
        </is>
      </c>
      <c r="K1574" t="inlineStr"/>
      <c r="L1574" t="inlineStr"/>
      <c r="M1574" t="inlineStr">
        <is>
          <t>Совпало</t>
        </is>
      </c>
      <c r="N1574" t="inlineStr"/>
      <c r="O1574" t="inlineStr"/>
      <c r="P1574" t="inlineStr"/>
      <c r="Q1574">
        <f>HYPERLINK("https://knru.ru/catalog/nevskiy-prospekt-d-61/","ссылка")</f>
        <v/>
      </c>
      <c r="R1574" t="inlineStr"/>
      <c r="S1574" t="inlineStr"/>
    </row>
    <row r="1575">
      <c r="A1575" t="inlineStr">
        <is>
          <t>Центральный</t>
        </is>
      </c>
      <c r="B1575" t="inlineStr">
        <is>
          <t>Невский пр-кт, 72</t>
        </is>
      </c>
      <c r="C1575" t="inlineStr">
        <is>
          <t>sale</t>
        </is>
      </c>
      <c r="D1575" t="inlineStr">
        <is>
          <t>Да</t>
        </is>
      </c>
      <c r="E1575" t="inlineStr"/>
      <c r="F1575" t="inlineStr"/>
      <c r="G1575" t="inlineStr">
        <is>
          <t>90</t>
        </is>
      </c>
      <c r="H1575" t="inlineStr"/>
      <c r="I1575" t="inlineStr"/>
      <c r="J1575" t="inlineStr">
        <is>
          <t>9 000 000</t>
        </is>
      </c>
      <c r="K1575" t="inlineStr"/>
      <c r="L1575" t="inlineStr"/>
      <c r="M1575" t="inlineStr">
        <is>
          <t>У нас аренда, у конкурента продажа</t>
        </is>
      </c>
      <c r="N1575" t="inlineStr"/>
      <c r="O1575" t="inlineStr"/>
      <c r="P1575" t="inlineStr"/>
      <c r="Q1575">
        <f>HYPERLINK("https://knru.ru/catalog/nevskiy-prospekt-d-72/","ссылка")</f>
        <v/>
      </c>
      <c r="R1575" t="inlineStr"/>
      <c r="S1575" t="inlineStr"/>
    </row>
    <row r="1576">
      <c r="A1576" t="inlineStr">
        <is>
          <t>Центральный</t>
        </is>
      </c>
      <c r="B1576" t="inlineStr">
        <is>
          <t>Невский пр-кт, 91 Б</t>
        </is>
      </c>
      <c r="C1576" t="inlineStr">
        <is>
          <t>sale</t>
        </is>
      </c>
      <c r="D1576" t="inlineStr">
        <is>
          <t>Да</t>
        </is>
      </c>
      <c r="E1576" t="inlineStr"/>
      <c r="F1576" t="inlineStr"/>
      <c r="G1576" t="inlineStr">
        <is>
          <t>303</t>
        </is>
      </c>
      <c r="H1576" t="inlineStr"/>
      <c r="I1576" t="inlineStr"/>
      <c r="J1576" t="inlineStr">
        <is>
          <t>99 000 000</t>
        </is>
      </c>
      <c r="K1576" t="inlineStr"/>
      <c r="L1576" t="inlineStr"/>
      <c r="M1576" t="inlineStr">
        <is>
          <t>Нет у нас</t>
        </is>
      </c>
      <c r="N1576" t="inlineStr"/>
      <c r="O1576" t="inlineStr"/>
      <c r="P1576" t="inlineStr"/>
      <c r="Q1576">
        <f>HYPERLINK("https://knru.ru/catalog/nevskij-pr-d-91/","ссылка")</f>
        <v/>
      </c>
      <c r="R1576" t="inlineStr"/>
      <c r="S1576" t="inlineStr"/>
    </row>
    <row r="1577">
      <c r="A1577" t="inlineStr">
        <is>
          <t>Центральный</t>
        </is>
      </c>
      <c r="B1577" t="inlineStr">
        <is>
          <t>Невский, 20</t>
        </is>
      </c>
      <c r="C1577" t="inlineStr">
        <is>
          <t>sale</t>
        </is>
      </c>
      <c r="D1577" t="inlineStr">
        <is>
          <t>Да</t>
        </is>
      </c>
      <c r="E1577" t="inlineStr"/>
      <c r="F1577" t="inlineStr"/>
      <c r="G1577" t="inlineStr">
        <is>
          <t>2216</t>
        </is>
      </c>
      <c r="H1577" t="inlineStr"/>
      <c r="I1577" t="inlineStr"/>
      <c r="J1577" t="inlineStr">
        <is>
          <t>729 900 000</t>
        </is>
      </c>
      <c r="K1577" t="inlineStr"/>
      <c r="L1577" t="inlineStr"/>
      <c r="M1577" t="inlineStr">
        <is>
          <t>По адресу есть, но площадь другая</t>
        </is>
      </c>
      <c r="N1577" t="inlineStr"/>
      <c r="O1577" t="inlineStr"/>
      <c r="P1577" t="inlineStr"/>
      <c r="Q1577">
        <f>HYPERLINK("https://knru.ru/catalog/nevskiy-prospekt-d-20/","ссылка")</f>
        <v/>
      </c>
      <c r="R1577" t="inlineStr"/>
      <c r="S1577" t="inlineStr"/>
    </row>
    <row r="1578">
      <c r="A1578" t="inlineStr">
        <is>
          <t>Центральный</t>
        </is>
      </c>
      <c r="B1578" t="inlineStr">
        <is>
          <t>Некрасова ул, 37</t>
        </is>
      </c>
      <c r="C1578" t="inlineStr">
        <is>
          <t>sale</t>
        </is>
      </c>
      <c r="D1578" t="inlineStr">
        <is>
          <t>Да</t>
        </is>
      </c>
      <c r="E1578" t="inlineStr"/>
      <c r="F1578" t="inlineStr"/>
      <c r="G1578" t="inlineStr">
        <is>
          <t>215</t>
        </is>
      </c>
      <c r="H1578" t="inlineStr"/>
      <c r="I1578" t="inlineStr"/>
      <c r="J1578" t="inlineStr">
        <is>
          <t>135 000 000</t>
        </is>
      </c>
      <c r="K1578" t="inlineStr"/>
      <c r="L1578" t="inlineStr"/>
      <c r="M1578" t="inlineStr">
        <is>
          <t>По адресу есть, но площадь другая</t>
        </is>
      </c>
      <c r="N1578" t="inlineStr"/>
      <c r="O1578" t="inlineStr"/>
      <c r="P1578" t="inlineStr"/>
      <c r="Q1578">
        <f>HYPERLINK("https://knru.ru/catalog/ul-nekrasova-d-37/","ссылка")</f>
        <v/>
      </c>
      <c r="R1578" t="inlineStr"/>
      <c r="S1578" t="inlineStr"/>
    </row>
    <row r="1579">
      <c r="A1579" t="inlineStr">
        <is>
          <t>Центральный</t>
        </is>
      </c>
      <c r="B1579" t="inlineStr">
        <is>
          <t>Некрасова ул, 60</t>
        </is>
      </c>
      <c r="C1579" t="inlineStr">
        <is>
          <t>sale</t>
        </is>
      </c>
      <c r="D1579" t="inlineStr">
        <is>
          <t>Да</t>
        </is>
      </c>
      <c r="E1579" t="inlineStr"/>
      <c r="F1579" t="inlineStr"/>
      <c r="G1579" t="inlineStr">
        <is>
          <t>100</t>
        </is>
      </c>
      <c r="H1579" t="inlineStr"/>
      <c r="I1579" t="inlineStr"/>
      <c r="J1579" t="inlineStr">
        <is>
          <t>42 000 000</t>
        </is>
      </c>
      <c r="K1579" t="inlineStr"/>
      <c r="L1579" t="inlineStr"/>
      <c r="M1579" t="inlineStr">
        <is>
          <t>По адресу есть, но площадь другая</t>
        </is>
      </c>
      <c r="N1579" t="inlineStr"/>
      <c r="O1579" t="inlineStr"/>
      <c r="P1579" t="inlineStr"/>
      <c r="Q1579">
        <f>HYPERLINK("https://knru.ru/catalog/ul-nekrasova-d-60/","ссылка")</f>
        <v/>
      </c>
      <c r="R1579" t="inlineStr"/>
      <c r="S1579" t="inlineStr"/>
    </row>
    <row r="1580">
      <c r="A1580" t="inlineStr">
        <is>
          <t>Центральный</t>
        </is>
      </c>
      <c r="B1580" t="inlineStr">
        <is>
          <t>Обуховской Обороны пр-кт, 295 Б</t>
        </is>
      </c>
      <c r="C1580" t="inlineStr">
        <is>
          <t>sale</t>
        </is>
      </c>
      <c r="D1580" t="inlineStr"/>
      <c r="E1580" t="inlineStr">
        <is>
          <t>Да</t>
        </is>
      </c>
      <c r="F1580" t="inlineStr"/>
      <c r="G1580" t="inlineStr"/>
      <c r="H1580" t="inlineStr">
        <is>
          <t>10374.2</t>
        </is>
      </c>
      <c r="I1580" t="inlineStr"/>
      <c r="J1580" t="inlineStr"/>
      <c r="K1580" t="inlineStr">
        <is>
          <t>733 882 000</t>
        </is>
      </c>
      <c r="L1580" t="inlineStr"/>
      <c r="M1580" t="inlineStr"/>
      <c r="N1580" t="inlineStr">
        <is>
          <t>Нет у нас</t>
        </is>
      </c>
      <c r="O1580" t="inlineStr"/>
      <c r="P1580" t="inlineStr"/>
      <c r="Q1580" t="inlineStr"/>
      <c r="R1580">
        <f>HYPERLINK("https://nordwestinvest.ru/real-estates/prodaza-imushhestvennogo-kompleksa-zdanii-s-zu","ссылка")</f>
        <v/>
      </c>
      <c r="S1580" t="inlineStr"/>
    </row>
    <row r="1581">
      <c r="A1581" t="inlineStr">
        <is>
          <t>Центральный</t>
        </is>
      </c>
      <c r="B1581" t="inlineStr">
        <is>
          <t>Отважных ул, 10 А</t>
        </is>
      </c>
      <c r="C1581" t="inlineStr">
        <is>
          <t>sale</t>
        </is>
      </c>
      <c r="D1581" t="inlineStr"/>
      <c r="E1581" t="inlineStr">
        <is>
          <t>Да</t>
        </is>
      </c>
      <c r="F1581" t="inlineStr"/>
      <c r="G1581" t="inlineStr"/>
      <c r="H1581" t="inlineStr">
        <is>
          <t>130</t>
        </is>
      </c>
      <c r="I1581" t="inlineStr"/>
      <c r="J1581" t="inlineStr"/>
      <c r="K1581" t="inlineStr">
        <is>
          <t>17 500 000</t>
        </is>
      </c>
      <c r="L1581" t="inlineStr"/>
      <c r="M1581" t="inlineStr"/>
      <c r="N1581" t="inlineStr">
        <is>
          <t>По адресу есть, но площадь другая</t>
        </is>
      </c>
      <c r="O1581" t="inlineStr"/>
      <c r="P1581" t="inlineStr"/>
      <c r="Q1581" t="inlineStr"/>
      <c r="R1581">
        <f>HYPERLINK("https://nordwestinvest.ru/real-estates/prodaza-pomeshheniia-130-kvm-s-arendatorom","ссылка")</f>
        <v/>
      </c>
      <c r="S1581" t="inlineStr"/>
    </row>
    <row r="1582">
      <c r="A1582" t="inlineStr">
        <is>
          <t>Центральный</t>
        </is>
      </c>
      <c r="B1582" t="inlineStr">
        <is>
          <t>Отважных ул, 10 А</t>
        </is>
      </c>
      <c r="C1582" t="inlineStr">
        <is>
          <t>sale</t>
        </is>
      </c>
      <c r="D1582" t="inlineStr"/>
      <c r="E1582" t="inlineStr">
        <is>
          <t>Да</t>
        </is>
      </c>
      <c r="F1582" t="inlineStr"/>
      <c r="G1582" t="inlineStr"/>
      <c r="H1582" t="inlineStr">
        <is>
          <t>300</t>
        </is>
      </c>
      <c r="I1582" t="inlineStr"/>
      <c r="J1582" t="inlineStr"/>
      <c r="K1582" t="inlineStr">
        <is>
          <t>50 000 000</t>
        </is>
      </c>
      <c r="L1582" t="inlineStr"/>
      <c r="M1582" t="inlineStr"/>
      <c r="N1582" t="inlineStr">
        <is>
          <t>По адресу есть, но площадь другая</t>
        </is>
      </c>
      <c r="O1582" t="inlineStr"/>
      <c r="P1582" t="inlineStr"/>
      <c r="Q1582" t="inlineStr"/>
      <c r="R1582">
        <f>HYPERLINK("https://nordwestinvest.ru/real-estates/prodaza-300-m2-sosednee-s-magazinom-piaterocka","ссылка")</f>
        <v/>
      </c>
      <c r="S1582" t="inlineStr"/>
    </row>
    <row r="1583">
      <c r="A1583" t="inlineStr">
        <is>
          <t>Центральный</t>
        </is>
      </c>
      <c r="B1583" t="inlineStr">
        <is>
          <t>Полтавская ул, 7</t>
        </is>
      </c>
      <c r="C1583" t="inlineStr">
        <is>
          <t>sale</t>
        </is>
      </c>
      <c r="D1583" t="inlineStr">
        <is>
          <t>Да</t>
        </is>
      </c>
      <c r="E1583" t="inlineStr"/>
      <c r="F1583" t="inlineStr"/>
      <c r="G1583" t="inlineStr">
        <is>
          <t>1047</t>
        </is>
      </c>
      <c r="H1583" t="inlineStr"/>
      <c r="I1583" t="inlineStr"/>
      <c r="J1583" t="inlineStr">
        <is>
          <t>450 000 000</t>
        </is>
      </c>
      <c r="K1583" t="inlineStr"/>
      <c r="L1583" t="inlineStr"/>
      <c r="M1583" t="inlineStr">
        <is>
          <t>Нет у нас</t>
        </is>
      </c>
      <c r="N1583" t="inlineStr"/>
      <c r="O1583" t="inlineStr"/>
      <c r="P1583" t="inlineStr"/>
      <c r="Q1583">
        <f>HYPERLINK("https://knru.ru/catalog/ul-poltavskvaya-d-7/","ссылка")</f>
        <v/>
      </c>
      <c r="R1583" t="inlineStr"/>
      <c r="S1583" t="inlineStr"/>
    </row>
    <row r="1584">
      <c r="A1584" t="inlineStr">
        <is>
          <t>Центральный</t>
        </is>
      </c>
      <c r="B1584" t="inlineStr">
        <is>
          <t>Полтавская ул, 7 Ж</t>
        </is>
      </c>
      <c r="C1584" t="inlineStr">
        <is>
          <t>sale</t>
        </is>
      </c>
      <c r="D1584" t="inlineStr">
        <is>
          <t>Да</t>
        </is>
      </c>
      <c r="E1584" t="inlineStr"/>
      <c r="F1584" t="inlineStr"/>
      <c r="G1584" t="inlineStr">
        <is>
          <t>1047</t>
        </is>
      </c>
      <c r="H1584" t="inlineStr"/>
      <c r="I1584" t="inlineStr"/>
      <c r="J1584" t="inlineStr">
        <is>
          <t>500 000 000</t>
        </is>
      </c>
      <c r="K1584" t="inlineStr"/>
      <c r="L1584" t="inlineStr"/>
      <c r="M1584" t="inlineStr">
        <is>
          <t>Нет у нас</t>
        </is>
      </c>
      <c r="N1584" t="inlineStr"/>
      <c r="O1584" t="inlineStr"/>
      <c r="P1584" t="inlineStr"/>
      <c r="Q1584">
        <f>HYPERLINK("https://knru.ru/catalog/ul-poltavskaya-d-7/","ссылка")</f>
        <v/>
      </c>
      <c r="R1584" t="inlineStr"/>
      <c r="S1584" t="inlineStr"/>
    </row>
    <row r="1585">
      <c r="A1585" t="inlineStr">
        <is>
          <t>Центральный</t>
        </is>
      </c>
      <c r="B1585" t="inlineStr">
        <is>
          <t>Пушкин г, Автомобильная ул, 10 А</t>
        </is>
      </c>
      <c r="C1585" t="inlineStr">
        <is>
          <t>sale</t>
        </is>
      </c>
      <c r="D1585" t="inlineStr"/>
      <c r="E1585" t="inlineStr">
        <is>
          <t>Да</t>
        </is>
      </c>
      <c r="F1585" t="inlineStr"/>
      <c r="G1585" t="inlineStr"/>
      <c r="H1585" t="inlineStr">
        <is>
          <t>11418</t>
        </is>
      </c>
      <c r="I1585" t="inlineStr"/>
      <c r="J1585" t="inlineStr"/>
      <c r="K1585" t="inlineStr">
        <is>
          <t>65 000 000</t>
        </is>
      </c>
      <c r="L1585" t="inlineStr"/>
      <c r="M1585" t="inlineStr"/>
      <c r="N1585" t="inlineStr">
        <is>
          <t>По адресу есть, но площадь другая</t>
        </is>
      </c>
      <c r="O1585" t="inlineStr"/>
      <c r="P1585" t="inlineStr"/>
      <c r="Q1585" t="inlineStr"/>
      <c r="R1585">
        <f>HYPERLINK("https://nordwestinvest.ru/real-estates/prodaza-zemelnogo-ucastka-s-ogromnym-potencialom","ссылка")</f>
        <v/>
      </c>
      <c r="S1585" t="inlineStr"/>
    </row>
    <row r="1586">
      <c r="A1586" t="inlineStr">
        <is>
          <t>Центральный</t>
        </is>
      </c>
      <c r="B1586" t="inlineStr">
        <is>
          <t>Разъезжая ул, 12</t>
        </is>
      </c>
      <c r="C1586" t="inlineStr">
        <is>
          <t>sale</t>
        </is>
      </c>
      <c r="D1586" t="inlineStr">
        <is>
          <t>Да</t>
        </is>
      </c>
      <c r="E1586" t="inlineStr"/>
      <c r="F1586" t="inlineStr"/>
      <c r="G1586" t="inlineStr">
        <is>
          <t>200</t>
        </is>
      </c>
      <c r="H1586" t="inlineStr"/>
      <c r="I1586" t="inlineStr"/>
      <c r="J1586" t="inlineStr">
        <is>
          <t>72 000 000</t>
        </is>
      </c>
      <c r="K1586" t="inlineStr"/>
      <c r="L1586" t="inlineStr"/>
      <c r="M1586" t="inlineStr">
        <is>
          <t>По адресу есть, но площадь другая</t>
        </is>
      </c>
      <c r="N1586" t="inlineStr"/>
      <c r="O1586" t="inlineStr"/>
      <c r="P1586" t="inlineStr"/>
      <c r="Q1586">
        <f>HYPERLINK("https://knru.ru/catalog/razezzhaya-ul-d-12-1182594598/","ссылка")</f>
        <v/>
      </c>
      <c r="R1586" t="inlineStr"/>
      <c r="S1586" t="inlineStr"/>
    </row>
    <row r="1587">
      <c r="A1587" t="inlineStr">
        <is>
          <t>Центральный</t>
        </is>
      </c>
      <c r="B1587" t="inlineStr">
        <is>
          <t>Разъезжая ул, 44И</t>
        </is>
      </c>
      <c r="C1587" t="inlineStr">
        <is>
          <t>sale</t>
        </is>
      </c>
      <c r="D1587" t="inlineStr">
        <is>
          <t>Да</t>
        </is>
      </c>
      <c r="E1587" t="inlineStr"/>
      <c r="F1587" t="inlineStr"/>
      <c r="G1587" t="inlineStr">
        <is>
          <t>748</t>
        </is>
      </c>
      <c r="H1587" t="inlineStr"/>
      <c r="I1587" t="inlineStr"/>
      <c r="J1587" t="inlineStr">
        <is>
          <t>230 000 000</t>
        </is>
      </c>
      <c r="K1587" t="inlineStr"/>
      <c r="L1587" t="inlineStr"/>
      <c r="M1587" t="inlineStr">
        <is>
          <t>Нет у нас</t>
        </is>
      </c>
      <c r="N1587" t="inlineStr"/>
      <c r="O1587" t="inlineStr"/>
      <c r="P1587" t="inlineStr"/>
      <c r="Q1587">
        <f>HYPERLINK("https://knru.ru/catalog/ul-razezzhaya-d-44i/","ссылка")</f>
        <v/>
      </c>
      <c r="R1587" t="inlineStr"/>
      <c r="S1587" t="inlineStr"/>
    </row>
    <row r="1588">
      <c r="A1588" t="inlineStr">
        <is>
          <t>Центральный</t>
        </is>
      </c>
      <c r="B1588" t="inlineStr">
        <is>
          <t>Реки Мойки наб, 48 50 52 А</t>
        </is>
      </c>
      <c r="C1588" t="inlineStr">
        <is>
          <t>sale</t>
        </is>
      </c>
      <c r="D1588" t="inlineStr">
        <is>
          <t>Да</t>
        </is>
      </c>
      <c r="E1588" t="inlineStr"/>
      <c r="F1588" t="inlineStr"/>
      <c r="G1588" t="inlineStr">
        <is>
          <t>1080</t>
        </is>
      </c>
      <c r="H1588" t="inlineStr"/>
      <c r="I1588" t="inlineStr"/>
      <c r="J1588" t="inlineStr">
        <is>
          <t>850 000 000</t>
        </is>
      </c>
      <c r="K1588" t="inlineStr"/>
      <c r="L1588" t="inlineStr"/>
      <c r="M1588" t="inlineStr">
        <is>
          <t>Нет у нас</t>
        </is>
      </c>
      <c r="N1588" t="inlineStr"/>
      <c r="O1588" t="inlineStr"/>
      <c r="P1588" t="inlineStr"/>
      <c r="Q1588">
        <f>HYPERLINK("https://knru.ru/catalog/nab-reki-moyki-d-48/","ссылка")</f>
        <v/>
      </c>
      <c r="R1588" t="inlineStr"/>
      <c r="S1588" t="inlineStr"/>
    </row>
    <row r="1589">
      <c r="A1589" t="inlineStr">
        <is>
          <t>Центральный</t>
        </is>
      </c>
      <c r="B1589" t="inlineStr">
        <is>
          <t>Реки Мойки, 7</t>
        </is>
      </c>
      <c r="C1589" t="inlineStr">
        <is>
          <t>sale</t>
        </is>
      </c>
      <c r="D1589" t="inlineStr">
        <is>
          <t>Да</t>
        </is>
      </c>
      <c r="E1589" t="inlineStr"/>
      <c r="F1589" t="inlineStr"/>
      <c r="G1589" t="inlineStr">
        <is>
          <t>3440</t>
        </is>
      </c>
      <c r="H1589" t="inlineStr"/>
      <c r="I1589" t="inlineStr"/>
      <c r="J1589" t="inlineStr">
        <is>
          <t>2 000 000 000</t>
        </is>
      </c>
      <c r="K1589" t="inlineStr"/>
      <c r="L1589" t="inlineStr"/>
      <c r="M1589" t="inlineStr">
        <is>
          <t>По адресу есть, но площадь другая</t>
        </is>
      </c>
      <c r="N1589" t="inlineStr"/>
      <c r="O1589" t="inlineStr"/>
      <c r="P1589" t="inlineStr"/>
      <c r="Q1589">
        <f>HYPERLINK("https://knru.ru/catalog/nab-reki-mojki-d-7/","ссылка")</f>
        <v/>
      </c>
      <c r="R1589" t="inlineStr"/>
      <c r="S1589" t="inlineStr"/>
    </row>
    <row r="1590">
      <c r="A1590" t="inlineStr">
        <is>
          <t>Центральный</t>
        </is>
      </c>
      <c r="B1590" t="inlineStr">
        <is>
          <t>Реки Фонтанки наб, 40/68 А</t>
        </is>
      </c>
      <c r="C1590" t="inlineStr">
        <is>
          <t>sale</t>
        </is>
      </c>
      <c r="D1590" t="inlineStr">
        <is>
          <t>Да</t>
        </is>
      </c>
      <c r="E1590" t="inlineStr"/>
      <c r="F1590" t="inlineStr"/>
      <c r="G1590" t="inlineStr">
        <is>
          <t>155</t>
        </is>
      </c>
      <c r="H1590" t="inlineStr"/>
      <c r="I1590" t="inlineStr"/>
      <c r="J1590" t="inlineStr">
        <is>
          <t>43 500 000</t>
        </is>
      </c>
      <c r="K1590" t="inlineStr"/>
      <c r="L1590" t="inlineStr"/>
      <c r="M1590" t="inlineStr">
        <is>
          <t>Нет у нас</t>
        </is>
      </c>
      <c r="N1590" t="inlineStr"/>
      <c r="O1590" t="inlineStr"/>
      <c r="P1590" t="inlineStr"/>
      <c r="Q1590">
        <f>HYPERLINK("https://knru.ru/catalog/nab-reki-fontanki-d-40-68/","ссылка")</f>
        <v/>
      </c>
      <c r="R1590" t="inlineStr"/>
      <c r="S1590" t="inlineStr"/>
    </row>
    <row r="1591">
      <c r="A1591" t="inlineStr">
        <is>
          <t>Центральный</t>
        </is>
      </c>
      <c r="B1591" t="inlineStr">
        <is>
          <t>Реки Фонтанки наб, 40/68 Б</t>
        </is>
      </c>
      <c r="C1591" t="inlineStr">
        <is>
          <t>sale</t>
        </is>
      </c>
      <c r="D1591" t="inlineStr">
        <is>
          <t>Да</t>
        </is>
      </c>
      <c r="E1591" t="inlineStr"/>
      <c r="F1591" t="inlineStr"/>
      <c r="G1591" t="inlineStr">
        <is>
          <t>80</t>
        </is>
      </c>
      <c r="H1591" t="inlineStr"/>
      <c r="I1591" t="inlineStr"/>
      <c r="J1591" t="inlineStr">
        <is>
          <t>30 000 000</t>
        </is>
      </c>
      <c r="K1591" t="inlineStr"/>
      <c r="L1591" t="inlineStr"/>
      <c r="M1591" t="inlineStr">
        <is>
          <t>Нет у нас</t>
        </is>
      </c>
      <c r="N1591" t="inlineStr"/>
      <c r="O1591" t="inlineStr"/>
      <c r="P1591" t="inlineStr"/>
      <c r="Q1591">
        <f>HYPERLINK("https://knru.ru/catalog/reki-fontanki-nab-40-68-b/","ссылка")</f>
        <v/>
      </c>
      <c r="R1591" t="inlineStr"/>
      <c r="S1591" t="inlineStr"/>
    </row>
    <row r="1592">
      <c r="A1592" t="inlineStr">
        <is>
          <t>Центральный</t>
        </is>
      </c>
      <c r="B1592" t="inlineStr">
        <is>
          <t>Реки Фонтанки наб, 82/1</t>
        </is>
      </c>
      <c r="C1592" t="inlineStr">
        <is>
          <t>sale</t>
        </is>
      </c>
      <c r="D1592" t="inlineStr">
        <is>
          <t>Да</t>
        </is>
      </c>
      <c r="E1592" t="inlineStr"/>
      <c r="F1592" t="inlineStr"/>
      <c r="G1592" t="inlineStr">
        <is>
          <t>207</t>
        </is>
      </c>
      <c r="H1592" t="inlineStr"/>
      <c r="I1592" t="inlineStr"/>
      <c r="J1592" t="inlineStr">
        <is>
          <t>130 000 000</t>
        </is>
      </c>
      <c r="K1592" t="inlineStr"/>
      <c r="L1592" t="inlineStr"/>
      <c r="M1592" t="inlineStr">
        <is>
          <t>Нет у нас</t>
        </is>
      </c>
      <c r="N1592" t="inlineStr"/>
      <c r="O1592" t="inlineStr"/>
      <c r="P1592" t="inlineStr"/>
      <c r="Q1592">
        <f>HYPERLINK("https://knru.ru/catalog/reki-fontanki-nab-d-82/","ссылка")</f>
        <v/>
      </c>
      <c r="R1592" t="inlineStr"/>
      <c r="S1592" t="inlineStr"/>
    </row>
    <row r="1593">
      <c r="A1593" t="inlineStr">
        <is>
          <t>Центральный</t>
        </is>
      </c>
      <c r="B1593" t="inlineStr">
        <is>
          <t>Реки Фонтанки наб, 89</t>
        </is>
      </c>
      <c r="C1593" t="inlineStr">
        <is>
          <t>sale</t>
        </is>
      </c>
      <c r="D1593" t="inlineStr"/>
      <c r="E1593" t="inlineStr">
        <is>
          <t>Да</t>
        </is>
      </c>
      <c r="F1593" t="inlineStr"/>
      <c r="G1593" t="inlineStr"/>
      <c r="H1593" t="inlineStr">
        <is>
          <t>88.6</t>
        </is>
      </c>
      <c r="I1593" t="inlineStr"/>
      <c r="J1593" t="inlineStr"/>
      <c r="K1593" t="inlineStr">
        <is>
          <t>12 500 000</t>
        </is>
      </c>
      <c r="L1593" t="inlineStr"/>
      <c r="M1593" t="inlineStr"/>
      <c r="N1593" t="inlineStr">
        <is>
          <t>Нет у нас</t>
        </is>
      </c>
      <c r="O1593" t="inlineStr"/>
      <c r="P1593" t="inlineStr"/>
      <c r="Q1593" t="inlineStr"/>
      <c r="R1593">
        <f>HYPERLINK("https://nordwestinvest.ru/real-estates/pomeshhenie-s-arendatorom-klub-nastolnyx-igr","ссылка")</f>
        <v/>
      </c>
      <c r="S1593" t="inlineStr"/>
    </row>
    <row r="1594">
      <c r="A1594" t="inlineStr">
        <is>
          <t>Центральный</t>
        </is>
      </c>
      <c r="B1594" t="inlineStr">
        <is>
          <t>Садовая ул, 7-9-11</t>
        </is>
      </c>
      <c r="C1594" t="inlineStr">
        <is>
          <t>sale</t>
        </is>
      </c>
      <c r="D1594" t="inlineStr">
        <is>
          <t>Да</t>
        </is>
      </c>
      <c r="E1594" t="inlineStr"/>
      <c r="F1594" t="inlineStr"/>
      <c r="G1594" t="inlineStr">
        <is>
          <t>26</t>
        </is>
      </c>
      <c r="H1594" t="inlineStr"/>
      <c r="I1594" t="inlineStr"/>
      <c r="J1594" t="inlineStr">
        <is>
          <t>5 700 000</t>
        </is>
      </c>
      <c r="K1594" t="inlineStr"/>
      <c r="L1594" t="inlineStr"/>
      <c r="M1594" t="inlineStr">
        <is>
          <t>По адресу есть, но площадь другая</t>
        </is>
      </c>
      <c r="N1594" t="inlineStr"/>
      <c r="O1594" t="inlineStr"/>
      <c r="P1594" t="inlineStr"/>
      <c r="Q1594">
        <f>HYPERLINK("https://knru.ru/catalog/sadovaya-ul-7-9-11/","ссылка")</f>
        <v/>
      </c>
      <c r="R1594" t="inlineStr"/>
      <c r="S1594" t="inlineStr"/>
    </row>
    <row r="1595">
      <c r="A1595" t="inlineStr">
        <is>
          <t>Центральный</t>
        </is>
      </c>
      <c r="B1595" t="inlineStr">
        <is>
          <t>Синопская наб, 30</t>
        </is>
      </c>
      <c r="C1595" t="inlineStr">
        <is>
          <t>sale</t>
        </is>
      </c>
      <c r="D1595" t="inlineStr"/>
      <c r="E1595" t="inlineStr">
        <is>
          <t>Да</t>
        </is>
      </c>
      <c r="F1595" t="inlineStr"/>
      <c r="G1595" t="inlineStr"/>
      <c r="H1595" t="inlineStr">
        <is>
          <t>1070</t>
        </is>
      </c>
      <c r="I1595" t="inlineStr"/>
      <c r="J1595" t="inlineStr"/>
      <c r="K1595" t="inlineStr">
        <is>
          <t>100 000 000</t>
        </is>
      </c>
      <c r="L1595" t="inlineStr"/>
      <c r="M1595" t="inlineStr"/>
      <c r="N1595" t="inlineStr">
        <is>
          <t>Нет у нас</t>
        </is>
      </c>
      <c r="O1595" t="inlineStr"/>
      <c r="P1595" t="inlineStr"/>
      <c r="Q1595" t="inlineStr"/>
      <c r="R1595">
        <f>HYPERLINK("https://nordwestinvest.ru/real-estates/prodaza-zdaniia-osz-v-centrae-goroda-1070-m2","ссылка")</f>
        <v/>
      </c>
      <c r="S1595" t="inlineStr"/>
    </row>
    <row r="1596">
      <c r="A1596" t="inlineStr">
        <is>
          <t>Центральный</t>
        </is>
      </c>
      <c r="B1596" t="inlineStr">
        <is>
          <t>Синопская наб, 32/35</t>
        </is>
      </c>
      <c r="C1596" t="inlineStr">
        <is>
          <t>sale</t>
        </is>
      </c>
      <c r="D1596" t="inlineStr"/>
      <c r="E1596" t="inlineStr">
        <is>
          <t>Да</t>
        </is>
      </c>
      <c r="F1596" t="inlineStr"/>
      <c r="G1596" t="inlineStr"/>
      <c r="H1596" t="inlineStr">
        <is>
          <t>167.8</t>
        </is>
      </c>
      <c r="I1596" t="inlineStr"/>
      <c r="J1596" t="inlineStr"/>
      <c r="K1596" t="inlineStr">
        <is>
          <t>20 000 000</t>
        </is>
      </c>
      <c r="L1596" t="inlineStr"/>
      <c r="M1596" t="inlineStr"/>
      <c r="N1596" t="inlineStr">
        <is>
          <t>Нет у нас</t>
        </is>
      </c>
      <c r="O1596" t="inlineStr"/>
      <c r="P1596" t="inlineStr"/>
      <c r="Q1596" t="inlineStr"/>
      <c r="R1596">
        <f>HYPERLINK("https://nordwestinvest.ru/real-estates/prodaza-pomeshheniia-s-kaliannoi-167-m2","ссылка")</f>
        <v/>
      </c>
      <c r="S1596" t="inlineStr"/>
    </row>
    <row r="1597">
      <c r="A1597" t="inlineStr">
        <is>
          <t>Центральный</t>
        </is>
      </c>
      <c r="B1597" t="inlineStr">
        <is>
          <t>Синопская наб, 66</t>
        </is>
      </c>
      <c r="C1597" t="inlineStr">
        <is>
          <t>sale</t>
        </is>
      </c>
      <c r="D1597" t="inlineStr"/>
      <c r="E1597" t="inlineStr">
        <is>
          <t>Да</t>
        </is>
      </c>
      <c r="F1597" t="inlineStr"/>
      <c r="G1597" t="inlineStr"/>
      <c r="H1597" t="inlineStr">
        <is>
          <t>4078</t>
        </is>
      </c>
      <c r="I1597" t="inlineStr"/>
      <c r="J1597" t="inlineStr"/>
      <c r="K1597" t="inlineStr">
        <is>
          <t>958 000 000</t>
        </is>
      </c>
      <c r="L1597" t="inlineStr"/>
      <c r="M1597" t="inlineStr"/>
      <c r="N1597" t="inlineStr">
        <is>
          <t>Нет у нас</t>
        </is>
      </c>
      <c r="O1597" t="inlineStr"/>
      <c r="P1597" t="inlineStr"/>
      <c r="Q1597" t="inlineStr"/>
      <c r="R1597">
        <f>HYPERLINK("https://nordwestinvest.ru/real-estates/prodaza-zdaniia-otelia-bagration-v-centralnom-r-ne-1","ссылка")</f>
        <v/>
      </c>
      <c r="S1597" t="inlineStr"/>
    </row>
    <row r="1598">
      <c r="A1598" t="inlineStr">
        <is>
          <t>Центральный</t>
        </is>
      </c>
      <c r="B1598" t="inlineStr">
        <is>
          <t>Синопская наб, 66</t>
        </is>
      </c>
      <c r="C1598" t="inlineStr">
        <is>
          <t>sale</t>
        </is>
      </c>
      <c r="D1598" t="inlineStr"/>
      <c r="E1598" t="inlineStr">
        <is>
          <t>Да</t>
        </is>
      </c>
      <c r="F1598" t="inlineStr"/>
      <c r="G1598" t="inlineStr"/>
      <c r="H1598" t="inlineStr">
        <is>
          <t>4000</t>
        </is>
      </c>
      <c r="I1598" t="inlineStr"/>
      <c r="J1598" t="inlineStr"/>
      <c r="K1598" t="inlineStr">
        <is>
          <t>960 000 000</t>
        </is>
      </c>
      <c r="L1598" t="inlineStr"/>
      <c r="M1598" t="inlineStr"/>
      <c r="N1598" t="inlineStr">
        <is>
          <t>Нет у нас</t>
        </is>
      </c>
      <c r="O1598" t="inlineStr"/>
      <c r="P1598" t="inlineStr"/>
      <c r="Q1598" t="inlineStr"/>
      <c r="R1598">
        <f>HYPERLINK("https://nordwestinvest.ru/real-estates/prodaza-znakovogo-otelia-kompleks-zdanii","ссылка")</f>
        <v/>
      </c>
      <c r="S1598" t="inlineStr"/>
    </row>
    <row r="1599">
      <c r="A1599" t="inlineStr">
        <is>
          <t>Центральный</t>
        </is>
      </c>
      <c r="B1599" t="inlineStr">
        <is>
          <t>Синопская наб, 68-70</t>
        </is>
      </c>
      <c r="C1599" t="inlineStr">
        <is>
          <t>sale</t>
        </is>
      </c>
      <c r="D1599" t="inlineStr">
        <is>
          <t>Да</t>
        </is>
      </c>
      <c r="E1599" t="inlineStr"/>
      <c r="F1599" t="inlineStr"/>
      <c r="G1599" t="inlineStr">
        <is>
          <t>1930</t>
        </is>
      </c>
      <c r="H1599" t="inlineStr"/>
      <c r="I1599" t="inlineStr"/>
      <c r="J1599" t="inlineStr">
        <is>
          <t>560 000 000</t>
        </is>
      </c>
      <c r="K1599" t="inlineStr"/>
      <c r="L1599" t="inlineStr"/>
      <c r="M1599" t="inlineStr">
        <is>
          <t>Нет у нас</t>
        </is>
      </c>
      <c r="N1599" t="inlineStr"/>
      <c r="O1599" t="inlineStr"/>
      <c r="P1599" t="inlineStr"/>
      <c r="Q1599">
        <f>HYPERLINK("https://knru.ru/catalog/sinopskaya-nab-d-68-70/","ссылка")</f>
        <v/>
      </c>
      <c r="R1599" t="inlineStr"/>
      <c r="S1599" t="inlineStr"/>
    </row>
    <row r="1600">
      <c r="A1600" t="inlineStr">
        <is>
          <t>Центральный</t>
        </is>
      </c>
      <c r="B1600" t="inlineStr">
        <is>
          <t>Стремянная ул, 1/6</t>
        </is>
      </c>
      <c r="C1600" t="inlineStr">
        <is>
          <t>sale</t>
        </is>
      </c>
      <c r="D1600" t="inlineStr">
        <is>
          <t>Да</t>
        </is>
      </c>
      <c r="E1600" t="inlineStr"/>
      <c r="F1600" t="inlineStr"/>
      <c r="G1600" t="inlineStr">
        <is>
          <t>457.6</t>
        </is>
      </c>
      <c r="H1600" t="inlineStr"/>
      <c r="I1600" t="inlineStr"/>
      <c r="J1600" t="inlineStr">
        <is>
          <t>95 000 000</t>
        </is>
      </c>
      <c r="K1600" t="inlineStr"/>
      <c r="L1600" t="inlineStr"/>
      <c r="M1600" t="inlineStr">
        <is>
          <t>Нет у нас</t>
        </is>
      </c>
      <c r="N1600" t="inlineStr"/>
      <c r="O1600" t="inlineStr"/>
      <c r="P1600" t="inlineStr"/>
      <c r="Q1600">
        <f>HYPERLINK("https://knru.ru/catalog/stremyannaya-ul-1-6/","ссылка")</f>
        <v/>
      </c>
      <c r="R1600" t="inlineStr"/>
      <c r="S1600" t="inlineStr"/>
    </row>
    <row r="1601">
      <c r="A1601" t="inlineStr">
        <is>
          <t>Центральный</t>
        </is>
      </c>
      <c r="B1601" t="inlineStr">
        <is>
          <t>Стремянная ул, 22/3 А</t>
        </is>
      </c>
      <c r="C1601" t="inlineStr">
        <is>
          <t>sale</t>
        </is>
      </c>
      <c r="D1601" t="inlineStr">
        <is>
          <t>Да</t>
        </is>
      </c>
      <c r="E1601" t="inlineStr"/>
      <c r="F1601" t="inlineStr"/>
      <c r="G1601" t="inlineStr">
        <is>
          <t>432</t>
        </is>
      </c>
      <c r="H1601" t="inlineStr"/>
      <c r="I1601" t="inlineStr"/>
      <c r="J1601" t="inlineStr">
        <is>
          <t>399 000 000</t>
        </is>
      </c>
      <c r="K1601" t="inlineStr"/>
      <c r="L1601" t="inlineStr"/>
      <c r="M1601" t="inlineStr">
        <is>
          <t>Нет у нас</t>
        </is>
      </c>
      <c r="N1601" t="inlineStr"/>
      <c r="O1601" t="inlineStr"/>
      <c r="P1601" t="inlineStr"/>
      <c r="Q1601">
        <f>HYPERLINK("https://knru.ru/catalog/marata-ul-d-3/","ссылка")</f>
        <v/>
      </c>
      <c r="R1601" t="inlineStr"/>
      <c r="S1601" t="inlineStr"/>
    </row>
    <row r="1602">
      <c r="A1602" t="inlineStr">
        <is>
          <t>Центральный</t>
        </is>
      </c>
      <c r="B1602" t="inlineStr">
        <is>
          <t>Таврическая, 1</t>
        </is>
      </c>
      <c r="C1602" t="inlineStr">
        <is>
          <t>sale</t>
        </is>
      </c>
      <c r="D1602" t="inlineStr">
        <is>
          <t>Да</t>
        </is>
      </c>
      <c r="E1602" t="inlineStr"/>
      <c r="F1602" t="inlineStr"/>
      <c r="G1602" t="inlineStr">
        <is>
          <t>117</t>
        </is>
      </c>
      <c r="H1602" t="inlineStr"/>
      <c r="I1602" t="inlineStr"/>
      <c r="J1602" t="inlineStr">
        <is>
          <t>45 000 000</t>
        </is>
      </c>
      <c r="K1602" t="inlineStr"/>
      <c r="L1602" t="inlineStr"/>
      <c r="M1602" t="inlineStr">
        <is>
          <t>Нет у нас</t>
        </is>
      </c>
      <c r="N1602" t="inlineStr"/>
      <c r="O1602" t="inlineStr"/>
      <c r="P1602" t="inlineStr"/>
      <c r="Q1602">
        <f>HYPERLINK("https://knru.ru/catalog/tavricheskaya-ul-d-1/","ссылка")</f>
        <v/>
      </c>
      <c r="R1602" t="inlineStr"/>
      <c r="S1602" t="inlineStr"/>
    </row>
    <row r="1603">
      <c r="A1603" t="inlineStr">
        <is>
          <t>Центральный</t>
        </is>
      </c>
      <c r="B1603" t="inlineStr">
        <is>
          <t>Тележная ул, 25-27</t>
        </is>
      </c>
      <c r="C1603" t="inlineStr">
        <is>
          <t>sale</t>
        </is>
      </c>
      <c r="D1603" t="inlineStr">
        <is>
          <t>Да</t>
        </is>
      </c>
      <c r="E1603" t="inlineStr"/>
      <c r="F1603" t="inlineStr"/>
      <c r="G1603" t="inlineStr">
        <is>
          <t>37.1</t>
        </is>
      </c>
      <c r="H1603" t="inlineStr"/>
      <c r="I1603" t="inlineStr"/>
      <c r="J1603" t="inlineStr">
        <is>
          <t>22 490 000</t>
        </is>
      </c>
      <c r="K1603" t="inlineStr"/>
      <c r="L1603" t="inlineStr"/>
      <c r="M1603" t="inlineStr">
        <is>
          <t>Нет у нас</t>
        </is>
      </c>
      <c r="N1603" t="inlineStr"/>
      <c r="O1603" t="inlineStr"/>
      <c r="P1603" t="inlineStr"/>
      <c r="Q1603">
        <f>HYPERLINK("https://knru.ru/catalog/telezhnaya-ul-25-27/","ссылка")</f>
        <v/>
      </c>
      <c r="R1603" t="inlineStr"/>
      <c r="S1603" t="inlineStr"/>
    </row>
    <row r="1604">
      <c r="A1604" t="inlineStr">
        <is>
          <t>Центральный</t>
        </is>
      </c>
      <c r="B1604" t="inlineStr">
        <is>
          <t>Тульская ул, 2</t>
        </is>
      </c>
      <c r="C1604" t="inlineStr">
        <is>
          <t>sale</t>
        </is>
      </c>
      <c r="D1604" t="inlineStr">
        <is>
          <t>Да</t>
        </is>
      </c>
      <c r="E1604" t="inlineStr"/>
      <c r="F1604" t="inlineStr"/>
      <c r="G1604" t="inlineStr">
        <is>
          <t>350</t>
        </is>
      </c>
      <c r="H1604" t="inlineStr"/>
      <c r="I1604" t="inlineStr"/>
      <c r="J1604" t="inlineStr">
        <is>
          <t>110 000 000</t>
        </is>
      </c>
      <c r="K1604" t="inlineStr"/>
      <c r="L1604" t="inlineStr"/>
      <c r="M1604" t="inlineStr">
        <is>
          <t>По адресу есть, но площадь другая</t>
        </is>
      </c>
      <c r="N1604" t="inlineStr"/>
      <c r="O1604" t="inlineStr"/>
      <c r="P1604" t="inlineStr"/>
      <c r="Q1604">
        <f>HYPERLINK("https://knru.ru/catalog/ul-tulskaya-d-2/","ссылка")</f>
        <v/>
      </c>
      <c r="R1604" t="inlineStr"/>
      <c r="S1604" t="inlineStr"/>
    </row>
    <row r="1605">
      <c r="A1605" t="inlineStr">
        <is>
          <t>Центральный</t>
        </is>
      </c>
      <c r="B1605" t="inlineStr">
        <is>
          <t>Тульская ул, 9 А</t>
        </is>
      </c>
      <c r="C1605" t="inlineStr">
        <is>
          <t>sale</t>
        </is>
      </c>
      <c r="D1605" t="inlineStr">
        <is>
          <t>Да</t>
        </is>
      </c>
      <c r="E1605" t="inlineStr"/>
      <c r="F1605" t="inlineStr"/>
      <c r="G1605" t="inlineStr">
        <is>
          <t>160</t>
        </is>
      </c>
      <c r="H1605" t="inlineStr"/>
      <c r="I1605" t="inlineStr"/>
      <c r="J1605" t="inlineStr">
        <is>
          <t>32 000 000</t>
        </is>
      </c>
      <c r="K1605" t="inlineStr"/>
      <c r="L1605" t="inlineStr"/>
      <c r="M1605" t="inlineStr">
        <is>
          <t>Нет у нас</t>
        </is>
      </c>
      <c r="N1605" t="inlineStr"/>
      <c r="O1605" t="inlineStr"/>
      <c r="P1605" t="inlineStr"/>
      <c r="Q1605">
        <f>HYPERLINK("https://knru.ru/catalog/tulskaya-ul-9-a/","ссылка")</f>
        <v/>
      </c>
      <c r="R1605" t="inlineStr"/>
      <c r="S1605" t="inlineStr"/>
    </row>
    <row r="1606">
      <c r="A1606" t="inlineStr">
        <is>
          <t>Центральный</t>
        </is>
      </c>
      <c r="B1606" t="inlineStr">
        <is>
          <t>Херсонская ул, 43к2</t>
        </is>
      </c>
      <c r="C1606" t="inlineStr">
        <is>
          <t>sale</t>
        </is>
      </c>
      <c r="D1606" t="inlineStr">
        <is>
          <t>Да</t>
        </is>
      </c>
      <c r="E1606" t="inlineStr"/>
      <c r="F1606" t="inlineStr"/>
      <c r="G1606" t="inlineStr">
        <is>
          <t>93.3</t>
        </is>
      </c>
      <c r="H1606" t="inlineStr"/>
      <c r="I1606" t="inlineStr"/>
      <c r="J1606" t="inlineStr">
        <is>
          <t>70 000 000</t>
        </is>
      </c>
      <c r="K1606" t="inlineStr"/>
      <c r="L1606" t="inlineStr"/>
      <c r="M1606" t="inlineStr">
        <is>
          <t>По адресу есть, но площадь другая</t>
        </is>
      </c>
      <c r="N1606" t="inlineStr"/>
      <c r="O1606" t="inlineStr"/>
      <c r="P1606" t="inlineStr"/>
      <c r="Q1606">
        <f>HYPERLINK("https://knru.ru/catalog/khersonskaya-ul43-k2-1122086068/","ссылка")</f>
        <v/>
      </c>
      <c r="R1606" t="inlineStr"/>
      <c r="S1606" t="inlineStr"/>
    </row>
    <row r="1607">
      <c r="A1607" t="inlineStr">
        <is>
          <t>Центральный</t>
        </is>
      </c>
      <c r="B1607" t="inlineStr">
        <is>
          <t>Херсонская ул, 43к2</t>
        </is>
      </c>
      <c r="C1607" t="inlineStr">
        <is>
          <t>sale</t>
        </is>
      </c>
      <c r="D1607" t="inlineStr">
        <is>
          <t>Да</t>
        </is>
      </c>
      <c r="E1607" t="inlineStr"/>
      <c r="F1607" t="inlineStr"/>
      <c r="G1607" t="inlineStr">
        <is>
          <t>127</t>
        </is>
      </c>
      <c r="H1607" t="inlineStr"/>
      <c r="I1607" t="inlineStr"/>
      <c r="J1607" t="inlineStr">
        <is>
          <t>88 900 000</t>
        </is>
      </c>
      <c r="K1607" t="inlineStr"/>
      <c r="L1607" t="inlineStr"/>
      <c r="M1607" t="inlineStr">
        <is>
          <t>По адресу есть, но площадь другая</t>
        </is>
      </c>
      <c r="N1607" t="inlineStr"/>
      <c r="O1607" t="inlineStr"/>
      <c r="P1607" t="inlineStr"/>
      <c r="Q1607">
        <f>HYPERLINK("https://knru.ru/catalog/khersonskaya-ul43-k2/","ссылка")</f>
        <v/>
      </c>
      <c r="R1607" t="inlineStr"/>
      <c r="S1607" t="inlineStr"/>
    </row>
    <row r="1608">
      <c r="A1608" t="inlineStr">
        <is>
          <t>Центральный</t>
        </is>
      </c>
      <c r="B1608" t="inlineStr">
        <is>
          <t>Херсонская ул, 8</t>
        </is>
      </c>
      <c r="C1608" t="inlineStr">
        <is>
          <t>sale</t>
        </is>
      </c>
      <c r="D1608" t="inlineStr">
        <is>
          <t>Да</t>
        </is>
      </c>
      <c r="E1608" t="inlineStr"/>
      <c r="F1608" t="inlineStr"/>
      <c r="G1608" t="inlineStr">
        <is>
          <t>2400</t>
        </is>
      </c>
      <c r="H1608" t="inlineStr"/>
      <c r="I1608" t="inlineStr"/>
      <c r="J1608" t="inlineStr">
        <is>
          <t>210 000 000</t>
        </is>
      </c>
      <c r="K1608" t="inlineStr"/>
      <c r="L1608" t="inlineStr"/>
      <c r="M1608" t="inlineStr">
        <is>
          <t>По адресу есть, но площадь другая</t>
        </is>
      </c>
      <c r="N1608" t="inlineStr"/>
      <c r="O1608" t="inlineStr"/>
      <c r="P1608" t="inlineStr"/>
      <c r="Q1608">
        <f>HYPERLINK("https://knru.ru/catalog/khersonskaya-8-lit-d/","ссылка")</f>
        <v/>
      </c>
      <c r="R1608" t="inlineStr"/>
      <c r="S1608" t="inlineStr"/>
    </row>
    <row r="1609">
      <c r="A1609" t="inlineStr">
        <is>
          <t>Центральный</t>
        </is>
      </c>
      <c r="B1609" t="inlineStr">
        <is>
          <t>Херсонский прд., д. 6 стр.1</t>
        </is>
      </c>
      <c r="C1609" t="inlineStr">
        <is>
          <t>sale</t>
        </is>
      </c>
      <c r="D1609" t="inlineStr">
        <is>
          <t>Да</t>
        </is>
      </c>
      <c r="E1609" t="inlineStr"/>
      <c r="F1609" t="inlineStr"/>
      <c r="G1609" t="inlineStr">
        <is>
          <t>95.7</t>
        </is>
      </c>
      <c r="H1609" t="inlineStr"/>
      <c r="I1609" t="inlineStr"/>
      <c r="J1609" t="inlineStr">
        <is>
          <t>43 065 000</t>
        </is>
      </c>
      <c r="K1609" t="inlineStr"/>
      <c r="L1609" t="inlineStr"/>
      <c r="M1609" t="inlineStr">
        <is>
          <t>Нет у нас</t>
        </is>
      </c>
      <c r="N1609" t="inlineStr"/>
      <c r="O1609" t="inlineStr"/>
      <c r="P1609" t="inlineStr"/>
      <c r="Q1609">
        <f>HYPERLINK("https://knru.ru/catalog/khersonskiy-prd-d-6-str-1/","ссылка")</f>
        <v/>
      </c>
      <c r="R1609" t="inlineStr"/>
      <c r="S1609" t="inlineStr"/>
    </row>
    <row r="1610">
      <c r="A1610" t="inlineStr">
        <is>
          <t>Центральный</t>
        </is>
      </c>
      <c r="B1610" t="inlineStr">
        <is>
          <t>Чайковского ул, 12а Л</t>
        </is>
      </c>
      <c r="C1610" t="inlineStr">
        <is>
          <t>sale</t>
        </is>
      </c>
      <c r="D1610" t="inlineStr">
        <is>
          <t>Да</t>
        </is>
      </c>
      <c r="E1610" t="inlineStr"/>
      <c r="F1610" t="inlineStr"/>
      <c r="G1610" t="inlineStr">
        <is>
          <t>724</t>
        </is>
      </c>
      <c r="H1610" t="inlineStr"/>
      <c r="I1610" t="inlineStr"/>
      <c r="J1610" t="inlineStr">
        <is>
          <t>175 000 000</t>
        </is>
      </c>
      <c r="K1610" t="inlineStr"/>
      <c r="L1610" t="inlineStr"/>
      <c r="M1610" t="inlineStr">
        <is>
          <t>Нет у нас</t>
        </is>
      </c>
      <c r="N1610" t="inlineStr"/>
      <c r="O1610" t="inlineStr"/>
      <c r="P1610" t="inlineStr"/>
      <c r="Q1610">
        <f>HYPERLINK("https://knru.ru/catalog/chaykovskogo-ul-12a-l-468742874/","ссылка")</f>
        <v/>
      </c>
      <c r="R1610" t="inlineStr"/>
      <c r="S1610" t="inlineStr"/>
    </row>
    <row r="1611">
      <c r="A1611" t="inlineStr">
        <is>
          <t>Центральный</t>
        </is>
      </c>
      <c r="B1611" t="inlineStr">
        <is>
          <t>Чайковского ул, 12а Л</t>
        </is>
      </c>
      <c r="C1611" t="inlineStr">
        <is>
          <t>sale</t>
        </is>
      </c>
      <c r="D1611" t="inlineStr">
        <is>
          <t>Да</t>
        </is>
      </c>
      <c r="E1611" t="inlineStr"/>
      <c r="F1611" t="inlineStr"/>
      <c r="G1611" t="inlineStr">
        <is>
          <t>192</t>
        </is>
      </c>
      <c r="H1611" t="inlineStr"/>
      <c r="I1611" t="inlineStr"/>
      <c r="J1611" t="inlineStr">
        <is>
          <t>41 000 000</t>
        </is>
      </c>
      <c r="K1611" t="inlineStr"/>
      <c r="L1611" t="inlineStr"/>
      <c r="M1611" t="inlineStr">
        <is>
          <t>Нет у нас</t>
        </is>
      </c>
      <c r="N1611" t="inlineStr"/>
      <c r="O1611" t="inlineStr"/>
      <c r="P1611" t="inlineStr"/>
      <c r="Q1611">
        <f>HYPERLINK("https://knru.ru/catalog/chaykovskogo-ul-12a-l/","ссылка")</f>
        <v/>
      </c>
      <c r="R1611" t="inlineStr"/>
      <c r="S1611" t="inlineStr"/>
    </row>
    <row r="1612">
      <c r="A1612" t="inlineStr">
        <is>
          <t>Центральный</t>
        </is>
      </c>
      <c r="B1612" t="inlineStr">
        <is>
          <t>Чернорецкий пер, 5 А</t>
        </is>
      </c>
      <c r="C1612" t="inlineStr">
        <is>
          <t>sale</t>
        </is>
      </c>
      <c r="D1612" t="inlineStr">
        <is>
          <t>Да</t>
        </is>
      </c>
      <c r="E1612" t="inlineStr"/>
      <c r="F1612" t="inlineStr"/>
      <c r="G1612" t="inlineStr">
        <is>
          <t>2827</t>
        </is>
      </c>
      <c r="H1612" t="inlineStr"/>
      <c r="I1612" t="inlineStr"/>
      <c r="J1612" t="inlineStr">
        <is>
          <t>2 500 000 000</t>
        </is>
      </c>
      <c r="K1612" t="inlineStr"/>
      <c r="L1612" t="inlineStr"/>
      <c r="M1612" t="inlineStr">
        <is>
          <t>По адресу есть, но площадь другая</t>
        </is>
      </c>
      <c r="N1612" t="inlineStr"/>
      <c r="O1612" t="inlineStr"/>
      <c r="P1612" t="inlineStr"/>
      <c r="Q1612">
        <f>HYPERLINK("https://knru.ru/catalog/chernoretskij-per-d-5/","ссылка")</f>
        <v/>
      </c>
      <c r="R1612" t="inlineStr"/>
      <c r="S1612" t="inlineStr"/>
    </row>
    <row r="1613">
      <c r="A1613" t="inlineStr">
        <is>
          <t>Центральный</t>
        </is>
      </c>
      <c r="B1613" t="inlineStr">
        <is>
          <t>Чернышевского, 13</t>
        </is>
      </c>
      <c r="C1613" t="inlineStr">
        <is>
          <t>sale</t>
        </is>
      </c>
      <c r="D1613" t="inlineStr">
        <is>
          <t>Да</t>
        </is>
      </c>
      <c r="E1613" t="inlineStr"/>
      <c r="F1613" t="inlineStr"/>
      <c r="G1613" t="inlineStr">
        <is>
          <t>142</t>
        </is>
      </c>
      <c r="H1613" t="inlineStr"/>
      <c r="I1613" t="inlineStr"/>
      <c r="J1613" t="inlineStr">
        <is>
          <t>3 900 000</t>
        </is>
      </c>
      <c r="K1613" t="inlineStr"/>
      <c r="L1613" t="inlineStr"/>
      <c r="M1613" t="inlineStr">
        <is>
          <t>У нас аренда, у конкурента продажа</t>
        </is>
      </c>
      <c r="N1613" t="inlineStr"/>
      <c r="O1613" t="inlineStr"/>
      <c r="P1613" t="inlineStr"/>
      <c r="Q1613">
        <f>HYPERLINK("https://knru.ru/catalog/chernyshevskogo-pr-d-13-1748589737/","ссылка")</f>
        <v/>
      </c>
      <c r="R1613" t="inlineStr"/>
      <c r="S1613" t="inlineStr"/>
    </row>
    <row r="1614">
      <c r="A1614" t="inlineStr">
        <is>
          <t>Центральный</t>
        </is>
      </c>
      <c r="B1614" t="inlineStr">
        <is>
          <t>Шпалерная ул, 40 В</t>
        </is>
      </c>
      <c r="C1614" t="inlineStr">
        <is>
          <t>sale</t>
        </is>
      </c>
      <c r="D1614" t="inlineStr">
        <is>
          <t>Да</t>
        </is>
      </c>
      <c r="E1614" t="inlineStr"/>
      <c r="F1614" t="inlineStr"/>
      <c r="G1614" t="inlineStr">
        <is>
          <t>260</t>
        </is>
      </c>
      <c r="H1614" t="inlineStr"/>
      <c r="I1614" t="inlineStr"/>
      <c r="J1614" t="inlineStr">
        <is>
          <t>57 000 000</t>
        </is>
      </c>
      <c r="K1614" t="inlineStr"/>
      <c r="L1614" t="inlineStr"/>
      <c r="M1614" t="inlineStr">
        <is>
          <t>Нет у нас</t>
        </is>
      </c>
      <c r="N1614" t="inlineStr"/>
      <c r="O1614" t="inlineStr"/>
      <c r="P1614" t="inlineStr"/>
      <c r="Q1614">
        <f>HYPERLINK("https://knru.ru/catalog/shpalernaya-ul-40-v-2124756647/","ссылка")</f>
        <v/>
      </c>
      <c r="R1614" t="inlineStr"/>
      <c r="S1614" t="inlineStr"/>
    </row>
    <row r="1615">
      <c r="A1615" t="inlineStr">
        <is>
          <t>Центральный</t>
        </is>
      </c>
      <c r="B1615" t="inlineStr">
        <is>
          <t>Шпалерная ул, 40 В</t>
        </is>
      </c>
      <c r="C1615" t="inlineStr">
        <is>
          <t>sale</t>
        </is>
      </c>
      <c r="D1615" t="inlineStr">
        <is>
          <t>Да</t>
        </is>
      </c>
      <c r="E1615" t="inlineStr"/>
      <c r="F1615" t="inlineStr"/>
      <c r="G1615" t="inlineStr">
        <is>
          <t>850</t>
        </is>
      </c>
      <c r="H1615" t="inlineStr"/>
      <c r="I1615" t="inlineStr"/>
      <c r="J1615" t="inlineStr">
        <is>
          <t>149 000 000</t>
        </is>
      </c>
      <c r="K1615" t="inlineStr"/>
      <c r="L1615" t="inlineStr"/>
      <c r="M1615" t="inlineStr">
        <is>
          <t>Нет у нас</t>
        </is>
      </c>
      <c r="N1615" t="inlineStr"/>
      <c r="O1615" t="inlineStr"/>
      <c r="P1615" t="inlineStr"/>
      <c r="Q1615">
        <f>HYPERLINK("https://knru.ru/catalog/shpalernaya-ul-40-v/","ссылка")</f>
        <v/>
      </c>
      <c r="R1615" t="inlineStr"/>
      <c r="S1615" t="inlineStr"/>
    </row>
    <row r="1616">
      <c r="A1616" t="inlineStr">
        <is>
          <t>Центральный</t>
        </is>
      </c>
      <c r="B1616" t="inlineStr">
        <is>
          <t>Шушары п, Новгородский пр-кт, 10 лит А</t>
        </is>
      </c>
      <c r="C1616" t="inlineStr">
        <is>
          <t>sale</t>
        </is>
      </c>
      <c r="D1616" t="inlineStr"/>
      <c r="E1616" t="inlineStr">
        <is>
          <t>Да</t>
        </is>
      </c>
      <c r="F1616" t="inlineStr"/>
      <c r="G1616" t="inlineStr"/>
      <c r="H1616" t="inlineStr">
        <is>
          <t>170</t>
        </is>
      </c>
      <c r="I1616" t="inlineStr"/>
      <c r="J1616" t="inlineStr"/>
      <c r="K1616" t="inlineStr">
        <is>
          <t>19 990 000</t>
        </is>
      </c>
      <c r="L1616" t="inlineStr"/>
      <c r="M1616" t="inlineStr"/>
      <c r="N1616" t="inlineStr">
        <is>
          <t>По адресу есть, но площадь другая</t>
        </is>
      </c>
      <c r="O1616" t="inlineStr"/>
      <c r="P1616" t="inlineStr"/>
      <c r="Q1616" t="inlineStr"/>
      <c r="R1616">
        <f>HYPERLINK("https://nordwestinvest.ru/real-estates/prodaza-psn-170kvm","ссылка")</f>
        <v/>
      </c>
      <c r="S1616" t="inlineStr"/>
    </row>
    <row r="1617">
      <c r="A1617" t="inlineStr">
        <is>
          <t>Чкаловский</t>
        </is>
      </c>
      <c r="B1617" t="inlineStr">
        <is>
          <t>Леонова ул, 5</t>
        </is>
      </c>
      <c r="C1617" t="inlineStr">
        <is>
          <t>sale</t>
        </is>
      </c>
      <c r="D1617" t="inlineStr">
        <is>
          <t>Да</t>
        </is>
      </c>
      <c r="E1617" t="inlineStr"/>
      <c r="F1617" t="inlineStr"/>
      <c r="G1617" t="inlineStr">
        <is>
          <t>707</t>
        </is>
      </c>
      <c r="H1617" t="inlineStr"/>
      <c r="I1617" t="inlineStr"/>
      <c r="J1617" t="inlineStr">
        <is>
          <t>77 700 000</t>
        </is>
      </c>
      <c r="K1617" t="inlineStr"/>
      <c r="L1617" t="inlineStr"/>
      <c r="M1617" t="inlineStr">
        <is>
          <t>Нет у нас</t>
        </is>
      </c>
      <c r="N1617" t="inlineStr"/>
      <c r="O1617" t="inlineStr"/>
      <c r="P1617" t="inlineStr"/>
      <c r="Q1617">
        <f>HYPERLINK("https://knru.ru/catalog/zamyatin-per-d-5/","ссылка")</f>
        <v/>
      </c>
      <c r="R1617" t="inlineStr"/>
      <c r="S1617" t="inlineStr"/>
    </row>
    <row r="1618">
      <c r="A1618" t="inlineStr">
        <is>
          <t>Шувалово</t>
        </is>
      </c>
      <c r="B1618" t="inlineStr">
        <is>
          <t>Первомайская ул, 1</t>
        </is>
      </c>
      <c r="C1618" t="inlineStr">
        <is>
          <t>sale</t>
        </is>
      </c>
      <c r="D1618" t="inlineStr">
        <is>
          <t>Да</t>
        </is>
      </c>
      <c r="E1618" t="inlineStr"/>
      <c r="F1618" t="inlineStr"/>
      <c r="G1618" t="inlineStr">
        <is>
          <t>500</t>
        </is>
      </c>
      <c r="H1618" t="inlineStr"/>
      <c r="I1618" t="inlineStr"/>
      <c r="J1618" t="inlineStr">
        <is>
          <t>43 000 000</t>
        </is>
      </c>
      <c r="K1618" t="inlineStr"/>
      <c r="L1618" t="inlineStr"/>
      <c r="M1618" t="inlineStr">
        <is>
          <t>Нет у нас</t>
        </is>
      </c>
      <c r="N1618" t="inlineStr"/>
      <c r="O1618" t="inlineStr"/>
      <c r="P1618" t="inlineStr"/>
      <c r="Q1618">
        <f>HYPERLINK("https://knru.ru/catalog/rp-pushkinskie-gory-pervomajskaya-ul-d-1/","ссылка")</f>
        <v/>
      </c>
      <c r="R1618" t="inlineStr"/>
      <c r="S1618" t="inlineStr"/>
    </row>
    <row r="1619">
      <c r="A1619" t="inlineStr">
        <is>
          <t>Шувалово</t>
        </is>
      </c>
      <c r="B1619" t="inlineStr">
        <is>
          <t>Софийская ул, 61к1 А</t>
        </is>
      </c>
      <c r="C1619" t="inlineStr">
        <is>
          <t>sale</t>
        </is>
      </c>
      <c r="D1619" t="inlineStr"/>
      <c r="E1619" t="inlineStr">
        <is>
          <t>Да</t>
        </is>
      </c>
      <c r="F1619" t="inlineStr"/>
      <c r="G1619" t="inlineStr"/>
      <c r="H1619" t="inlineStr">
        <is>
          <t>25000</t>
        </is>
      </c>
      <c r="I1619" t="inlineStr"/>
      <c r="J1619" t="inlineStr"/>
      <c r="K1619" t="inlineStr">
        <is>
          <t>2 000 000 000</t>
        </is>
      </c>
      <c r="L1619" t="inlineStr"/>
      <c r="M1619" t="inlineStr"/>
      <c r="N1619" t="inlineStr">
        <is>
          <t>По адресу есть, но площадь другая</t>
        </is>
      </c>
      <c r="O1619" t="inlineStr"/>
      <c r="P1619" t="inlineStr"/>
      <c r="Q1619" t="inlineStr"/>
      <c r="R1619">
        <f>HYPERLINK("https://nordwestinvest.ru/real-estates/prodaza-zemelnogo-ucastka-25-ga","ссылка")</f>
        <v/>
      </c>
      <c r="S1619" t="inlineStr"/>
    </row>
    <row r="1620">
      <c r="A1620" t="inlineStr">
        <is>
          <t>Южно-Приморский округ</t>
        </is>
      </c>
      <c r="B1620" t="inlineStr">
        <is>
          <t>Маршала Захарова ул, 18к1</t>
        </is>
      </c>
      <c r="C1620" t="inlineStr">
        <is>
          <t>sale</t>
        </is>
      </c>
      <c r="D1620" t="inlineStr"/>
      <c r="E1620" t="inlineStr">
        <is>
          <t>Да</t>
        </is>
      </c>
      <c r="F1620" t="inlineStr"/>
      <c r="G1620" t="inlineStr"/>
      <c r="H1620" t="inlineStr">
        <is>
          <t>185</t>
        </is>
      </c>
      <c r="I1620" t="inlineStr"/>
      <c r="J1620" t="inlineStr"/>
      <c r="K1620" t="inlineStr">
        <is>
          <t>37 000 000</t>
        </is>
      </c>
      <c r="L1620" t="inlineStr"/>
      <c r="M1620" t="inlineStr"/>
      <c r="N1620" t="inlineStr">
        <is>
          <t>Совпало</t>
        </is>
      </c>
      <c r="O1620" t="inlineStr"/>
      <c r="P1620" t="inlineStr"/>
      <c r="Q1620" t="inlineStr"/>
      <c r="R1620">
        <f>HYPERLINK("https://nordwestinvest.ru/real-estates/prodaza-pomeshheniia-s-rosal-1","ссылка")</f>
        <v/>
      </c>
      <c r="S1620" t="inlineStr"/>
    </row>
    <row r="1621">
      <c r="A1621" t="inlineStr">
        <is>
          <t>Южно-Приморский округ</t>
        </is>
      </c>
      <c r="B1621" t="inlineStr">
        <is>
          <t>Петергофское ш, 17к1</t>
        </is>
      </c>
      <c r="C1621" t="inlineStr">
        <is>
          <t>sale</t>
        </is>
      </c>
      <c r="D1621" t="inlineStr"/>
      <c r="E1621" t="inlineStr">
        <is>
          <t>Да</t>
        </is>
      </c>
      <c r="F1621" t="inlineStr"/>
      <c r="G1621" t="inlineStr"/>
      <c r="H1621" t="inlineStr">
        <is>
          <t>79.5</t>
        </is>
      </c>
      <c r="I1621" t="inlineStr"/>
      <c r="J1621" t="inlineStr"/>
      <c r="K1621" t="inlineStr">
        <is>
          <t>19 900 000</t>
        </is>
      </c>
      <c r="L1621" t="inlineStr"/>
      <c r="M1621" t="inlineStr"/>
      <c r="N1621" t="inlineStr">
        <is>
          <t>Совпало</t>
        </is>
      </c>
      <c r="O1621" t="inlineStr"/>
      <c r="P1621" t="inlineStr"/>
      <c r="Q1621" t="inlineStr"/>
      <c r="R1621">
        <f>HYPERLINK("https://nordwestinvest.ru/real-estates/prodaza-pomeshheniia-s-iandeks-market-pocta-rocsii","ссылка")</f>
        <v/>
      </c>
      <c r="S1621" t="inlineStr"/>
    </row>
    <row r="1622">
      <c r="A1622" t="inlineStr">
        <is>
          <t>Южно-Приморский округ</t>
        </is>
      </c>
      <c r="B1622" t="inlineStr">
        <is>
          <t>Петергофское ш, 51</t>
        </is>
      </c>
      <c r="C1622" t="inlineStr">
        <is>
          <t>sale</t>
        </is>
      </c>
      <c r="D1622" t="inlineStr"/>
      <c r="E1622" t="inlineStr">
        <is>
          <t>Да</t>
        </is>
      </c>
      <c r="F1622" t="inlineStr"/>
      <c r="G1622" t="inlineStr"/>
      <c r="H1622" t="inlineStr">
        <is>
          <t>39</t>
        </is>
      </c>
      <c r="I1622" t="inlineStr"/>
      <c r="J1622" t="inlineStr"/>
      <c r="K1622" t="inlineStr">
        <is>
          <t>8 569 000</t>
        </is>
      </c>
      <c r="L1622" t="inlineStr"/>
      <c r="M1622" t="inlineStr"/>
      <c r="N1622" t="inlineStr">
        <is>
          <t>Нет у нас</t>
        </is>
      </c>
      <c r="O1622" t="inlineStr"/>
      <c r="P1622" t="inlineStr"/>
      <c r="Q1622" t="inlineStr"/>
      <c r="R1622">
        <f>HYPERLINK("https://nordwestinvest.ru/real-estates/zakrytaia-prodaza-v-tc-s-arendatorom-ikra-i-ryba","ссылка")</f>
        <v/>
      </c>
      <c r="S16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Уникальных объединённых объектов</t>
        </is>
      </c>
      <c r="B2" t="n">
        <v>1621</v>
      </c>
    </row>
    <row r="3">
      <c r="A3" t="inlineStr">
        <is>
          <t>Есть у всех 3 конкурентов</t>
        </is>
      </c>
      <c r="B3" t="n">
        <v>0</v>
      </c>
    </row>
    <row r="4">
      <c r="A4" t="inlineStr">
        <is>
          <t>Только KNRU</t>
        </is>
      </c>
      <c r="B4" t="n">
        <v>1057</v>
      </c>
    </row>
    <row r="5">
      <c r="A5" t="inlineStr">
        <is>
          <t>Только Северо-Запад</t>
        </is>
      </c>
      <c r="B5" t="n">
        <v>534</v>
      </c>
    </row>
    <row r="6">
      <c r="A6" t="inlineStr">
        <is>
          <t>Только Rest2Rent</t>
        </is>
      </c>
      <c r="B6" t="n">
        <v>5</v>
      </c>
    </row>
    <row r="7">
      <c r="A7" t="inlineStr">
        <is>
          <t>KNRU + Северо-Запад</t>
        </is>
      </c>
      <c r="B7" t="n">
        <v>24</v>
      </c>
    </row>
    <row r="8">
      <c r="A8" t="inlineStr">
        <is>
          <t>KNRU + Rest2Rent</t>
        </is>
      </c>
      <c r="B8" t="n">
        <v>0</v>
      </c>
    </row>
    <row r="9">
      <c r="A9" t="inlineStr">
        <is>
          <t>Северо-Запад + Rest2Rent</t>
        </is>
      </c>
      <c r="B9" t="n">
        <v>1</v>
      </c>
    </row>
    <row r="10">
      <c r="A10" t="inlineStr">
        <is>
          <t>Объекты с расхождениями значений</t>
        </is>
      </c>
      <c r="B10" t="n">
        <v>21</v>
      </c>
    </row>
    <row r="11">
      <c r="A11" t="inlineStr">
        <is>
          <t>Есть у 3 конкурентов, у нас нет (красные)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2026-02-15T21:10:38Z</dcterms:created>
  <dcterms:modified xmlns:dcterms="http://purl.org/dc/terms/" xmlns:xsi="http://www.w3.org/2001/XMLSchema-instance" xsi:type="dcterms:W3CDTF">2026-02-15T21:10:39Z</dcterms:modified>
</cp:coreProperties>
</file>