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конкурента</t>
        </is>
      </c>
      <c r="B1" t="inlineStr">
        <is>
          <t>Район</t>
        </is>
      </c>
      <c r="C1" t="inlineStr">
        <is>
          <t>Адрес</t>
        </is>
      </c>
      <c r="D1" t="inlineStr">
        <is>
          <t>Площадь конкурента, м2</t>
        </is>
      </c>
      <c r="E1" t="inlineStr">
        <is>
          <t>Площадь у нас, м2</t>
        </is>
      </c>
      <c r="F1" t="inlineStr">
        <is>
          <t>Δ площадь, м2</t>
        </is>
      </c>
      <c r="G1" t="inlineStr">
        <is>
          <t>Цена конкурента</t>
        </is>
      </c>
      <c r="H1" t="inlineStr">
        <is>
          <t>Цена у нас</t>
        </is>
      </c>
      <c r="I1" t="inlineStr">
        <is>
          <t>Вывод</t>
        </is>
      </c>
      <c r="J1" t="inlineStr">
        <is>
          <t>Примечание</t>
        </is>
      </c>
      <c r="K1" t="inlineStr">
        <is>
          <t>Ссылка конкурента</t>
        </is>
      </c>
      <c r="L1" t="inlineStr">
        <is>
          <t>Ссылка у нас</t>
        </is>
      </c>
    </row>
    <row r="2">
      <c r="A2" t="n">
        <v>1</v>
      </c>
      <c r="B2" t="inlineStr"/>
      <c r="C2" t="inlineStr">
        <is>
          <t>улица Марата, 6</t>
        </is>
      </c>
      <c r="D2" t="n">
        <v>6803</v>
      </c>
      <c r="E2" t="n">
        <v>6803</v>
      </c>
      <c r="F2" t="n">
        <v>0</v>
      </c>
      <c r="G2" t="inlineStr">
        <is>
          <t>2 190 000 128</t>
        </is>
      </c>
      <c r="H2" t="inlineStr">
        <is>
          <t>1 300 000 000</t>
        </is>
      </c>
      <c r="I2" t="inlineStr">
        <is>
          <t>У нас дешевле, объект в архиве</t>
        </is>
      </c>
      <c r="J2" t="inlineStr"/>
      <c r="K2">
        <f>HYPERLINK("https://realty.yandex.ru/offer/7358043232277606913","ссылка")</f>
        <v/>
      </c>
      <c r="L2">
        <f>HYPERLINK("https://app.worldcafe.ru/object/14706","ссылка")</f>
        <v/>
      </c>
    </row>
    <row r="3">
      <c r="A3" t="n">
        <v>7</v>
      </c>
      <c r="B3" t="inlineStr"/>
      <c r="C3" t="inlineStr">
        <is>
          <t>Галерная улица, 18</t>
        </is>
      </c>
      <c r="D3" t="n">
        <v>105</v>
      </c>
      <c r="E3" t="n">
        <v>105</v>
      </c>
      <c r="F3" t="n">
        <v>0</v>
      </c>
      <c r="G3" t="inlineStr">
        <is>
          <t>29 000 000</t>
        </is>
      </c>
      <c r="H3" t="inlineStr">
        <is>
          <t>27 000 000</t>
        </is>
      </c>
      <c r="I3" t="inlineStr">
        <is>
          <t>У нас дешевле, объект в архиве</t>
        </is>
      </c>
      <c r="J3" t="inlineStr"/>
      <c r="K3">
        <f>HYPERLINK("https://realty.yandex.ru/offer/4261453774892822785","ссылка")</f>
        <v/>
      </c>
      <c r="L3">
        <f>HYPERLINK("https://app.worldcafe.ru/object/11366","ссылка")</f>
        <v/>
      </c>
    </row>
    <row r="4">
      <c r="A4" t="n">
        <v>14</v>
      </c>
      <c r="B4" t="inlineStr"/>
      <c r="C4" t="inlineStr">
        <is>
          <t>Почтамтский переулок, 2</t>
        </is>
      </c>
      <c r="D4" t="n">
        <v>65</v>
      </c>
      <c r="E4" t="n">
        <v>65</v>
      </c>
      <c r="F4" t="n">
        <v>0</v>
      </c>
      <c r="G4" t="inlineStr">
        <is>
          <t>29 000 000</t>
        </is>
      </c>
      <c r="H4" t="inlineStr">
        <is>
          <t>26 500 000</t>
        </is>
      </c>
      <c r="I4" t="inlineStr">
        <is>
          <t>У нас дешевле, объект в архиве</t>
        </is>
      </c>
      <c r="J4" t="inlineStr"/>
      <c r="K4">
        <f>HYPERLINK("https://realty.yandex.ru/offer/7922381883762012161","ссылка")</f>
        <v/>
      </c>
      <c r="L4">
        <f>HYPERLINK("https://app.worldcafe.ru/object/16209","ссылка")</f>
        <v/>
      </c>
    </row>
    <row r="5">
      <c r="A5" t="n">
        <v>22</v>
      </c>
      <c r="B5" t="inlineStr"/>
      <c r="C5" t="inlineStr">
        <is>
          <t>Невский проспект, 6</t>
        </is>
      </c>
      <c r="D5" t="n">
        <v>157.6</v>
      </c>
      <c r="E5" t="n">
        <v>157.6</v>
      </c>
      <c r="F5" t="n">
        <v>0</v>
      </c>
      <c r="G5" t="inlineStr">
        <is>
          <t>220 000 000</t>
        </is>
      </c>
      <c r="H5" t="inlineStr">
        <is>
          <t>200 000 000</t>
        </is>
      </c>
      <c r="I5" t="inlineStr">
        <is>
          <t>У нас дешевле, объект на сайте</t>
        </is>
      </c>
      <c r="J5" t="inlineStr"/>
      <c r="K5">
        <f>HYPERLINK("https://realty.yandex.ru/offer/854549783369119745","ссылка")</f>
        <v/>
      </c>
      <c r="L5">
        <f>HYPERLINK("https://app.worldcafe.ru/object/13934","ссылка")</f>
        <v/>
      </c>
    </row>
    <row r="6">
      <c r="A6" t="n">
        <v>24</v>
      </c>
      <c r="B6" t="inlineStr"/>
      <c r="C6" t="inlineStr">
        <is>
          <t>Московский проспект, 208</t>
        </is>
      </c>
      <c r="D6" t="n">
        <v>227.6</v>
      </c>
      <c r="E6" t="n">
        <v>227.6</v>
      </c>
      <c r="F6" t="n">
        <v>0</v>
      </c>
      <c r="G6" t="inlineStr">
        <is>
          <t>85 000 000</t>
        </is>
      </c>
      <c r="H6" t="inlineStr">
        <is>
          <t>70 500 000</t>
        </is>
      </c>
      <c r="I6" t="inlineStr">
        <is>
          <t>У нас дешевле, объект на сайте</t>
        </is>
      </c>
      <c r="J6" t="inlineStr"/>
      <c r="K6">
        <f>HYPERLINK("https://realty.yandex.ru/offer/918486745967203841","ссылка")</f>
        <v/>
      </c>
      <c r="L6">
        <f>HYPERLINK("https://app.worldcafe.ru/object/14046","ссылка")</f>
        <v/>
      </c>
    </row>
    <row r="7">
      <c r="A7" t="n">
        <v>30</v>
      </c>
      <c r="B7" t="inlineStr"/>
      <c r="C7" t="inlineStr">
        <is>
          <t>Малая Митрофаньевская улица, 8к1</t>
        </is>
      </c>
      <c r="D7" t="n">
        <v>99.40000000000001</v>
      </c>
      <c r="E7" t="n">
        <v>99.40000000000001</v>
      </c>
      <c r="F7" t="n">
        <v>0</v>
      </c>
      <c r="G7" t="inlineStr">
        <is>
          <t>24 000 000</t>
        </is>
      </c>
      <c r="H7" t="inlineStr">
        <is>
          <t>0</t>
        </is>
      </c>
      <c r="I7" t="inlineStr">
        <is>
          <t>У нас дешевле, объект в архиве</t>
        </is>
      </c>
      <c r="J7" t="inlineStr"/>
      <c r="K7">
        <f>HYPERLINK("https://realty.yandex.ru/offer/1888505119851672321","ссылка")</f>
        <v/>
      </c>
      <c r="L7">
        <f>HYPERLINK("https://app.worldcafe.ru/object/17112","ссылка")</f>
        <v/>
      </c>
    </row>
    <row r="8">
      <c r="A8" t="n">
        <v>31</v>
      </c>
      <c r="B8" t="inlineStr"/>
      <c r="C8" t="inlineStr">
        <is>
          <t>улица Чапаева, 7</t>
        </is>
      </c>
      <c r="D8" t="n">
        <v>2235.9</v>
      </c>
      <c r="E8" t="n">
        <v>2235</v>
      </c>
      <c r="F8" t="n">
        <v>0.9</v>
      </c>
      <c r="G8" t="inlineStr">
        <is>
          <t>300 000 000</t>
        </is>
      </c>
      <c r="H8" t="inlineStr">
        <is>
          <t>270 000 000</t>
        </is>
      </c>
      <c r="I8" t="inlineStr">
        <is>
          <t>У нас дешевле, объект в архиве</t>
        </is>
      </c>
      <c r="J8" t="inlineStr"/>
      <c r="K8">
        <f>HYPERLINK("https://realty.yandex.ru/offer/8134003174429197313","ссылка")</f>
        <v/>
      </c>
      <c r="L8">
        <f>HYPERLINK("https://app.worldcafe.ru/object/13188","ссылка")</f>
        <v/>
      </c>
    </row>
    <row r="9">
      <c r="A9" t="n">
        <v>33</v>
      </c>
      <c r="B9" t="inlineStr"/>
      <c r="C9" t="inlineStr">
        <is>
          <t>улица Рубинштейна, 23</t>
        </is>
      </c>
      <c r="D9" t="n">
        <v>57.6</v>
      </c>
      <c r="E9" t="n">
        <v>57.6</v>
      </c>
      <c r="F9" t="n">
        <v>0</v>
      </c>
      <c r="G9" t="inlineStr">
        <is>
          <t>39 500 000</t>
        </is>
      </c>
      <c r="H9" t="inlineStr">
        <is>
          <t>33 000 000</t>
        </is>
      </c>
      <c r="I9" t="inlineStr">
        <is>
          <t>У нас дешевле, объект в архиве</t>
        </is>
      </c>
      <c r="J9" t="inlineStr"/>
      <c r="K9">
        <f>HYPERLINK("https://realty.yandex.ru/offer/6874493034359234049","ссылка")</f>
        <v/>
      </c>
      <c r="L9">
        <f>HYPERLINK("https://app.worldcafe.ru/object/13424","ссылка")</f>
        <v/>
      </c>
    </row>
    <row r="10">
      <c r="A10" t="n">
        <v>36</v>
      </c>
      <c r="B10" t="inlineStr"/>
      <c r="C10" t="inlineStr">
        <is>
          <t>проспект Римского-Корсакова, 93</t>
        </is>
      </c>
      <c r="D10" t="n">
        <v>100</v>
      </c>
      <c r="E10" t="n">
        <v>100</v>
      </c>
      <c r="F10" t="n">
        <v>0</v>
      </c>
      <c r="G10" t="inlineStr">
        <is>
          <t>35 500 000</t>
        </is>
      </c>
      <c r="H10" t="inlineStr">
        <is>
          <t>32 300 000</t>
        </is>
      </c>
      <c r="I10" t="inlineStr">
        <is>
          <t>У нас дешевле, объект на сайте</t>
        </is>
      </c>
      <c r="J10" t="inlineStr"/>
      <c r="K10">
        <f>HYPERLINK("https://realty.yandex.ru/offer/3900647431537073921","ссылка")</f>
        <v/>
      </c>
      <c r="L10">
        <f>HYPERLINK("https://app.worldcafe.ru/object/10634","ссылка")</f>
        <v/>
      </c>
    </row>
    <row r="11">
      <c r="A11" t="n">
        <v>41</v>
      </c>
      <c r="B11" t="inlineStr"/>
      <c r="C11" t="inlineStr">
        <is>
          <t>Московский проспект, 73к3</t>
        </is>
      </c>
      <c r="D11" t="n">
        <v>247</v>
      </c>
      <c r="E11" t="n">
        <v>247.7</v>
      </c>
      <c r="F11" t="n">
        <v>0.7</v>
      </c>
      <c r="G11" t="inlineStr">
        <is>
          <t>107 000 000</t>
        </is>
      </c>
      <c r="H11" t="inlineStr">
        <is>
          <t>0</t>
        </is>
      </c>
      <c r="I11" t="inlineStr">
        <is>
          <t>У нас дешевле, объект в архиве</t>
        </is>
      </c>
      <c r="J11" t="inlineStr"/>
      <c r="K11">
        <f>HYPERLINK("https://realty.yandex.ru/offer/8225120999456762625","ссылка")</f>
        <v/>
      </c>
      <c r="L11">
        <f>HYPERLINK("https://app.worldcafe.ru/object/18672","ссылка")</f>
        <v/>
      </c>
    </row>
    <row r="12">
      <c r="A12" t="n">
        <v>47</v>
      </c>
      <c r="B12" t="inlineStr"/>
      <c r="C12" t="inlineStr">
        <is>
          <t>Невский проспект, 184</t>
        </is>
      </c>
      <c r="D12" t="n">
        <v>57.4</v>
      </c>
      <c r="E12" t="n">
        <v>57.4</v>
      </c>
      <c r="F12" t="n">
        <v>0</v>
      </c>
      <c r="G12" t="inlineStr">
        <is>
          <t>30 000 000</t>
        </is>
      </c>
      <c r="H12" t="inlineStr">
        <is>
          <t>25 000 000</t>
        </is>
      </c>
      <c r="I12" t="inlineStr">
        <is>
          <t>У нас дешевле, объект в архиве</t>
        </is>
      </c>
      <c r="J12" t="inlineStr"/>
      <c r="K12">
        <f>HYPERLINK("https://realty.yandex.ru/offer/3565114199485979393","ссылка")</f>
        <v/>
      </c>
      <c r="L12">
        <f>HYPERLINK("https://app.worldcafe.ru/object/13595","ссылка")</f>
        <v/>
      </c>
    </row>
    <row r="13">
      <c r="A13" t="n">
        <v>48</v>
      </c>
      <c r="B13" t="inlineStr"/>
      <c r="C13" t="inlineStr">
        <is>
          <t>Новочеркасский проспект, 43/17</t>
        </is>
      </c>
      <c r="D13" t="n">
        <v>164.1</v>
      </c>
      <c r="E13" t="n">
        <v>164.1</v>
      </c>
      <c r="F13" t="n">
        <v>0</v>
      </c>
      <c r="G13" t="inlineStr">
        <is>
          <t>42 000 000</t>
        </is>
      </c>
      <c r="H13" t="inlineStr">
        <is>
          <t>38 000 000</t>
        </is>
      </c>
      <c r="I13" t="inlineStr">
        <is>
          <t>У нас дешевле, объект в архиве</t>
        </is>
      </c>
      <c r="J13" t="inlineStr"/>
      <c r="K13">
        <f>HYPERLINK("https://realty.yandex.ru/offer/6122987934380319489","ссылка")</f>
        <v/>
      </c>
      <c r="L13">
        <f>HYPERLINK("https://app.worldcafe.ru/object/13326","ссылка")</f>
        <v/>
      </c>
    </row>
    <row r="14">
      <c r="A14" t="n">
        <v>51</v>
      </c>
      <c r="B14" t="inlineStr"/>
      <c r="C14" t="inlineStr">
        <is>
          <t>3-я Советская улица, 24</t>
        </is>
      </c>
      <c r="D14" t="n">
        <v>80.40000000000001</v>
      </c>
      <c r="E14" t="n">
        <v>80.40000000000001</v>
      </c>
      <c r="F14" t="n">
        <v>0</v>
      </c>
      <c r="G14" t="inlineStr">
        <is>
          <t>23 000 000</t>
        </is>
      </c>
      <c r="H14" t="inlineStr">
        <is>
          <t>21 000 000</t>
        </is>
      </c>
      <c r="I14" t="inlineStr">
        <is>
          <t>У нас дешевле, объект в архиве</t>
        </is>
      </c>
      <c r="J14" t="inlineStr"/>
      <c r="K14">
        <f>HYPERLINK("https://realty.yandex.ru/offer/3500409202433188097","ссылка")</f>
        <v/>
      </c>
      <c r="L14">
        <f>HYPERLINK("https://app.worldcafe.ru/object/18581","ссылка")</f>
        <v/>
      </c>
    </row>
    <row r="15">
      <c r="A15" t="n">
        <v>54</v>
      </c>
      <c r="B15" t="inlineStr"/>
      <c r="C15" t="inlineStr">
        <is>
          <t>улица Александра Невского, 3</t>
        </is>
      </c>
      <c r="D15" t="n">
        <v>250</v>
      </c>
      <c r="E15" t="n">
        <v>249</v>
      </c>
      <c r="F15" t="n">
        <v>1</v>
      </c>
      <c r="G15" t="inlineStr">
        <is>
          <t>89 000 000</t>
        </is>
      </c>
      <c r="H15" t="inlineStr">
        <is>
          <t>74 990 000</t>
        </is>
      </c>
      <c r="I15" t="inlineStr">
        <is>
          <t>У нас дешевле, объект в архиве</t>
        </is>
      </c>
      <c r="J15" t="inlineStr"/>
      <c r="K15">
        <f>HYPERLINK("https://realty.yandex.ru/offer/1602627205167244289","ссылка")</f>
        <v/>
      </c>
      <c r="L15">
        <f>HYPERLINK("https://app.worldcafe.ru/object/10063","ссылка")</f>
        <v/>
      </c>
    </row>
    <row r="16">
      <c r="A16" t="n">
        <v>55</v>
      </c>
      <c r="B16" t="inlineStr"/>
      <c r="C16" t="inlineStr">
        <is>
          <t>улица Маяковского, 16</t>
        </is>
      </c>
      <c r="D16" t="n">
        <v>71.90000000000001</v>
      </c>
      <c r="E16" t="n">
        <v>71.90000000000001</v>
      </c>
      <c r="F16" t="n">
        <v>0</v>
      </c>
      <c r="G16" t="inlineStr">
        <is>
          <t>48 600 000</t>
        </is>
      </c>
      <c r="H16" t="inlineStr">
        <is>
          <t>26 000 000</t>
        </is>
      </c>
      <c r="I16" t="inlineStr">
        <is>
          <t>У нас дешевле, объект в архиве</t>
        </is>
      </c>
      <c r="J16" t="inlineStr"/>
      <c r="K16">
        <f>HYPERLINK("https://realty.yandex.ru/offer/6535611583572966145","ссылка")</f>
        <v/>
      </c>
      <c r="L16">
        <f>HYPERLINK("https://app.worldcafe.ru/object/13828","ссылка")</f>
        <v/>
      </c>
    </row>
    <row r="17">
      <c r="A17" t="n">
        <v>56</v>
      </c>
      <c r="B17" t="inlineStr"/>
      <c r="C17" t="inlineStr">
        <is>
          <t>Фурштатская улица, 32</t>
        </is>
      </c>
      <c r="D17" t="n">
        <v>93.7</v>
      </c>
      <c r="E17" t="n">
        <v>93.7</v>
      </c>
      <c r="F17" t="n">
        <v>0</v>
      </c>
      <c r="G17" t="inlineStr">
        <is>
          <t>17 000 000</t>
        </is>
      </c>
      <c r="H17" t="inlineStr">
        <is>
          <t>16 000 000</t>
        </is>
      </c>
      <c r="I17" t="inlineStr">
        <is>
          <t>У нас дешевле, объект в архиве</t>
        </is>
      </c>
      <c r="J17" t="inlineStr"/>
      <c r="K17">
        <f>HYPERLINK("https://realty.yandex.ru/offer/3492419100970467073","ссылка")</f>
        <v/>
      </c>
      <c r="L17">
        <f>HYPERLINK("https://app.worldcafe.ru/object/13291","ссылка")</f>
        <v/>
      </c>
    </row>
    <row r="18">
      <c r="A18" t="n">
        <v>59</v>
      </c>
      <c r="B18" t="inlineStr"/>
      <c r="C18" t="inlineStr">
        <is>
          <t>Большая Конюшенная улица, 5</t>
        </is>
      </c>
      <c r="D18" t="n">
        <v>221</v>
      </c>
      <c r="E18" t="n">
        <v>221</v>
      </c>
      <c r="F18" t="n">
        <v>0</v>
      </c>
      <c r="G18" t="inlineStr">
        <is>
          <t>140 000 000</t>
        </is>
      </c>
      <c r="H18" t="inlineStr">
        <is>
          <t>120 000 000</t>
        </is>
      </c>
      <c r="I18" t="inlineStr">
        <is>
          <t>У нас дешевле, объект в архиве</t>
        </is>
      </c>
      <c r="J18" t="inlineStr"/>
      <c r="K18">
        <f>HYPERLINK("https://realty.yandex.ru/offer/282470113688826369","ссылка")</f>
        <v/>
      </c>
      <c r="L18">
        <f>HYPERLINK("https://app.worldcafe.ru/object/14688","ссылка")</f>
        <v/>
      </c>
    </row>
    <row r="19">
      <c r="A19" t="n">
        <v>60</v>
      </c>
      <c r="B19" t="inlineStr"/>
      <c r="C19" t="inlineStr">
        <is>
          <t>Большая Конюшенная улица, 7</t>
        </is>
      </c>
      <c r="D19" t="n">
        <v>159.4</v>
      </c>
      <c r="E19" t="n">
        <v>159.4</v>
      </c>
      <c r="F19" t="n">
        <v>0</v>
      </c>
      <c r="G19" t="inlineStr">
        <is>
          <t>83 000 000</t>
        </is>
      </c>
      <c r="H19" t="inlineStr">
        <is>
          <t>0</t>
        </is>
      </c>
      <c r="I19" t="inlineStr">
        <is>
          <t>У нас дешевле, объект в архиве</t>
        </is>
      </c>
      <c r="J19" t="inlineStr"/>
      <c r="K19">
        <f>HYPERLINK("https://realty.yandex.ru/offer/8322462528696163073","ссылка")</f>
        <v/>
      </c>
      <c r="L19">
        <f>HYPERLINK("https://app.worldcafe.ru/object/18941","ссылка")</f>
        <v/>
      </c>
    </row>
    <row r="20">
      <c r="A20" t="n">
        <v>64</v>
      </c>
      <c r="B20" t="inlineStr"/>
      <c r="C20" t="inlineStr">
        <is>
          <t>Наличная улица, 26к1</t>
        </is>
      </c>
      <c r="D20" t="n">
        <v>151</v>
      </c>
      <c r="E20" t="n">
        <v>151.2</v>
      </c>
      <c r="F20" t="n">
        <v>0.2</v>
      </c>
      <c r="G20" t="inlineStr">
        <is>
          <t>75 900 000</t>
        </is>
      </c>
      <c r="H20" t="inlineStr">
        <is>
          <t>68 000 000</t>
        </is>
      </c>
      <c r="I20" t="inlineStr">
        <is>
          <t>У нас дешевле, объект на сайте</t>
        </is>
      </c>
      <c r="J20" t="inlineStr"/>
      <c r="K20">
        <f>HYPERLINK("https://realty.yandex.ru/offer/4058745560625187841","ссылка")</f>
        <v/>
      </c>
      <c r="L20">
        <f>HYPERLINK("https://app.worldcafe.ru/object/14198","ссылка")</f>
        <v/>
      </c>
    </row>
    <row r="21">
      <c r="A21" t="n">
        <v>65</v>
      </c>
      <c r="B21" t="inlineStr"/>
      <c r="C21" t="inlineStr">
        <is>
          <t>Лесной проспект, 59к5-6Е</t>
        </is>
      </c>
      <c r="D21" t="n">
        <v>115.9</v>
      </c>
      <c r="E21" t="n">
        <v>115.9</v>
      </c>
      <c r="F21" t="n">
        <v>0</v>
      </c>
      <c r="G21" t="inlineStr">
        <is>
          <t>53 000 000</t>
        </is>
      </c>
      <c r="H21" t="inlineStr">
        <is>
          <t>15 500 000</t>
        </is>
      </c>
      <c r="I21" t="inlineStr">
        <is>
          <t>У нас дешевле, объект в архиве</t>
        </is>
      </c>
      <c r="J21" t="inlineStr"/>
      <c r="K21">
        <f>HYPERLINK("https://realty.yandex.ru/offer/3208658338417100289","ссылка")</f>
        <v/>
      </c>
      <c r="L21">
        <f>HYPERLINK("https://app.worldcafe.ru/object/11542","ссылка")</f>
        <v/>
      </c>
    </row>
    <row r="22">
      <c r="A22" t="n">
        <v>69</v>
      </c>
      <c r="B22" t="inlineStr"/>
      <c r="C22" t="inlineStr">
        <is>
          <t>Наличная улица, 44к1</t>
        </is>
      </c>
      <c r="D22" t="n">
        <v>271</v>
      </c>
      <c r="E22" t="n">
        <v>271.5</v>
      </c>
      <c r="F22" t="n">
        <v>0.5</v>
      </c>
      <c r="G22" t="inlineStr">
        <is>
          <t>120 000 000</t>
        </is>
      </c>
      <c r="H22" t="inlineStr">
        <is>
          <t>100 000 000</t>
        </is>
      </c>
      <c r="I22" t="inlineStr">
        <is>
          <t>У нас дешевле, объект в архиве</t>
        </is>
      </c>
      <c r="J22" t="inlineStr"/>
      <c r="K22">
        <f>HYPERLINK("https://realty.yandex.ru/offer/3164896873361502465","ссылка")</f>
        <v/>
      </c>
      <c r="L22">
        <f>HYPERLINK("https://app.worldcafe.ru/object/12000","ссылка")</f>
        <v/>
      </c>
    </row>
    <row r="23">
      <c r="A23" t="n">
        <v>72</v>
      </c>
      <c r="B23" t="inlineStr"/>
      <c r="C23" t="inlineStr">
        <is>
          <t>Литейный проспект, 60</t>
        </is>
      </c>
      <c r="D23" t="n">
        <v>223.2</v>
      </c>
      <c r="E23" t="n">
        <v>223</v>
      </c>
      <c r="F23" t="n">
        <v>0.2</v>
      </c>
      <c r="G23" t="inlineStr">
        <is>
          <t>130 000 000</t>
        </is>
      </c>
      <c r="H23" t="inlineStr">
        <is>
          <t>90 000 000</t>
        </is>
      </c>
      <c r="I23" t="inlineStr">
        <is>
          <t>У нас дешевле, объект в архиве</t>
        </is>
      </c>
      <c r="J23" t="inlineStr"/>
      <c r="K23">
        <f>HYPERLINK("https://realty.yandex.ru/offer/4062059412614219265","ссылка")</f>
        <v/>
      </c>
      <c r="L23">
        <f>HYPERLINK("https://app.worldcafe.ru/object/8738","ссылка")</f>
        <v/>
      </c>
    </row>
    <row r="24">
      <c r="A24" t="n">
        <v>85</v>
      </c>
      <c r="B24" t="inlineStr"/>
      <c r="C24" t="inlineStr">
        <is>
          <t>Северный проспект, 40</t>
        </is>
      </c>
      <c r="D24" t="n">
        <v>3586.7</v>
      </c>
      <c r="E24" t="n">
        <v>3586.7</v>
      </c>
      <c r="F24" t="n">
        <v>0</v>
      </c>
      <c r="G24" t="inlineStr">
        <is>
          <t>350 000 000</t>
        </is>
      </c>
      <c r="H24" t="inlineStr">
        <is>
          <t>349 950 000</t>
        </is>
      </c>
      <c r="I24" t="inlineStr">
        <is>
          <t>У нас дешевле, объект в архиве</t>
        </is>
      </c>
      <c r="J24" t="inlineStr"/>
      <c r="K24">
        <f>HYPERLINK("https://realty.yandex.ru/offer/3740604507814073089","ссылка")</f>
        <v/>
      </c>
      <c r="L24">
        <f>HYPERLINK("https://app.worldcafe.ru/object/15612","ссылка")</f>
        <v/>
      </c>
    </row>
    <row r="25">
      <c r="A25" t="n">
        <v>87</v>
      </c>
      <c r="B25" t="inlineStr"/>
      <c r="C25" t="inlineStr">
        <is>
          <t>Орлово-Денисовский проспект, 19к1</t>
        </is>
      </c>
      <c r="D25" t="n">
        <v>316.3</v>
      </c>
      <c r="E25" t="n">
        <v>315</v>
      </c>
      <c r="F25" t="n">
        <v>1.3</v>
      </c>
      <c r="G25" t="inlineStr">
        <is>
          <t>120 000 000</t>
        </is>
      </c>
      <c r="H25" t="inlineStr">
        <is>
          <t>80 000 000</t>
        </is>
      </c>
      <c r="I25" t="inlineStr">
        <is>
          <t>У нас дешевле, объект в архиве</t>
        </is>
      </c>
      <c r="J25" t="inlineStr"/>
      <c r="K25">
        <f>HYPERLINK("https://realty.yandex.ru/offer/2930121978527983105","ссылка")</f>
        <v/>
      </c>
      <c r="L25">
        <f>HYPERLINK("https://app.worldcafe.ru/object/13135","ссылка")</f>
        <v/>
      </c>
    </row>
    <row r="26">
      <c r="A26" t="n">
        <v>42</v>
      </c>
      <c r="B26" t="inlineStr"/>
      <c r="C26" t="inlineStr">
        <is>
          <t>проспект Стачек, 44</t>
        </is>
      </c>
      <c r="D26" t="n">
        <v>59.1</v>
      </c>
      <c r="E26" t="n">
        <v>60</v>
      </c>
      <c r="F26" t="n">
        <v>0.9</v>
      </c>
      <c r="G26" t="inlineStr">
        <is>
          <t>20 000 000</t>
        </is>
      </c>
      <c r="H26" t="inlineStr">
        <is>
          <t>120 000</t>
        </is>
      </c>
      <c r="I26" t="inlineStr">
        <is>
          <t>У нас дешевле, объект в архиве, у нас другая сделка</t>
        </is>
      </c>
      <c r="J26" t="inlineStr"/>
      <c r="K26">
        <f>HYPERLINK("https://realty.yandex.ru/offer/8784643666755544833","ссылка")</f>
        <v/>
      </c>
      <c r="L26">
        <f>HYPERLINK("https://app.worldcafe.ru/object/9805","ссылка")</f>
        <v/>
      </c>
    </row>
    <row r="27">
      <c r="A27" t="n">
        <v>16</v>
      </c>
      <c r="B27" t="inlineStr"/>
      <c r="C27" t="inlineStr">
        <is>
          <t>Лиговский проспект, 271</t>
        </is>
      </c>
      <c r="D27" t="n">
        <v>132.2</v>
      </c>
      <c r="E27" t="n">
        <v>132</v>
      </c>
      <c r="F27" t="n">
        <v>0.2</v>
      </c>
      <c r="G27" t="inlineStr">
        <is>
          <t>38 000 000</t>
        </is>
      </c>
      <c r="H27" t="inlineStr">
        <is>
          <t>53 000 000</t>
        </is>
      </c>
      <c r="I27" t="inlineStr">
        <is>
          <t>У нас дороже, объект на сайте</t>
        </is>
      </c>
      <c r="J27" t="inlineStr"/>
      <c r="K27">
        <f>HYPERLINK("https://realty.yandex.ru/offer/8847170730335890689","ссылка")</f>
        <v/>
      </c>
      <c r="L27">
        <f>HYPERLINK("https://app.worldcafe.ru/object/20204","ссылка")</f>
        <v/>
      </c>
    </row>
    <row r="28">
      <c r="A28" t="n">
        <v>50</v>
      </c>
      <c r="B28" t="inlineStr"/>
      <c r="C28" t="inlineStr">
        <is>
          <t>Пушкинская улица, 9</t>
        </is>
      </c>
      <c r="D28" t="n">
        <v>216</v>
      </c>
      <c r="E28" t="n">
        <v>216.9</v>
      </c>
      <c r="F28" t="n">
        <v>0.9</v>
      </c>
      <c r="G28" t="inlineStr">
        <is>
          <t>40 000 000</t>
        </is>
      </c>
      <c r="H28" t="inlineStr">
        <is>
          <t>42 000 000</t>
        </is>
      </c>
      <c r="I28" t="inlineStr">
        <is>
          <t>У нас дороже, объект в архиве</t>
        </is>
      </c>
      <c r="J28" t="inlineStr"/>
      <c r="K28">
        <f>HYPERLINK("https://realty.yandex.ru/offer/5529294142099991809","ссылка")</f>
        <v/>
      </c>
      <c r="L28">
        <f>HYPERLINK("https://app.worldcafe.ru/object/13683","ссылка")</f>
        <v/>
      </c>
    </row>
    <row r="29">
      <c r="A29" t="n">
        <v>61</v>
      </c>
      <c r="B29" t="inlineStr"/>
      <c r="C29" t="inlineStr">
        <is>
          <t>Большая Конюшенная улица, 5</t>
        </is>
      </c>
      <c r="D29" t="n">
        <v>291</v>
      </c>
      <c r="E29" t="n">
        <v>292</v>
      </c>
      <c r="F29" t="n">
        <v>1</v>
      </c>
      <c r="G29" t="inlineStr">
        <is>
          <t>105 000 000</t>
        </is>
      </c>
      <c r="H29" t="inlineStr">
        <is>
          <t>110 000 000</t>
        </is>
      </c>
      <c r="I29" t="inlineStr">
        <is>
          <t>У нас дороже, объект на сайте</t>
        </is>
      </c>
      <c r="J29" t="inlineStr"/>
      <c r="K29">
        <f>HYPERLINK("https://realty.yandex.ru/offer/2300743581088346625","ссылка")</f>
        <v/>
      </c>
      <c r="L29">
        <f>HYPERLINK("https://app.worldcafe.ru/object/14689","ссылка")</f>
        <v/>
      </c>
    </row>
    <row r="30">
      <c r="A30" t="n">
        <v>71</v>
      </c>
      <c r="B30" t="inlineStr"/>
      <c r="C30" t="inlineStr">
        <is>
          <t>улица Якубовича, 2</t>
        </is>
      </c>
      <c r="D30" t="n">
        <v>105.8</v>
      </c>
      <c r="E30" t="n">
        <v>105.8</v>
      </c>
      <c r="F30" t="n">
        <v>0</v>
      </c>
      <c r="G30" t="inlineStr">
        <is>
          <t>51 950 000</t>
        </is>
      </c>
      <c r="H30" t="inlineStr">
        <is>
          <t>55 000 000</t>
        </is>
      </c>
      <c r="I30" t="inlineStr">
        <is>
          <t>У нас дороже, объект на сайте</t>
        </is>
      </c>
      <c r="J30" t="inlineStr"/>
      <c r="K30">
        <f>HYPERLINK("https://realty.yandex.ru/offer/2691262429691796225","ссылка")</f>
        <v/>
      </c>
      <c r="L30">
        <f>HYPERLINK("https://app.worldcafe.ru/object/18553","ссылка")</f>
        <v/>
      </c>
    </row>
    <row r="31">
      <c r="A31" t="n">
        <v>19</v>
      </c>
      <c r="B31" t="inlineStr"/>
      <c r="C31" t="inlineStr">
        <is>
          <t>Гороховая улица, 39</t>
        </is>
      </c>
      <c r="D31" t="n">
        <v>128</v>
      </c>
      <c r="E31" t="n">
        <v>128</v>
      </c>
      <c r="F31" t="n">
        <v>0</v>
      </c>
      <c r="G31" t="inlineStr">
        <is>
          <t>39 000 000</t>
        </is>
      </c>
      <c r="H31" t="inlineStr">
        <is>
          <t>39 000 000</t>
        </is>
      </c>
      <c r="I31" t="inlineStr">
        <is>
          <t>Цена равна, объект на сайте</t>
        </is>
      </c>
      <c r="J31" t="inlineStr"/>
      <c r="K31">
        <f>HYPERLINK("https://realty.yandex.ru/offer/5483690352973364225","ссылка")</f>
        <v/>
      </c>
      <c r="L31">
        <f>HYPERLINK("https://app.worldcafe.ru/object/13309","ссылка")</f>
        <v/>
      </c>
    </row>
    <row r="32">
      <c r="A32" t="n">
        <v>21</v>
      </c>
      <c r="B32" t="inlineStr"/>
      <c r="C32" t="inlineStr">
        <is>
          <t>Невский проспект, 91</t>
        </is>
      </c>
      <c r="D32" t="n">
        <v>301</v>
      </c>
      <c r="E32" t="n">
        <v>301</v>
      </c>
      <c r="F32" t="n">
        <v>0</v>
      </c>
      <c r="G32" t="inlineStr">
        <is>
          <t>99 000 000</t>
        </is>
      </c>
      <c r="H32" t="inlineStr">
        <is>
          <t>99 000 000</t>
        </is>
      </c>
      <c r="I32" t="inlineStr">
        <is>
          <t>Цена равна, объект на сайте</t>
        </is>
      </c>
      <c r="J32" t="inlineStr"/>
      <c r="K32">
        <f>HYPERLINK("https://realty.yandex.ru/offer/5141175542932322817","ссылка")</f>
        <v/>
      </c>
      <c r="L32">
        <f>HYPERLINK("https://app.worldcafe.ru/object/14754","ссылка")</f>
        <v/>
      </c>
    </row>
    <row r="33">
      <c r="A33" t="n">
        <v>49</v>
      </c>
      <c r="B33" t="inlineStr"/>
      <c r="C33" t="inlineStr">
        <is>
          <t>Гороховая улица, 46</t>
        </is>
      </c>
      <c r="D33" t="n">
        <v>100.4</v>
      </c>
      <c r="E33" t="n">
        <v>100</v>
      </c>
      <c r="F33" t="n">
        <v>0.4</v>
      </c>
      <c r="G33" t="inlineStr">
        <is>
          <t>50 000 000</t>
        </is>
      </c>
      <c r="H33" t="inlineStr">
        <is>
          <t>50 000 000</t>
        </is>
      </c>
      <c r="I33" t="inlineStr">
        <is>
          <t>Цена равна, объект на сайте</t>
        </is>
      </c>
      <c r="J33" t="inlineStr"/>
      <c r="K33">
        <f>HYPERLINK("https://realty.yandex.ru/offer/4457280704782177793","ссылка")</f>
        <v/>
      </c>
      <c r="L33">
        <f>HYPERLINK("https://app.worldcafe.ru/object/8237","ссылка")</f>
        <v/>
      </c>
    </row>
    <row r="34">
      <c r="A34" t="n">
        <v>53</v>
      </c>
      <c r="B34" t="inlineStr"/>
      <c r="C34" t="inlineStr">
        <is>
          <t>Невский проспект, 131Б</t>
        </is>
      </c>
      <c r="D34" t="n">
        <v>135</v>
      </c>
      <c r="E34" t="n">
        <v>135</v>
      </c>
      <c r="F34" t="n">
        <v>0</v>
      </c>
      <c r="G34" t="inlineStr">
        <is>
          <t>37 000 000</t>
        </is>
      </c>
      <c r="H34" t="inlineStr">
        <is>
          <t>37 000 000</t>
        </is>
      </c>
      <c r="I34" t="inlineStr">
        <is>
          <t>Цена равна, объект в архиве</t>
        </is>
      </c>
      <c r="J34" t="inlineStr"/>
      <c r="K34">
        <f>HYPERLINK("https://realty.yandex.ru/offer/4017765957708744705","ссылка")</f>
        <v/>
      </c>
      <c r="L34">
        <f>HYPERLINK("https://app.worldcafe.ru/object/9579","ссылка")</f>
        <v/>
      </c>
    </row>
    <row r="35">
      <c r="A35" t="n">
        <v>63</v>
      </c>
      <c r="B35" t="inlineStr"/>
      <c r="C35" t="inlineStr">
        <is>
          <t>Большая Зеленина улица, 31/1</t>
        </is>
      </c>
      <c r="D35" t="n">
        <v>199.4</v>
      </c>
      <c r="E35" t="n">
        <v>200</v>
      </c>
      <c r="F35" t="n">
        <v>0.6</v>
      </c>
      <c r="G35" t="inlineStr">
        <is>
          <t>130 000 000</t>
        </is>
      </c>
      <c r="H35" t="inlineStr">
        <is>
          <t>130 000 000</t>
        </is>
      </c>
      <c r="I35" t="inlineStr">
        <is>
          <t>Цена равна, объект на сайте</t>
        </is>
      </c>
      <c r="J35" t="inlineStr"/>
      <c r="K35">
        <f>HYPERLINK("https://realty.yandex.ru/offer/5981852229137892097","ссылка")</f>
        <v/>
      </c>
      <c r="L35">
        <f>HYPERLINK("https://app.worldcafe.ru/object/12951","ссылка")</f>
        <v/>
      </c>
    </row>
    <row r="36">
      <c r="A36" t="n">
        <v>89</v>
      </c>
      <c r="B36" t="inlineStr"/>
      <c r="C36" t="inlineStr">
        <is>
          <t>Суздальское шоссе, 26к1</t>
        </is>
      </c>
      <c r="D36" t="n">
        <v>901.5</v>
      </c>
      <c r="E36" t="n">
        <v>901.5</v>
      </c>
      <c r="F36" t="n">
        <v>0</v>
      </c>
      <c r="G36" t="inlineStr">
        <is>
          <t>150 000 000</t>
        </is>
      </c>
      <c r="H36" t="inlineStr">
        <is>
          <t>150 000 000</t>
        </is>
      </c>
      <c r="I36" t="inlineStr">
        <is>
          <t>Цена равна, объект в архиве</t>
        </is>
      </c>
      <c r="J36" t="inlineStr"/>
      <c r="K36">
        <f>HYPERLINK("https://realty.yandex.ru/offer/6284624648203634945","ссылка")</f>
        <v/>
      </c>
      <c r="L36">
        <f>HYPERLINK("https://app.worldcafe.ru/object/15621","ссылка")</f>
        <v/>
      </c>
    </row>
    <row r="37">
      <c r="A37" t="n">
        <v>8</v>
      </c>
      <c r="B37" t="inlineStr"/>
      <c r="C37" t="inlineStr">
        <is>
          <t>Московский проспект, 163</t>
        </is>
      </c>
      <c r="D37" t="n">
        <v>161</v>
      </c>
      <c r="E37" t="n">
        <v>161</v>
      </c>
      <c r="F37" t="n">
        <v>0</v>
      </c>
      <c r="G37" t="inlineStr">
        <is>
          <t>95 000 000</t>
        </is>
      </c>
      <c r="H37" t="inlineStr"/>
      <c r="I37" t="inlineStr">
        <is>
          <t>Цена равна</t>
        </is>
      </c>
      <c r="J37" t="inlineStr"/>
      <c r="K37">
        <f>HYPERLINK("https://realty.yandex.ru/offer/3365818631286352641","ссылка")</f>
        <v/>
      </c>
      <c r="L37" t="inlineStr"/>
    </row>
    <row r="38">
      <c r="A38" t="n">
        <v>80</v>
      </c>
      <c r="B38" t="inlineStr"/>
      <c r="C38" t="inlineStr">
        <is>
          <t>улица Бабушкина, 131к2</t>
        </is>
      </c>
      <c r="D38" t="n">
        <v>456.2</v>
      </c>
      <c r="E38" t="n">
        <v>456.2</v>
      </c>
      <c r="F38" t="n">
        <v>0</v>
      </c>
      <c r="G38" t="inlineStr">
        <is>
          <t>56 000 000</t>
        </is>
      </c>
      <c r="H38" t="inlineStr"/>
      <c r="I38" t="inlineStr">
        <is>
          <t>Цена равна</t>
        </is>
      </c>
      <c r="J38" t="inlineStr"/>
      <c r="K38">
        <f>HYPERLINK("https://realty.yandex.ru/offer/939310045242841601","ссылка")</f>
        <v/>
      </c>
      <c r="L38" t="inlineStr"/>
    </row>
    <row r="39">
      <c r="A39" t="n">
        <v>2</v>
      </c>
      <c r="B39" t="inlineStr"/>
      <c r="C39" t="inlineStr">
        <is>
          <t>посёлок Шушары, Московское шоссе, 258к1</t>
        </is>
      </c>
      <c r="D39" t="n">
        <v>94.09999999999999</v>
      </c>
      <c r="E39" t="n">
        <v>104</v>
      </c>
      <c r="F39" t="n">
        <v>9.9</v>
      </c>
      <c r="G39" t="inlineStr">
        <is>
          <t>20 000 000</t>
        </is>
      </c>
      <c r="H39" t="inlineStr">
        <is>
          <t>9 800 000</t>
        </is>
      </c>
      <c r="I39" t="inlineStr">
        <is>
          <t>По адресу есть, но площадь другая, объект в архиве</t>
        </is>
      </c>
      <c r="J39" t="inlineStr"/>
      <c r="K39">
        <f>HYPERLINK("https://realty.yandex.ru/offer/2356319406894622209","ссылка")</f>
        <v/>
      </c>
      <c r="L39">
        <f>HYPERLINK("https://app.worldcafe.ru/object/18949","ссылка")</f>
        <v/>
      </c>
    </row>
    <row r="40">
      <c r="A40" t="n">
        <v>17</v>
      </c>
      <c r="B40" t="inlineStr"/>
      <c r="C40" t="inlineStr">
        <is>
          <t>Большой Сампсониевский проспект, 62</t>
        </is>
      </c>
      <c r="D40" t="n">
        <v>1400</v>
      </c>
      <c r="E40" t="n">
        <v>449.9</v>
      </c>
      <c r="F40" t="n">
        <v>950.1</v>
      </c>
      <c r="G40" t="inlineStr">
        <is>
          <t>350 000 000</t>
        </is>
      </c>
      <c r="H40" t="inlineStr">
        <is>
          <t>0</t>
        </is>
      </c>
      <c r="I40" t="inlineStr">
        <is>
          <t>По адресу есть, но площадь другая, объект в архиве</t>
        </is>
      </c>
      <c r="J40" t="inlineStr"/>
      <c r="K40">
        <f>HYPERLINK("https://realty.yandex.ru/offer/5548233127892689665","ссылка")</f>
        <v/>
      </c>
      <c r="L40">
        <f>HYPERLINK("https://app.worldcafe.ru/object/18579","ссылка")</f>
        <v/>
      </c>
    </row>
    <row r="41">
      <c r="A41" t="n">
        <v>20</v>
      </c>
      <c r="B41" t="inlineStr"/>
      <c r="C41" t="inlineStr">
        <is>
          <t>1-я Красноармейская улица, 2</t>
        </is>
      </c>
      <c r="D41" t="n">
        <v>252</v>
      </c>
      <c r="E41" t="n">
        <v>94.40000000000001</v>
      </c>
      <c r="F41" t="n">
        <v>157.6</v>
      </c>
      <c r="G41" t="inlineStr">
        <is>
          <t>180 000 000</t>
        </is>
      </c>
      <c r="H41" t="inlineStr">
        <is>
          <t>80 000 000</t>
        </is>
      </c>
      <c r="I41" t="inlineStr">
        <is>
          <t>По адресу есть, но площадь другая, объект в архиве</t>
        </is>
      </c>
      <c r="J41" t="inlineStr"/>
      <c r="K41">
        <f>HYPERLINK("https://realty.yandex.ru/offer/4825363084309329921","ссылка")</f>
        <v/>
      </c>
      <c r="L41">
        <f>HYPERLINK("https://app.worldcafe.ru/object/10462","ссылка")</f>
        <v/>
      </c>
    </row>
    <row r="42">
      <c r="A42" t="n">
        <v>32</v>
      </c>
      <c r="B42" t="inlineStr"/>
      <c r="C42" t="inlineStr">
        <is>
          <t>Исполкомская улица, 5</t>
        </is>
      </c>
      <c r="D42" t="n">
        <v>71.09999999999999</v>
      </c>
      <c r="E42" t="n">
        <v>110</v>
      </c>
      <c r="F42" t="n">
        <v>38.9</v>
      </c>
      <c r="G42" t="inlineStr">
        <is>
          <t>25 000 000</t>
        </is>
      </c>
      <c r="H42" t="inlineStr">
        <is>
          <t>250 000</t>
        </is>
      </c>
      <c r="I42" t="inlineStr">
        <is>
          <t>По адресу есть, но площадь другая, объект в архиве</t>
        </is>
      </c>
      <c r="J42" t="inlineStr"/>
      <c r="K42">
        <f>HYPERLINK("https://realty.yandex.ru/offer/530720270097436929","ссылка")</f>
        <v/>
      </c>
      <c r="L42">
        <f>HYPERLINK("https://app.worldcafe.ru/object/10538","ссылка")</f>
        <v/>
      </c>
    </row>
    <row r="43">
      <c r="A43" t="n">
        <v>37</v>
      </c>
      <c r="B43" t="inlineStr"/>
      <c r="C43" t="inlineStr">
        <is>
          <t>улица Рубинштейна, 26</t>
        </is>
      </c>
      <c r="D43" t="n">
        <v>256</v>
      </c>
      <c r="E43" t="n">
        <v>265</v>
      </c>
      <c r="F43" t="n">
        <v>9</v>
      </c>
      <c r="G43" t="inlineStr">
        <is>
          <t>200 000 000</t>
        </is>
      </c>
      <c r="H43" t="inlineStr">
        <is>
          <t>1</t>
        </is>
      </c>
      <c r="I43" t="inlineStr">
        <is>
          <t>По адресу есть, но площадь другая, объект в архиве</t>
        </is>
      </c>
      <c r="J43" t="inlineStr"/>
      <c r="K43">
        <f>HYPERLINK("https://realty.yandex.ru/offer/8024067245375224065","ссылка")</f>
        <v/>
      </c>
      <c r="L43">
        <f>HYPERLINK("https://app.worldcafe.ru/object/13437","ссылка")</f>
        <v/>
      </c>
    </row>
    <row r="44">
      <c r="A44" t="n">
        <v>40</v>
      </c>
      <c r="B44" t="inlineStr"/>
      <c r="C44" t="inlineStr">
        <is>
          <t>Разъезжая улица, 12</t>
        </is>
      </c>
      <c r="D44" t="n">
        <v>204</v>
      </c>
      <c r="E44" t="n">
        <v>210</v>
      </c>
      <c r="F44" t="n">
        <v>6</v>
      </c>
      <c r="G44" t="inlineStr">
        <is>
          <t>72 000 000</t>
        </is>
      </c>
      <c r="H44" t="inlineStr">
        <is>
          <t>58 700 000</t>
        </is>
      </c>
      <c r="I44" t="inlineStr">
        <is>
          <t>По адресу есть, но площадь другая, объект в архиве</t>
        </is>
      </c>
      <c r="J44" t="inlineStr"/>
      <c r="K44">
        <f>HYPERLINK("https://realty.yandex.ru/offer/31431429574606593","ссылка")</f>
        <v/>
      </c>
      <c r="L44">
        <f>HYPERLINK("https://app.worldcafe.ru/object/10047","ссылка")</f>
        <v/>
      </c>
    </row>
    <row r="45">
      <c r="A45" t="n">
        <v>45</v>
      </c>
      <c r="B45" t="inlineStr"/>
      <c r="C45" t="inlineStr">
        <is>
          <t>Гороховая улица, 22</t>
        </is>
      </c>
      <c r="D45" t="n">
        <v>121</v>
      </c>
      <c r="E45" t="n">
        <v>159</v>
      </c>
      <c r="F45" t="n">
        <v>38</v>
      </c>
      <c r="G45" t="inlineStr">
        <is>
          <t>65 000 000</t>
        </is>
      </c>
      <c r="H45" t="inlineStr">
        <is>
          <t>64 900 000</t>
        </is>
      </c>
      <c r="I45" t="inlineStr">
        <is>
          <t>По адресу есть, но площадь другая, объект на сайте</t>
        </is>
      </c>
      <c r="J45" t="inlineStr"/>
      <c r="K45">
        <f>HYPERLINK("https://realty.yandex.ru/offer/3231095587929045761","ссылка")</f>
        <v/>
      </c>
      <c r="L45">
        <f>HYPERLINK("https://app.worldcafe.ru/object/15543","ссылка")</f>
        <v/>
      </c>
    </row>
    <row r="46">
      <c r="A46" t="n">
        <v>46</v>
      </c>
      <c r="B46" t="inlineStr"/>
      <c r="C46" t="inlineStr">
        <is>
          <t>1-я Красноармейская улица, 15</t>
        </is>
      </c>
      <c r="D46" t="n">
        <v>7004</v>
      </c>
      <c r="E46" t="n">
        <v>7000.3</v>
      </c>
      <c r="F46" t="n">
        <v>3.7</v>
      </c>
      <c r="G46" t="inlineStr">
        <is>
          <t>1 100 000 000</t>
        </is>
      </c>
      <c r="H46" t="inlineStr">
        <is>
          <t>1 100 000 000</t>
        </is>
      </c>
      <c r="I46" t="inlineStr">
        <is>
          <t>По адресу есть, но площадь другая, объект в архиве</t>
        </is>
      </c>
      <c r="J46" t="inlineStr"/>
      <c r="K46">
        <f>HYPERLINK("https://realty.yandex.ru/offer/6186788018464806657","ссылка")</f>
        <v/>
      </c>
      <c r="L46">
        <f>HYPERLINK("https://app.worldcafe.ru/object/15364","ссылка")</f>
        <v/>
      </c>
    </row>
    <row r="47">
      <c r="A47" t="n">
        <v>57</v>
      </c>
      <c r="B47" t="inlineStr"/>
      <c r="C47" t="inlineStr">
        <is>
          <t>Малая Садовая улица, 1/25</t>
        </is>
      </c>
      <c r="D47" t="n">
        <v>170</v>
      </c>
      <c r="E47" t="n">
        <v>147</v>
      </c>
      <c r="F47" t="n">
        <v>23</v>
      </c>
      <c r="G47" t="inlineStr">
        <is>
          <t>57 000 000</t>
        </is>
      </c>
      <c r="H47" t="inlineStr">
        <is>
          <t>55 000 000</t>
        </is>
      </c>
      <c r="I47" t="inlineStr">
        <is>
          <t>По адресу есть, но площадь другая, объект в архиве</t>
        </is>
      </c>
      <c r="J47" t="inlineStr"/>
      <c r="K47">
        <f>HYPERLINK("https://realty.yandex.ru/offer/3298616302855998721","ссылка")</f>
        <v/>
      </c>
      <c r="L47">
        <f>HYPERLINK("https://app.worldcafe.ru/object/14009","ссылка")</f>
        <v/>
      </c>
    </row>
    <row r="48">
      <c r="A48" t="n">
        <v>58</v>
      </c>
      <c r="B48" t="inlineStr"/>
      <c r="C48" t="inlineStr">
        <is>
          <t>улица Жуковского, 49</t>
        </is>
      </c>
      <c r="D48" t="n">
        <v>189</v>
      </c>
      <c r="E48" t="n">
        <v>216</v>
      </c>
      <c r="F48" t="n">
        <v>27</v>
      </c>
      <c r="G48" t="inlineStr">
        <is>
          <t>95 000 000</t>
        </is>
      </c>
      <c r="H48" t="inlineStr">
        <is>
          <t>0</t>
        </is>
      </c>
      <c r="I48" t="inlineStr">
        <is>
          <t>По адресу есть, но площадь другая, объект в архиве</t>
        </is>
      </c>
      <c r="J48" t="inlineStr"/>
      <c r="K48">
        <f>HYPERLINK("https://realty.yandex.ru/offer/7094680782961777665","ссылка")</f>
        <v/>
      </c>
      <c r="L48">
        <f>HYPERLINK("https://app.worldcafe.ru/object/14173","ссылка")</f>
        <v/>
      </c>
    </row>
    <row r="49">
      <c r="A49" t="n">
        <v>62</v>
      </c>
      <c r="B49" t="inlineStr"/>
      <c r="C49" t="inlineStr">
        <is>
          <t>Литейный проспект, 43</t>
        </is>
      </c>
      <c r="D49" t="n">
        <v>151</v>
      </c>
      <c r="E49" t="n">
        <v>92</v>
      </c>
      <c r="F49" t="n">
        <v>59</v>
      </c>
      <c r="G49" t="inlineStr">
        <is>
          <t>95 000 000</t>
        </is>
      </c>
      <c r="H49" t="inlineStr">
        <is>
          <t>0</t>
        </is>
      </c>
      <c r="I49" t="inlineStr">
        <is>
          <t>По адресу есть, но площадь другая, объект в архиве</t>
        </is>
      </c>
      <c r="J49" t="inlineStr"/>
      <c r="K49">
        <f>HYPERLINK("https://realty.yandex.ru/offer/8615903984353611777","ссылка")</f>
        <v/>
      </c>
      <c r="L49">
        <f>HYPERLINK("https://app.worldcafe.ru/object/14249","ссылка")</f>
        <v/>
      </c>
    </row>
    <row r="50">
      <c r="A50" t="n">
        <v>66</v>
      </c>
      <c r="B50" t="inlineStr"/>
      <c r="C50" t="inlineStr">
        <is>
          <t>Шкиперский проток, 21</t>
        </is>
      </c>
      <c r="D50" t="n">
        <v>695</v>
      </c>
      <c r="E50" t="n">
        <v>211.2</v>
      </c>
      <c r="F50" t="n">
        <v>483.8</v>
      </c>
      <c r="G50" t="inlineStr">
        <is>
          <t>320 000 000</t>
        </is>
      </c>
      <c r="H50" t="inlineStr">
        <is>
          <t>100 000 000</t>
        </is>
      </c>
      <c r="I50" t="inlineStr">
        <is>
          <t>По адресу есть, но площадь другая, объект в архиве</t>
        </is>
      </c>
      <c r="J50" t="inlineStr"/>
      <c r="K50">
        <f>HYPERLINK("https://realty.yandex.ru/offer/7492241587206477313","ссылка")</f>
        <v/>
      </c>
      <c r="L50">
        <f>HYPERLINK("https://app.worldcafe.ru/object/19141","ссылка")</f>
        <v/>
      </c>
    </row>
    <row r="51">
      <c r="A51" t="n">
        <v>78</v>
      </c>
      <c r="B51" t="inlineStr"/>
      <c r="C51" t="inlineStr">
        <is>
          <t>улица Подвойского, 38</t>
        </is>
      </c>
      <c r="D51" t="n">
        <v>85</v>
      </c>
      <c r="E51" t="n">
        <v>94</v>
      </c>
      <c r="F51" t="n">
        <v>9</v>
      </c>
      <c r="G51" t="inlineStr">
        <is>
          <t>450 000 000</t>
        </is>
      </c>
      <c r="H51" t="inlineStr">
        <is>
          <t>1 650 000</t>
        </is>
      </c>
      <c r="I51" t="inlineStr">
        <is>
          <t>По адресу есть, но площадь другая, объект в архиве</t>
        </is>
      </c>
      <c r="J51" t="inlineStr"/>
      <c r="K51">
        <f>HYPERLINK("https://realty.yandex.ru/offer/6172486566004664577","ссылка")</f>
        <v/>
      </c>
      <c r="L51">
        <f>HYPERLINK("https://app.worldcafe.ru/object/9132","ссылка")</f>
        <v/>
      </c>
    </row>
    <row r="52">
      <c r="A52" t="n">
        <v>79</v>
      </c>
      <c r="B52" t="inlineStr"/>
      <c r="C52" t="inlineStr">
        <is>
          <t>Ивановская улица, 7</t>
        </is>
      </c>
      <c r="D52" t="n">
        <v>1701.1</v>
      </c>
      <c r="E52" t="n">
        <v>1707</v>
      </c>
      <c r="F52" t="n">
        <v>5.9</v>
      </c>
      <c r="G52" t="inlineStr">
        <is>
          <t>240 000 000</t>
        </is>
      </c>
      <c r="H52" t="inlineStr">
        <is>
          <t>230 000 000</t>
        </is>
      </c>
      <c r="I52" t="inlineStr">
        <is>
          <t>По адресу есть, но площадь другая, объект в архиве</t>
        </is>
      </c>
      <c r="J52" t="inlineStr"/>
      <c r="K52">
        <f>HYPERLINK("https://realty.yandex.ru/offer/2569246882763972353","ссылка")</f>
        <v/>
      </c>
      <c r="L52">
        <f>HYPERLINK("https://app.worldcafe.ru/object/15609","ссылка")</f>
        <v/>
      </c>
    </row>
    <row r="53">
      <c r="A53" t="n">
        <v>81</v>
      </c>
      <c r="B53" t="inlineStr"/>
      <c r="C53" t="inlineStr">
        <is>
          <t>проспект Косыгина, 30к1Б</t>
        </is>
      </c>
      <c r="D53" t="n">
        <v>411.7</v>
      </c>
      <c r="E53" t="n">
        <v>7013</v>
      </c>
      <c r="F53" t="n">
        <v>6601.3</v>
      </c>
      <c r="G53" t="inlineStr">
        <is>
          <t>84 000 000</t>
        </is>
      </c>
      <c r="H53" t="inlineStr">
        <is>
          <t>950 000 000</t>
        </is>
      </c>
      <c r="I53" t="inlineStr">
        <is>
          <t>По адресу есть, но площадь другая, объект в архиве</t>
        </is>
      </c>
      <c r="J53" t="inlineStr"/>
      <c r="K53">
        <f>HYPERLINK("https://realty.yandex.ru/offer/4703435745007598081","ссылка")</f>
        <v/>
      </c>
      <c r="L53">
        <f>HYPERLINK("https://app.worldcafe.ru/object/14735","ссылка")</f>
        <v/>
      </c>
    </row>
    <row r="54">
      <c r="A54" t="n">
        <v>86</v>
      </c>
      <c r="B54" t="inlineStr"/>
      <c r="C54" t="inlineStr">
        <is>
          <t>1-я Утиная улица, 28</t>
        </is>
      </c>
      <c r="D54" t="n">
        <v>268.5</v>
      </c>
      <c r="E54" t="n">
        <v>228.7</v>
      </c>
      <c r="F54" t="n">
        <v>39.8</v>
      </c>
      <c r="G54" t="inlineStr">
        <is>
          <t>40 000 000</t>
        </is>
      </c>
      <c r="H54" t="inlineStr">
        <is>
          <t>14 000 000</t>
        </is>
      </c>
      <c r="I54" t="inlineStr">
        <is>
          <t>По адресу есть, но площадь другая, объект в архиве</t>
        </is>
      </c>
      <c r="J54" t="inlineStr"/>
      <c r="K54">
        <f>HYPERLINK("https://realty.yandex.ru/offer/4917800007374166017","ссылка")</f>
        <v/>
      </c>
      <c r="L54">
        <f>HYPERLINK("https://app.worldcafe.ru/object/12048","ссылка")</f>
        <v/>
      </c>
    </row>
    <row r="55">
      <c r="A55" t="n">
        <v>93</v>
      </c>
      <c r="B55" t="inlineStr"/>
      <c r="C55" t="inlineStr">
        <is>
          <t>Северный проспект, 129</t>
        </is>
      </c>
      <c r="D55" t="n">
        <v>945</v>
      </c>
      <c r="E55" t="n">
        <v>92.2</v>
      </c>
      <c r="F55" t="n">
        <v>852.8</v>
      </c>
      <c r="G55" t="inlineStr">
        <is>
          <t>160 000 000</t>
        </is>
      </c>
      <c r="H55" t="inlineStr">
        <is>
          <t>21 000 000</t>
        </is>
      </c>
      <c r="I55" t="inlineStr">
        <is>
          <t>По адресу есть, но площадь другая, объект в архиве</t>
        </is>
      </c>
      <c r="J55" t="inlineStr"/>
      <c r="K55">
        <f>HYPERLINK("https://realty.yandex.ru/offer/2580884508508319745","ссылка")</f>
        <v/>
      </c>
      <c r="L55">
        <f>HYPERLINK("https://app.worldcafe.ru/object/15573","ссылка")</f>
        <v/>
      </c>
    </row>
    <row r="56">
      <c r="A56" t="n">
        <v>3</v>
      </c>
      <c r="B56" t="inlineStr"/>
      <c r="C56" t="inlineStr">
        <is>
          <t>Чкаловский проспект, 60</t>
        </is>
      </c>
      <c r="D56" t="n">
        <v>165</v>
      </c>
      <c r="E56" t="n">
        <v>161.2</v>
      </c>
      <c r="F56" t="n">
        <v>3.8</v>
      </c>
      <c r="G56" t="inlineStr">
        <is>
          <t>70 000 000</t>
        </is>
      </c>
      <c r="H56" t="inlineStr">
        <is>
          <t>0</t>
        </is>
      </c>
      <c r="I56" t="inlineStr">
        <is>
          <t>По адресу есть, но площадь другая, объект в архиве, у нас другая сделка</t>
        </is>
      </c>
      <c r="J56" t="inlineStr"/>
      <c r="K56">
        <f>HYPERLINK("https://realty.yandex.ru/offer/5759529813475936513","ссылка")</f>
        <v/>
      </c>
      <c r="L56">
        <f>HYPERLINK("https://app.worldcafe.ru/object/19022","ссылка")</f>
        <v/>
      </c>
    </row>
    <row r="57">
      <c r="A57" t="n">
        <v>15</v>
      </c>
      <c r="B57" t="inlineStr"/>
      <c r="C57" t="inlineStr">
        <is>
          <t>Стремянная улица, 22/3</t>
        </is>
      </c>
      <c r="D57" t="n">
        <v>373.4</v>
      </c>
      <c r="E57" t="n">
        <v>170</v>
      </c>
      <c r="F57" t="n">
        <v>203.4</v>
      </c>
      <c r="G57" t="inlineStr">
        <is>
          <t>402 000 000</t>
        </is>
      </c>
      <c r="H57" t="inlineStr">
        <is>
          <t>600 000</t>
        </is>
      </c>
      <c r="I57" t="inlineStr">
        <is>
          <t>По адресу есть, но площадь другая, объект в архиве, у нас другая сделка</t>
        </is>
      </c>
      <c r="J57" t="inlineStr"/>
      <c r="K57">
        <f>HYPERLINK("https://realty.yandex.ru/offer/3472755680044014849","ссылка")</f>
        <v/>
      </c>
      <c r="L57">
        <f>HYPERLINK("https://app.worldcafe.ru/object/12912","ссылка")</f>
        <v/>
      </c>
    </row>
    <row r="58">
      <c r="A58" t="n">
        <v>18</v>
      </c>
      <c r="B58" t="inlineStr"/>
      <c r="C58" t="inlineStr">
        <is>
          <t>Гороховая улица, 47В</t>
        </is>
      </c>
      <c r="D58" t="n">
        <v>222</v>
      </c>
      <c r="E58" t="n">
        <v>3000</v>
      </c>
      <c r="F58" t="n">
        <v>2778</v>
      </c>
      <c r="G58" t="inlineStr">
        <is>
          <t>61 280 000</t>
        </is>
      </c>
      <c r="H58" t="inlineStr">
        <is>
          <t>0</t>
        </is>
      </c>
      <c r="I58" t="inlineStr">
        <is>
          <t>По адресу есть, но площадь другая, объект в архиве, у нас другая сделка</t>
        </is>
      </c>
      <c r="J58" t="inlineStr"/>
      <c r="K58">
        <f>HYPERLINK("https://realty.yandex.ru/offer/5709788069563789825","ссылка")</f>
        <v/>
      </c>
      <c r="L58">
        <f>HYPERLINK("https://app.worldcafe.ru/object/11344","ссылка")</f>
        <v/>
      </c>
    </row>
    <row r="59">
      <c r="A59" t="n">
        <v>23</v>
      </c>
      <c r="B59" t="inlineStr"/>
      <c r="C59" t="inlineStr">
        <is>
          <t>Бассейная улица, 21</t>
        </is>
      </c>
      <c r="D59" t="n">
        <v>1044</v>
      </c>
      <c r="E59" t="n">
        <v>1117</v>
      </c>
      <c r="F59" t="n">
        <v>73</v>
      </c>
      <c r="G59" t="inlineStr">
        <is>
          <t>200 000 000</t>
        </is>
      </c>
      <c r="H59" t="inlineStr">
        <is>
          <t>1</t>
        </is>
      </c>
      <c r="I59" t="inlineStr">
        <is>
          <t>По адресу есть, но площадь другая, объект в архиве, у нас другая сделка</t>
        </is>
      </c>
      <c r="J59" t="inlineStr"/>
      <c r="K59">
        <f>HYPERLINK("https://realty.yandex.ru/offer/3669122469207958785","ссылка")</f>
        <v/>
      </c>
      <c r="L59">
        <f>HYPERLINK("https://app.worldcafe.ru/object/8874","ссылка")</f>
        <v/>
      </c>
    </row>
    <row r="60">
      <c r="A60" t="n">
        <v>28</v>
      </c>
      <c r="B60" t="inlineStr"/>
      <c r="C60" t="inlineStr">
        <is>
          <t>Малая Бухарестская улица, 12</t>
        </is>
      </c>
      <c r="D60" t="n">
        <v>267.5</v>
      </c>
      <c r="E60" t="n">
        <v>105</v>
      </c>
      <c r="F60" t="n">
        <v>162.5</v>
      </c>
      <c r="G60" t="inlineStr">
        <is>
          <t>95 600 000</t>
        </is>
      </c>
      <c r="H60" t="inlineStr">
        <is>
          <t>140 000</t>
        </is>
      </c>
      <c r="I60" t="inlineStr">
        <is>
          <t>По адресу есть, но площадь другая, объект на сайте, у нас другая сделка</t>
        </is>
      </c>
      <c r="J60" t="inlineStr"/>
      <c r="K60">
        <f>HYPERLINK("https://realty.yandex.ru/offer/3837996167971602689","ссылка")</f>
        <v/>
      </c>
      <c r="L60">
        <f>HYPERLINK("https://app.worldcafe.ru/object/19787","ссылка")</f>
        <v/>
      </c>
    </row>
    <row r="61">
      <c r="A61" t="n">
        <v>34</v>
      </c>
      <c r="B61" t="inlineStr"/>
      <c r="C61" t="inlineStr">
        <is>
          <t>Старо-Петергофский проспект, 41</t>
        </is>
      </c>
      <c r="D61" t="n">
        <v>110</v>
      </c>
      <c r="E61" t="n">
        <v>51</v>
      </c>
      <c r="F61" t="n">
        <v>59</v>
      </c>
      <c r="G61" t="inlineStr">
        <is>
          <t>32 000 000</t>
        </is>
      </c>
      <c r="H61" t="inlineStr">
        <is>
          <t>80 000</t>
        </is>
      </c>
      <c r="I61" t="inlineStr">
        <is>
          <t>По адресу есть, но площадь другая, объект в архиве, у нас другая сделка</t>
        </is>
      </c>
      <c r="J61" t="inlineStr"/>
      <c r="K61">
        <f>HYPERLINK("https://realty.yandex.ru/offer/4925110013382920705","ссылка")</f>
        <v/>
      </c>
      <c r="L61">
        <f>HYPERLINK("https://app.worldcafe.ru/object/7944","ссылка")</f>
        <v/>
      </c>
    </row>
    <row r="62">
      <c r="A62" t="n">
        <v>35</v>
      </c>
      <c r="B62" t="inlineStr"/>
      <c r="C62" t="inlineStr">
        <is>
          <t>Лиговский проспект, 232</t>
        </is>
      </c>
      <c r="D62" t="n">
        <v>81</v>
      </c>
      <c r="E62" t="n">
        <v>87</v>
      </c>
      <c r="F62" t="n">
        <v>6</v>
      </c>
      <c r="G62" t="inlineStr">
        <is>
          <t>33 000 000</t>
        </is>
      </c>
      <c r="H62" t="inlineStr">
        <is>
          <t>130 500</t>
        </is>
      </c>
      <c r="I62" t="inlineStr">
        <is>
          <t>По адресу есть, но площадь другая, объект в архиве, у нас другая сделка</t>
        </is>
      </c>
      <c r="J62" t="inlineStr"/>
      <c r="K62">
        <f>HYPERLINK("https://realty.yandex.ru/offer/7033840483342439169","ссылка")</f>
        <v/>
      </c>
      <c r="L62">
        <f>HYPERLINK("https://app.worldcafe.ru/object/13963","ссылка")</f>
        <v/>
      </c>
    </row>
    <row r="63">
      <c r="A63" t="n">
        <v>39</v>
      </c>
      <c r="B63" t="inlineStr"/>
      <c r="C63" t="inlineStr">
        <is>
          <t>Гороховая улица, 47В</t>
        </is>
      </c>
      <c r="D63" t="n">
        <v>78.7</v>
      </c>
      <c r="E63" t="n">
        <v>3000</v>
      </c>
      <c r="F63" t="n">
        <v>2921.3</v>
      </c>
      <c r="G63" t="inlineStr">
        <is>
          <t>44 080 000</t>
        </is>
      </c>
      <c r="H63" t="inlineStr">
        <is>
          <t>0</t>
        </is>
      </c>
      <c r="I63" t="inlineStr">
        <is>
          <t>По адресу есть, но площадь другая, объект в архиве, у нас другая сделка</t>
        </is>
      </c>
      <c r="J63" t="inlineStr"/>
      <c r="K63">
        <f>HYPERLINK("https://realty.yandex.ru/offer/8952389212254932737","ссылка")</f>
        <v/>
      </c>
      <c r="L63">
        <f>HYPERLINK("https://app.worldcafe.ru/object/11344","ссылка")</f>
        <v/>
      </c>
    </row>
    <row r="64">
      <c r="A64" t="n">
        <v>73</v>
      </c>
      <c r="B64" t="inlineStr"/>
      <c r="C64" t="inlineStr">
        <is>
          <t>улица Жуковского, 38</t>
        </is>
      </c>
      <c r="D64" t="n">
        <v>92.40000000000001</v>
      </c>
      <c r="E64" t="n">
        <v>60.8</v>
      </c>
      <c r="F64" t="n">
        <v>31.6</v>
      </c>
      <c r="G64" t="inlineStr">
        <is>
          <t>47 000 000</t>
        </is>
      </c>
      <c r="H64" t="inlineStr">
        <is>
          <t>0</t>
        </is>
      </c>
      <c r="I64" t="inlineStr">
        <is>
          <t>По адресу есть, но площадь другая, объект в архиве, у нас другая сделка</t>
        </is>
      </c>
      <c r="J64" t="inlineStr"/>
      <c r="K64">
        <f>HYPERLINK("https://realty.yandex.ru/offer/4672264194865268737","ссылка")</f>
        <v/>
      </c>
      <c r="L64">
        <f>HYPERLINK("https://app.worldcafe.ru/object/14137","ссылка")</f>
        <v/>
      </c>
    </row>
    <row r="65">
      <c r="A65" t="n">
        <v>90</v>
      </c>
      <c r="B65" t="inlineStr"/>
      <c r="C65" t="inlineStr">
        <is>
          <t>Гражданский проспект, 89</t>
        </is>
      </c>
      <c r="D65" t="n">
        <v>630</v>
      </c>
      <c r="E65" t="n">
        <v>268</v>
      </c>
      <c r="F65" t="n">
        <v>362</v>
      </c>
      <c r="G65" t="inlineStr">
        <is>
          <t>225 000 000</t>
        </is>
      </c>
      <c r="H65" t="inlineStr">
        <is>
          <t>200 000</t>
        </is>
      </c>
      <c r="I65" t="inlineStr">
        <is>
          <t>По адресу есть, но площадь другая, объект в архиве, у нас другая сделка</t>
        </is>
      </c>
      <c r="J65" t="inlineStr"/>
      <c r="K65">
        <f>HYPERLINK("https://realty.yandex.ru/offer/6241968243355837953","ссылка")</f>
        <v/>
      </c>
      <c r="L65">
        <f>HYPERLINK("https://app.worldcafe.ru/object/12097","ссылка")</f>
        <v/>
      </c>
    </row>
    <row r="66">
      <c r="A66" t="n">
        <v>91</v>
      </c>
      <c r="B66" t="inlineStr"/>
      <c r="C66" t="inlineStr">
        <is>
          <t>проспект Просвещения, 53к1</t>
        </is>
      </c>
      <c r="D66" t="n">
        <v>417.5</v>
      </c>
      <c r="E66" t="n">
        <v>243.9</v>
      </c>
      <c r="F66" t="n">
        <v>173.6</v>
      </c>
      <c r="G66" t="inlineStr">
        <is>
          <t>93 000 000</t>
        </is>
      </c>
      <c r="H66" t="inlineStr">
        <is>
          <t>280 000</t>
        </is>
      </c>
      <c r="I66" t="inlineStr">
        <is>
          <t>По адресу есть, но площадь другая, объект в архиве, у нас другая сделка</t>
        </is>
      </c>
      <c r="J66" t="inlineStr"/>
      <c r="K66">
        <f>HYPERLINK("https://realty.yandex.ru/offer/5139029557413289473","ссылка")</f>
        <v/>
      </c>
      <c r="L66">
        <f>HYPERLINK("https://app.worldcafe.ru/object/12748","ссылка")</f>
        <v/>
      </c>
    </row>
    <row r="67">
      <c r="A67" t="n">
        <v>92</v>
      </c>
      <c r="B67" t="inlineStr"/>
      <c r="C67" t="inlineStr">
        <is>
          <t>улица Даниила Хармса, 4</t>
        </is>
      </c>
      <c r="D67" t="n">
        <v>467</v>
      </c>
      <c r="E67" t="n">
        <v>253.5</v>
      </c>
      <c r="F67" t="n">
        <v>213.5</v>
      </c>
      <c r="G67" t="inlineStr">
        <is>
          <t>75 000 000</t>
        </is>
      </c>
      <c r="H67" t="inlineStr"/>
      <c r="I67" t="inlineStr">
        <is>
          <t>По адресу есть, но площадь другая</t>
        </is>
      </c>
      <c r="J67" t="inlineStr"/>
      <c r="K67">
        <f>HYPERLINK("https://realty.yandex.ru/offer/964642644276470273","ссылка")</f>
        <v/>
      </c>
      <c r="L67" t="inlineStr"/>
    </row>
    <row r="68">
      <c r="A68" t="n">
        <v>4</v>
      </c>
      <c r="B68" t="inlineStr"/>
      <c r="C68" t="inlineStr">
        <is>
          <t>набережная реки Фонтанки, 82/1</t>
        </is>
      </c>
      <c r="D68" t="n">
        <v>207</v>
      </c>
      <c r="E68" t="inlineStr"/>
      <c r="F68" t="inlineStr"/>
      <c r="G68" t="inlineStr">
        <is>
          <t>130 000 000</t>
        </is>
      </c>
      <c r="H68" t="inlineStr"/>
      <c r="I68" t="inlineStr">
        <is>
          <t>Нет у нас</t>
        </is>
      </c>
      <c r="J68" t="inlineStr"/>
      <c r="K68">
        <f>HYPERLINK("https://realty.yandex.ru/offer/3580351525802483969","ссылка")</f>
        <v/>
      </c>
      <c r="L68" t="inlineStr"/>
    </row>
    <row r="69">
      <c r="A69" t="n">
        <v>5</v>
      </c>
      <c r="B69" t="inlineStr"/>
      <c r="C69" t="inlineStr">
        <is>
          <t>Большой проспект Петроградской стороны, 53</t>
        </is>
      </c>
      <c r="D69" t="n">
        <v>315</v>
      </c>
      <c r="E69" t="inlineStr"/>
      <c r="F69" t="inlineStr"/>
      <c r="G69" t="inlineStr">
        <is>
          <t>150 000 000</t>
        </is>
      </c>
      <c r="H69" t="inlineStr"/>
      <c r="I69" t="inlineStr">
        <is>
          <t>Нет у нас</t>
        </is>
      </c>
      <c r="J69" t="inlineStr"/>
      <c r="K69">
        <f>HYPERLINK("https://realty.yandex.ru/offer/5512361893318923009","ссылка")</f>
        <v/>
      </c>
      <c r="L69" t="inlineStr"/>
    </row>
    <row r="70">
      <c r="A70" t="n">
        <v>6</v>
      </c>
      <c r="B70" t="inlineStr"/>
      <c r="C70" t="inlineStr">
        <is>
          <t>Черниговская улица, 11к1</t>
        </is>
      </c>
      <c r="D70" t="n">
        <v>74</v>
      </c>
      <c r="E70" t="inlineStr"/>
      <c r="F70" t="inlineStr"/>
      <c r="G70" t="inlineStr">
        <is>
          <t>20 000 000</t>
        </is>
      </c>
      <c r="H70" t="inlineStr"/>
      <c r="I70" t="inlineStr">
        <is>
          <t>Нет у нас</t>
        </is>
      </c>
      <c r="J70" t="inlineStr"/>
      <c r="K70">
        <f>HYPERLINK("https://realty.yandex.ru/offer/9218691470598238721","ссылка")</f>
        <v/>
      </c>
      <c r="L70" t="inlineStr"/>
    </row>
    <row r="71">
      <c r="A71" t="n">
        <v>9</v>
      </c>
      <c r="B71" t="inlineStr"/>
      <c r="C71" t="inlineStr">
        <is>
          <t>улица Руднева, 18</t>
        </is>
      </c>
      <c r="D71" t="n">
        <v>92</v>
      </c>
      <c r="E71" t="inlineStr"/>
      <c r="F71" t="inlineStr"/>
      <c r="G71" t="inlineStr">
        <is>
          <t>21 000 000</t>
        </is>
      </c>
      <c r="H71" t="inlineStr"/>
      <c r="I71" t="inlineStr">
        <is>
          <t>Нет у нас</t>
        </is>
      </c>
      <c r="J71" t="inlineStr"/>
      <c r="K71">
        <f>HYPERLINK("https://realty.yandex.ru/offer/1312108225726424833","ссылка")</f>
        <v/>
      </c>
      <c r="L71" t="inlineStr"/>
    </row>
    <row r="72">
      <c r="A72" t="n">
        <v>10</v>
      </c>
      <c r="B72" t="inlineStr"/>
      <c r="C72" t="inlineStr">
        <is>
          <t>Театральная площадь, 16</t>
        </is>
      </c>
      <c r="D72" t="n">
        <v>122.1</v>
      </c>
      <c r="E72" t="inlineStr"/>
      <c r="F72" t="inlineStr"/>
      <c r="G72" t="inlineStr">
        <is>
          <t>36 000 000</t>
        </is>
      </c>
      <c r="H72" t="inlineStr"/>
      <c r="I72" t="inlineStr">
        <is>
          <t>Нет у нас</t>
        </is>
      </c>
      <c r="J72" t="inlineStr"/>
      <c r="K72">
        <f>HYPERLINK("https://realty.yandex.ru/offer/8079401040015710721","ссылка")</f>
        <v/>
      </c>
      <c r="L72" t="inlineStr"/>
    </row>
    <row r="73">
      <c r="A73" t="n">
        <v>11</v>
      </c>
      <c r="B73" t="inlineStr"/>
      <c r="C73" t="inlineStr">
        <is>
          <t>улица Комиссара Смирнова, 5/7</t>
        </is>
      </c>
      <c r="D73" t="n">
        <v>140.3</v>
      </c>
      <c r="E73" t="inlineStr"/>
      <c r="F73" t="inlineStr"/>
      <c r="G73" t="inlineStr">
        <is>
          <t>50 000 000</t>
        </is>
      </c>
      <c r="H73" t="inlineStr"/>
      <c r="I73" t="inlineStr">
        <is>
          <t>Нет у нас</t>
        </is>
      </c>
      <c r="J73" t="inlineStr"/>
      <c r="K73">
        <f>HYPERLINK("https://realty.yandex.ru/offer/246347588993161729","ссылка")</f>
        <v/>
      </c>
      <c r="L73" t="inlineStr"/>
    </row>
    <row r="74">
      <c r="A74" t="n">
        <v>12</v>
      </c>
      <c r="B74" t="inlineStr"/>
      <c r="C74" t="inlineStr">
        <is>
          <t>Среднерогатская улица, 20</t>
        </is>
      </c>
      <c r="D74" t="n">
        <v>124.3</v>
      </c>
      <c r="E74" t="inlineStr"/>
      <c r="F74" t="inlineStr"/>
      <c r="G74" t="inlineStr">
        <is>
          <t>37 500 000</t>
        </is>
      </c>
      <c r="H74" t="inlineStr"/>
      <c r="I74" t="inlineStr">
        <is>
          <t>Нет у нас</t>
        </is>
      </c>
      <c r="J74" t="inlineStr"/>
      <c r="K74">
        <f>HYPERLINK("https://realty.yandex.ru/offer/5480796403269830657","ссылка")</f>
        <v/>
      </c>
      <c r="L74" t="inlineStr"/>
    </row>
    <row r="75">
      <c r="A75" t="n">
        <v>13</v>
      </c>
      <c r="B75" t="inlineStr"/>
      <c r="C75" t="inlineStr">
        <is>
          <t>Гагаринская улица, 6/1</t>
        </is>
      </c>
      <c r="D75" t="n">
        <v>382</v>
      </c>
      <c r="E75" t="inlineStr"/>
      <c r="F75" t="inlineStr"/>
      <c r="G75" t="inlineStr">
        <is>
          <t>51 000 000</t>
        </is>
      </c>
      <c r="H75" t="inlineStr"/>
      <c r="I75" t="inlineStr">
        <is>
          <t>Нет у нас</t>
        </is>
      </c>
      <c r="J75" t="inlineStr"/>
      <c r="K75">
        <f>HYPERLINK("https://realty.yandex.ru/offer/710848623229325569","ссылка")</f>
        <v/>
      </c>
      <c r="L75" t="inlineStr"/>
    </row>
    <row r="76">
      <c r="A76" t="n">
        <v>25</v>
      </c>
      <c r="B76" t="inlineStr"/>
      <c r="C76" t="inlineStr">
        <is>
          <t>улица Генерала Кравченко, 7к1</t>
        </is>
      </c>
      <c r="D76" t="n">
        <v>308</v>
      </c>
      <c r="E76" t="inlineStr"/>
      <c r="F76" t="inlineStr"/>
      <c r="G76" t="inlineStr">
        <is>
          <t>110 000 000</t>
        </is>
      </c>
      <c r="H76" t="inlineStr"/>
      <c r="I76" t="inlineStr">
        <is>
          <t>Нет у нас</t>
        </is>
      </c>
      <c r="J76" t="inlineStr"/>
      <c r="K76">
        <f>HYPERLINK("https://realty.yandex.ru/offer/8388454866750474241","ссылка")</f>
        <v/>
      </c>
      <c r="L76" t="inlineStr"/>
    </row>
    <row r="77">
      <c r="A77" t="n">
        <v>26</v>
      </c>
      <c r="B77" t="inlineStr"/>
      <c r="C77" t="inlineStr">
        <is>
          <t>Пулковское шоссе, 53к2</t>
        </is>
      </c>
      <c r="D77" t="n">
        <v>2.1</v>
      </c>
      <c r="E77" t="inlineStr"/>
      <c r="F77" t="inlineStr"/>
      <c r="G77" t="inlineStr">
        <is>
          <t>70 000 000</t>
        </is>
      </c>
      <c r="H77" t="inlineStr"/>
      <c r="I77" t="inlineStr">
        <is>
          <t>Нет у нас</t>
        </is>
      </c>
      <c r="J77" t="inlineStr"/>
      <c r="K77">
        <f>HYPERLINK("https://realty.yandex.ru/offer/4415627450757592065","ссылка")</f>
        <v/>
      </c>
      <c r="L77" t="inlineStr"/>
    </row>
    <row r="78">
      <c r="A78" t="n">
        <v>27</v>
      </c>
      <c r="B78" t="inlineStr"/>
      <c r="C78" t="inlineStr">
        <is>
          <t>Пулковское шоссе, 53к2</t>
        </is>
      </c>
      <c r="D78" t="n">
        <v>50</v>
      </c>
      <c r="E78" t="inlineStr"/>
      <c r="F78" t="inlineStr"/>
      <c r="G78" t="inlineStr">
        <is>
          <t>65 000 000</t>
        </is>
      </c>
      <c r="H78" t="inlineStr"/>
      <c r="I78" t="inlineStr">
        <is>
          <t>Нет у нас</t>
        </is>
      </c>
      <c r="J78" t="inlineStr"/>
      <c r="K78">
        <f>HYPERLINK("https://realty.yandex.ru/offer/1328470194916883201","ссылка")</f>
        <v/>
      </c>
      <c r="L78" t="inlineStr"/>
    </row>
    <row r="79">
      <c r="A79" t="n">
        <v>29</v>
      </c>
      <c r="B79" t="inlineStr"/>
      <c r="C79" t="inlineStr">
        <is>
          <t>Пулковское шоссе, 53А</t>
        </is>
      </c>
      <c r="D79" t="n">
        <v>1.2</v>
      </c>
      <c r="E79" t="inlineStr"/>
      <c r="F79" t="inlineStr"/>
      <c r="G79" t="inlineStr">
        <is>
          <t>150 000 000</t>
        </is>
      </c>
      <c r="H79" t="inlineStr"/>
      <c r="I79" t="inlineStr">
        <is>
          <t>Нет у нас</t>
        </is>
      </c>
      <c r="J79" t="inlineStr"/>
      <c r="K79">
        <f>HYPERLINK("https://realty.yandex.ru/offer/7240629703217335297","ссылка")</f>
        <v/>
      </c>
      <c r="L79" t="inlineStr"/>
    </row>
    <row r="80">
      <c r="A80" t="n">
        <v>38</v>
      </c>
      <c r="B80" t="inlineStr"/>
      <c r="C80" t="inlineStr">
        <is>
          <t>площадь Островского, 5</t>
        </is>
      </c>
      <c r="D80" t="n">
        <v>211</v>
      </c>
      <c r="E80" t="inlineStr"/>
      <c r="F80" t="inlineStr"/>
      <c r="G80" t="inlineStr">
        <is>
          <t>89 500 000</t>
        </is>
      </c>
      <c r="H80" t="inlineStr"/>
      <c r="I80" t="inlineStr">
        <is>
          <t>Нет у нас</t>
        </is>
      </c>
      <c r="J80" t="inlineStr"/>
      <c r="K80">
        <f>HYPERLINK("https://realty.yandex.ru/offer/735655884383953409","ссылка")</f>
        <v/>
      </c>
      <c r="L80" t="inlineStr"/>
    </row>
    <row r="81">
      <c r="A81" t="n">
        <v>43</v>
      </c>
      <c r="B81" t="inlineStr"/>
      <c r="C81" t="inlineStr">
        <is>
          <t>Большой проспект Васильевского острова, 89</t>
        </is>
      </c>
      <c r="D81" t="n">
        <v>176.8</v>
      </c>
      <c r="E81" t="inlineStr"/>
      <c r="F81" t="inlineStr"/>
      <c r="G81" t="inlineStr">
        <is>
          <t>75 000 000</t>
        </is>
      </c>
      <c r="H81" t="inlineStr"/>
      <c r="I81" t="inlineStr">
        <is>
          <t>Нет у нас</t>
        </is>
      </c>
      <c r="J81" t="inlineStr"/>
      <c r="K81">
        <f>HYPERLINK("https://realty.yandex.ru/offer/4188095768747247617","ссылка")</f>
        <v/>
      </c>
      <c r="L81" t="inlineStr"/>
    </row>
    <row r="82">
      <c r="A82" t="n">
        <v>44</v>
      </c>
      <c r="B82" t="inlineStr"/>
      <c r="C82" t="inlineStr">
        <is>
          <t>Садовая улица, 68</t>
        </is>
      </c>
      <c r="D82" t="n">
        <v>350</v>
      </c>
      <c r="E82" t="inlineStr"/>
      <c r="F82" t="inlineStr"/>
      <c r="G82" t="inlineStr">
        <is>
          <t>95 000 000</t>
        </is>
      </c>
      <c r="H82" t="inlineStr"/>
      <c r="I82" t="inlineStr">
        <is>
          <t>Нет у нас</t>
        </is>
      </c>
      <c r="J82" t="inlineStr"/>
      <c r="K82">
        <f>HYPERLINK("https://realty.yandex.ru/offer/2116557864787451393","ссылка")</f>
        <v/>
      </c>
      <c r="L82" t="inlineStr"/>
    </row>
    <row r="83">
      <c r="A83" t="n">
        <v>52</v>
      </c>
      <c r="B83" t="inlineStr"/>
      <c r="C83" t="inlineStr">
        <is>
          <t>Садовая улица, 21АБ</t>
        </is>
      </c>
      <c r="D83" t="n">
        <v>178</v>
      </c>
      <c r="E83" t="inlineStr"/>
      <c r="F83" t="inlineStr"/>
      <c r="G83" t="inlineStr">
        <is>
          <t>130 000 000</t>
        </is>
      </c>
      <c r="H83" t="inlineStr"/>
      <c r="I83" t="inlineStr">
        <is>
          <t>Нет у нас</t>
        </is>
      </c>
      <c r="J83" t="inlineStr"/>
      <c r="K83">
        <f>HYPERLINK("https://realty.yandex.ru/offer/4931335144989811969","ссылка")</f>
        <v/>
      </c>
      <c r="L83" t="inlineStr"/>
    </row>
    <row r="84">
      <c r="A84" t="n">
        <v>67</v>
      </c>
      <c r="B84" t="inlineStr"/>
      <c r="C84" t="inlineStr">
        <is>
          <t>9-я линия Васильевского острова, 4</t>
        </is>
      </c>
      <c r="D84" t="n">
        <v>230</v>
      </c>
      <c r="E84" t="inlineStr"/>
      <c r="F84" t="inlineStr"/>
      <c r="G84" t="inlineStr">
        <is>
          <t>42 000 000</t>
        </is>
      </c>
      <c r="H84" t="inlineStr"/>
      <c r="I84" t="inlineStr">
        <is>
          <t>Нет у нас</t>
        </is>
      </c>
      <c r="J84" t="inlineStr"/>
      <c r="K84">
        <f>HYPERLINK("https://realty.yandex.ru/offer/6553116794171259393","ссылка")</f>
        <v/>
      </c>
      <c r="L84" t="inlineStr"/>
    </row>
    <row r="85">
      <c r="A85" t="n">
        <v>68</v>
      </c>
      <c r="B85" t="inlineStr"/>
      <c r="C85" t="inlineStr">
        <is>
          <t>набережная Макарова, 24</t>
        </is>
      </c>
      <c r="D85" t="n">
        <v>233.3</v>
      </c>
      <c r="E85" t="inlineStr"/>
      <c r="F85" t="inlineStr"/>
      <c r="G85" t="inlineStr">
        <is>
          <t>81 655 000</t>
        </is>
      </c>
      <c r="H85" t="inlineStr"/>
      <c r="I85" t="inlineStr">
        <is>
          <t>Нет у нас</t>
        </is>
      </c>
      <c r="J85" t="inlineStr"/>
      <c r="K85">
        <f>HYPERLINK("https://realty.yandex.ru/offer/8554890491212240385","ссылка")</f>
        <v/>
      </c>
      <c r="L85" t="inlineStr"/>
    </row>
    <row r="86">
      <c r="A86" t="n">
        <v>70</v>
      </c>
      <c r="B86" t="inlineStr"/>
      <c r="C86" t="inlineStr">
        <is>
          <t>Уральская улица, 21</t>
        </is>
      </c>
      <c r="D86" t="n">
        <v>266.9</v>
      </c>
      <c r="E86" t="inlineStr"/>
      <c r="F86" t="inlineStr"/>
      <c r="G86" t="inlineStr">
        <is>
          <t>110 000 000</t>
        </is>
      </c>
      <c r="H86" t="inlineStr"/>
      <c r="I86" t="inlineStr">
        <is>
          <t>Нет у нас</t>
        </is>
      </c>
      <c r="J86" t="inlineStr"/>
      <c r="K86">
        <f>HYPERLINK("https://realty.yandex.ru/offer/6810942546934805505","ссылка")</f>
        <v/>
      </c>
      <c r="L86" t="inlineStr"/>
    </row>
    <row r="87">
      <c r="A87" t="n">
        <v>74</v>
      </c>
      <c r="B87" t="inlineStr"/>
      <c r="C87" t="inlineStr">
        <is>
          <t>Большая Монетная улица, 11</t>
        </is>
      </c>
      <c r="D87" t="n">
        <v>152.9</v>
      </c>
      <c r="E87" t="inlineStr"/>
      <c r="F87" t="inlineStr"/>
      <c r="G87" t="inlineStr">
        <is>
          <t>35 000 000</t>
        </is>
      </c>
      <c r="H87" t="inlineStr"/>
      <c r="I87" t="inlineStr">
        <is>
          <t>Нет у нас</t>
        </is>
      </c>
      <c r="J87" t="inlineStr"/>
      <c r="K87">
        <f>HYPERLINK("https://realty.yandex.ru/offer/2122714241363701249","ссылка")</f>
        <v/>
      </c>
      <c r="L87" t="inlineStr"/>
    </row>
    <row r="88">
      <c r="A88" t="n">
        <v>75</v>
      </c>
      <c r="B88" t="inlineStr"/>
      <c r="C88" t="inlineStr">
        <is>
          <t>Вязовая улица, 10</t>
        </is>
      </c>
      <c r="D88" t="n">
        <v>341.4</v>
      </c>
      <c r="E88" t="inlineStr"/>
      <c r="F88" t="inlineStr"/>
      <c r="G88" t="inlineStr">
        <is>
          <t>153 600 000</t>
        </is>
      </c>
      <c r="H88" t="inlineStr"/>
      <c r="I88" t="inlineStr">
        <is>
          <t>Нет у нас</t>
        </is>
      </c>
      <c r="J88" t="inlineStr"/>
      <c r="K88">
        <f>HYPERLINK("https://realty.yandex.ru/offer/365651875636337153","ссылка")</f>
        <v/>
      </c>
      <c r="L88" t="inlineStr"/>
    </row>
    <row r="89">
      <c r="A89" t="n">
        <v>76</v>
      </c>
      <c r="B89" t="inlineStr"/>
      <c r="C89" t="inlineStr">
        <is>
          <t>улица Александра Матросова, 3</t>
        </is>
      </c>
      <c r="D89" t="n">
        <v>90</v>
      </c>
      <c r="E89" t="inlineStr"/>
      <c r="F89" t="inlineStr"/>
      <c r="G89" t="inlineStr">
        <is>
          <t>49 000 000</t>
        </is>
      </c>
      <c r="H89" t="inlineStr"/>
      <c r="I89" t="inlineStr">
        <is>
          <t>Нет у нас</t>
        </is>
      </c>
      <c r="J89" t="inlineStr"/>
      <c r="K89">
        <f>HYPERLINK("https://realty.yandex.ru/offer/1144777652517726209","ссылка")</f>
        <v/>
      </c>
      <c r="L89" t="inlineStr"/>
    </row>
    <row r="90">
      <c r="A90" t="n">
        <v>77</v>
      </c>
      <c r="B90" t="inlineStr"/>
      <c r="C90" t="inlineStr">
        <is>
          <t>улица Александра Матросова, 3</t>
        </is>
      </c>
      <c r="D90" t="n">
        <v>82</v>
      </c>
      <c r="E90" t="inlineStr"/>
      <c r="F90" t="inlineStr"/>
      <c r="G90" t="inlineStr">
        <is>
          <t>59 000 000</t>
        </is>
      </c>
      <c r="H90" t="inlineStr"/>
      <c r="I90" t="inlineStr">
        <is>
          <t>Нет у нас</t>
        </is>
      </c>
      <c r="J90" t="inlineStr"/>
      <c r="K90">
        <f>HYPERLINK("https://realty.yandex.ru/offer/7015202629040768769","ссылка")</f>
        <v/>
      </c>
      <c r="L90" t="inlineStr"/>
    </row>
    <row r="91">
      <c r="A91" t="n">
        <v>82</v>
      </c>
      <c r="B91" t="inlineStr"/>
      <c r="C91" t="inlineStr">
        <is>
          <t>Караваевская улица, 23</t>
        </is>
      </c>
      <c r="D91" t="n">
        <v>4596</v>
      </c>
      <c r="E91" t="inlineStr"/>
      <c r="F91" t="inlineStr"/>
      <c r="G91" t="inlineStr">
        <is>
          <t>450 000 000</t>
        </is>
      </c>
      <c r="H91" t="inlineStr"/>
      <c r="I91" t="inlineStr">
        <is>
          <t>Нет у нас</t>
        </is>
      </c>
      <c r="J91" t="inlineStr"/>
      <c r="K91">
        <f>HYPERLINK("https://realty.yandex.ru/offer/4547942000062710785","ссылка")</f>
        <v/>
      </c>
      <c r="L91" t="inlineStr"/>
    </row>
    <row r="92">
      <c r="A92" t="n">
        <v>83</v>
      </c>
      <c r="B92" t="inlineStr"/>
      <c r="C92" t="inlineStr">
        <is>
          <t>Кудрово, Областная улица, 7</t>
        </is>
      </c>
      <c r="D92" t="n">
        <v>286.9</v>
      </c>
      <c r="E92" t="inlineStr"/>
      <c r="F92" t="inlineStr"/>
      <c r="G92" t="inlineStr">
        <is>
          <t>81 000 000</t>
        </is>
      </c>
      <c r="H92" t="inlineStr"/>
      <c r="I92" t="inlineStr">
        <is>
          <t>Нет у нас</t>
        </is>
      </c>
      <c r="J92" t="inlineStr"/>
      <c r="K92">
        <f>HYPERLINK("https://realty.yandex.ru/offer/2960876435953035521","ссылка")</f>
        <v/>
      </c>
      <c r="L92" t="inlineStr"/>
    </row>
    <row r="93">
      <c r="A93" t="n">
        <v>84</v>
      </c>
      <c r="B93" t="inlineStr"/>
      <c r="C93" t="inlineStr">
        <is>
          <t>Зеленогорск, Приморское шоссе, 516</t>
        </is>
      </c>
      <c r="D93" t="n">
        <v>2088</v>
      </c>
      <c r="E93" t="inlineStr"/>
      <c r="F93" t="inlineStr"/>
      <c r="G93" t="inlineStr">
        <is>
          <t>310 000 000</t>
        </is>
      </c>
      <c r="H93" t="inlineStr"/>
      <c r="I93" t="inlineStr">
        <is>
          <t>Нет у нас</t>
        </is>
      </c>
      <c r="J93" t="inlineStr"/>
      <c r="K93">
        <f>HYPERLINK("https://realty.yandex.ru/offer/13299617713468929","ссылка")</f>
        <v/>
      </c>
      <c r="L93" t="inlineStr"/>
    </row>
    <row r="94">
      <c r="A94" t="n">
        <v>88</v>
      </c>
      <c r="B94" t="inlineStr"/>
      <c r="C94" t="inlineStr">
        <is>
          <t>Выборгское шоссе, 12</t>
        </is>
      </c>
      <c r="D94" t="n">
        <v>5928</v>
      </c>
      <c r="E94" t="inlineStr"/>
      <c r="F94" t="inlineStr"/>
      <c r="G94" t="inlineStr">
        <is>
          <t>890 000 000</t>
        </is>
      </c>
      <c r="H94" t="inlineStr"/>
      <c r="I94" t="inlineStr">
        <is>
          <t>Нет у нас</t>
        </is>
      </c>
      <c r="J94" t="inlineStr"/>
      <c r="K94">
        <f>HYPERLINK("https://realty.yandex.ru/offer/5890037388743480833","ссылка")</f>
        <v/>
      </c>
      <c r="L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объектов конкурента</t>
        </is>
      </c>
      <c r="B2" t="n">
        <v>93</v>
      </c>
    </row>
    <row r="3">
      <c r="A3" t="inlineStr">
        <is>
          <t>Совпали адрес+площадь (±3 м2)</t>
        </is>
      </c>
      <c r="B3" t="n">
        <v>37</v>
      </c>
    </row>
    <row r="4">
      <c r="A4" t="inlineStr">
        <is>
          <t>У конкурента дешевле (при совпадении ±3)</t>
        </is>
      </c>
      <c r="B4" t="n">
        <v>4</v>
      </c>
    </row>
    <row r="5">
      <c r="A5" t="inlineStr">
        <is>
          <t>У нас дешевле (при совпадении ±3)</t>
        </is>
      </c>
      <c r="B5" t="n">
        <v>24</v>
      </c>
    </row>
    <row r="6">
      <c r="A6" t="inlineStr">
        <is>
          <t>У нас другая сделка</t>
        </is>
      </c>
      <c r="B6" t="n">
        <v>12</v>
      </c>
    </row>
    <row r="7">
      <c r="A7" t="inlineStr">
        <is>
          <t>Спарсили с Н ПРО</t>
        </is>
      </c>
      <c r="B7" t="n">
        <v>0</v>
      </c>
    </row>
    <row r="8">
      <c r="A8" t="inlineStr">
        <is>
          <t>Нет у нас</t>
        </is>
      </c>
      <c r="B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2026-02-15T20:22:46Z</dcterms:created>
  <dcterms:modified xmlns:dcterms="http://purl.org/dc/terms/" xmlns:xsi="http://www.w3.org/2001/XMLSchema-instance" xsi:type="dcterms:W3CDTF">2026-02-15T20:22:46Z</dcterms:modified>
</cp:coreProperties>
</file>