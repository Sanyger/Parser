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й" sheetId="1" state="visible" r:id="rId1"/>
    <sheet xmlns:r="http://schemas.openxmlformats.org/officeDocument/2006/relationships" name="Статисти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конкурента</t>
        </is>
      </c>
      <c r="B1" t="inlineStr">
        <is>
          <t>Район</t>
        </is>
      </c>
      <c r="C1" t="inlineStr">
        <is>
          <t>Адрес</t>
        </is>
      </c>
      <c r="D1" t="inlineStr">
        <is>
          <t>Площадь конкурента, м2</t>
        </is>
      </c>
      <c r="E1" t="inlineStr">
        <is>
          <t>Площадь у нас, м2</t>
        </is>
      </c>
      <c r="F1" t="inlineStr">
        <is>
          <t>Δ площадь, м2</t>
        </is>
      </c>
      <c r="G1" t="inlineStr">
        <is>
          <t>Цена конкурента</t>
        </is>
      </c>
      <c r="H1" t="inlineStr">
        <is>
          <t>Цена у нас</t>
        </is>
      </c>
      <c r="I1" t="inlineStr">
        <is>
          <t>Вывод</t>
        </is>
      </c>
      <c r="J1" t="inlineStr">
        <is>
          <t>Примечание</t>
        </is>
      </c>
      <c r="K1" t="inlineStr">
        <is>
          <t>Ссылка конкурента</t>
        </is>
      </c>
      <c r="L1" t="inlineStr">
        <is>
          <t>Ссылка у нас</t>
        </is>
      </c>
    </row>
    <row r="2">
      <c r="A2" t="n">
        <v>1</v>
      </c>
      <c r="B2" t="inlineStr"/>
      <c r="C2" t="inlineStr">
        <is>
          <t>Каменноостровский, 17</t>
        </is>
      </c>
      <c r="D2" t="n">
        <v>132</v>
      </c>
      <c r="E2" t="n">
        <v>135</v>
      </c>
      <c r="F2" t="n">
        <v>3</v>
      </c>
      <c r="G2" t="inlineStr">
        <is>
          <t>550 000</t>
        </is>
      </c>
      <c r="H2" t="inlineStr">
        <is>
          <t>540 000</t>
        </is>
      </c>
      <c r="I2" t="inlineStr">
        <is>
          <t>У нас дешевле, объект в архиве</t>
        </is>
      </c>
      <c r="J2" t="inlineStr"/>
      <c r="K2">
        <f>HYPERLINK("https://rest2rent.yucrm.ru/s/xiz0lcq4","ссылка")</f>
        <v/>
      </c>
      <c r="L2">
        <f>HYPERLINK("https://app.worldcafe.ru/object/8622","ссылка")</f>
        <v/>
      </c>
    </row>
    <row r="3">
      <c r="A3" t="n">
        <v>5</v>
      </c>
      <c r="B3" t="inlineStr"/>
      <c r="C3" t="inlineStr">
        <is>
          <t>Наличная 44</t>
        </is>
      </c>
      <c r="D3" t="n">
        <v>271</v>
      </c>
      <c r="E3" t="n">
        <v>271.5</v>
      </c>
      <c r="F3" t="n">
        <v>0.5</v>
      </c>
      <c r="G3" t="inlineStr">
        <is>
          <t>120 000 000</t>
        </is>
      </c>
      <c r="H3" t="inlineStr">
        <is>
          <t>100 000 000</t>
        </is>
      </c>
      <c r="I3" t="inlineStr">
        <is>
          <t>У нас дешевле, объект в архиве</t>
        </is>
      </c>
      <c r="J3" t="inlineStr"/>
      <c r="K3">
        <f>HYPERLINK("https://rest2rent.yucrm.ru/s/v14f80og","ссылка")</f>
        <v/>
      </c>
      <c r="L3">
        <f>HYPERLINK("https://app.worldcafe.ru/object/12000","ссылка")</f>
        <v/>
      </c>
    </row>
    <row r="4">
      <c r="A4" t="n">
        <v>6</v>
      </c>
      <c r="B4" t="inlineStr"/>
      <c r="C4" t="inlineStr">
        <is>
          <t>Лесной 59</t>
        </is>
      </c>
      <c r="D4" t="n">
        <v>116</v>
      </c>
      <c r="E4" t="n">
        <v>115.9</v>
      </c>
      <c r="F4" t="n">
        <v>0.1</v>
      </c>
      <c r="G4" t="inlineStr">
        <is>
          <t>53 000 000</t>
        </is>
      </c>
      <c r="H4" t="inlineStr">
        <is>
          <t>15 500 000</t>
        </is>
      </c>
      <c r="I4" t="inlineStr">
        <is>
          <t>У нас дешевле, объект в архиве</t>
        </is>
      </c>
      <c r="J4" t="inlineStr"/>
      <c r="K4">
        <f>HYPERLINK("https://rest2rent.yucrm.ru/s/m96ufg5g","ссылка")</f>
        <v/>
      </c>
      <c r="L4">
        <f>HYPERLINK("https://app.worldcafe.ru/object/11542","ссылка")</f>
        <v/>
      </c>
    </row>
    <row r="5">
      <c r="A5" t="n">
        <v>4</v>
      </c>
      <c r="B5" t="inlineStr"/>
      <c r="C5" t="inlineStr">
        <is>
          <t>Жуковского 38</t>
        </is>
      </c>
      <c r="D5" t="n">
        <v>92.40000000000001</v>
      </c>
      <c r="E5" t="n">
        <v>60.8</v>
      </c>
      <c r="F5" t="n">
        <v>31.6</v>
      </c>
      <c r="G5" t="inlineStr">
        <is>
          <t>47 000 000</t>
        </is>
      </c>
      <c r="H5" t="inlineStr">
        <is>
          <t>0</t>
        </is>
      </c>
      <c r="I5" t="inlineStr">
        <is>
          <t>По адресу есть, но площадь другая, объект в архиве, у нас другая сделка</t>
        </is>
      </c>
      <c r="J5" t="inlineStr"/>
      <c r="K5">
        <f>HYPERLINK("https://rest2rent.yucrm.ru/s/t8lrz0b6","ссылка")</f>
        <v/>
      </c>
      <c r="L5">
        <f>HYPERLINK("https://app.worldcafe.ru/object/14137","ссылка")</f>
        <v/>
      </c>
    </row>
    <row r="6">
      <c r="A6" t="n">
        <v>2</v>
      </c>
      <c r="B6" t="inlineStr"/>
      <c r="C6" t="inlineStr">
        <is>
          <t>Невский 48 Пассаж</t>
        </is>
      </c>
      <c r="D6" t="n">
        <v>100</v>
      </c>
      <c r="E6" t="inlineStr"/>
      <c r="F6" t="inlineStr"/>
      <c r="G6" t="inlineStr"/>
      <c r="H6" t="inlineStr"/>
      <c r="I6" t="inlineStr">
        <is>
          <t>Нет у нас</t>
        </is>
      </c>
      <c r="J6" t="inlineStr"/>
      <c r="K6">
        <f>HYPERLINK("https://rest2rent.yucrm.ru/s/n6pn6tx1","ссылка")</f>
        <v/>
      </c>
      <c r="L6" t="inlineStr"/>
    </row>
    <row r="7">
      <c r="A7" t="n">
        <v>3</v>
      </c>
      <c r="B7" t="inlineStr"/>
      <c r="C7" t="inlineStr">
        <is>
          <t>Фонтанки 109</t>
        </is>
      </c>
      <c r="D7" t="n">
        <v>81</v>
      </c>
      <c r="E7" t="inlineStr"/>
      <c r="F7" t="inlineStr"/>
      <c r="G7" t="inlineStr">
        <is>
          <t>243 000</t>
        </is>
      </c>
      <c r="H7" t="inlineStr"/>
      <c r="I7" t="inlineStr">
        <is>
          <t>Нет у нас</t>
        </is>
      </c>
      <c r="J7" t="inlineStr"/>
      <c r="K7">
        <f>HYPERLINK("https://rest2rent.yucrm.ru/s/z76aie43","ссылка")</f>
        <v/>
      </c>
      <c r="L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Всего объектов конкурента</t>
        </is>
      </c>
      <c r="B2" t="n">
        <v>6</v>
      </c>
    </row>
    <row r="3">
      <c r="A3" t="inlineStr">
        <is>
          <t>Совпали адрес+площадь (±3 м2)</t>
        </is>
      </c>
      <c r="B3" t="n">
        <v>3</v>
      </c>
    </row>
    <row r="4">
      <c r="A4" t="inlineStr">
        <is>
          <t>У конкурента дешевле (при совпадении ±3)</t>
        </is>
      </c>
      <c r="B4" t="n">
        <v>0</v>
      </c>
    </row>
    <row r="5">
      <c r="A5" t="inlineStr">
        <is>
          <t>У нас дешевле (при совпадении ±3)</t>
        </is>
      </c>
      <c r="B5" t="n">
        <v>3</v>
      </c>
    </row>
    <row r="6">
      <c r="A6" t="inlineStr">
        <is>
          <t>У нас другая сделка</t>
        </is>
      </c>
      <c r="B6" t="n">
        <v>1</v>
      </c>
    </row>
    <row r="7">
      <c r="A7" t="inlineStr">
        <is>
          <t>Спарсили с Н ПРО</t>
        </is>
      </c>
      <c r="B7" t="n">
        <v>0</v>
      </c>
    </row>
    <row r="8">
      <c r="A8" t="inlineStr">
        <is>
          <t>Нет у нас</t>
        </is>
      </c>
      <c r="B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2026-02-15T20:12:11Z</dcterms:created>
  <dcterms:modified xmlns:dcterms="http://purl.org/dc/terms/" xmlns:xsi="http://www.w3.org/2001/XMLSchema-instance" xsi:type="dcterms:W3CDTF">2026-02-15T20:12:11Z</dcterms:modified>
</cp:coreProperties>
</file>