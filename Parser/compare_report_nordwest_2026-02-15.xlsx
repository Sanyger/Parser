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лавный" sheetId="1" state="visible" r:id="rId1"/>
    <sheet xmlns:r="http://schemas.openxmlformats.org/officeDocument/2006/relationships" name="Статисти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конкурента</t>
        </is>
      </c>
      <c r="B1" t="inlineStr">
        <is>
          <t>Район</t>
        </is>
      </c>
      <c r="C1" t="inlineStr">
        <is>
          <t>Адрес</t>
        </is>
      </c>
      <c r="D1" t="inlineStr">
        <is>
          <t>Площадь конкурента, м2</t>
        </is>
      </c>
      <c r="E1" t="inlineStr">
        <is>
          <t>Площадь у нас, м2</t>
        </is>
      </c>
      <c r="F1" t="inlineStr">
        <is>
          <t>Δ площадь, м2</t>
        </is>
      </c>
      <c r="G1" t="inlineStr">
        <is>
          <t>Цена конкурента</t>
        </is>
      </c>
      <c r="H1" t="inlineStr">
        <is>
          <t>Цена у нас</t>
        </is>
      </c>
      <c r="I1" t="inlineStr">
        <is>
          <t>Вывод</t>
        </is>
      </c>
      <c r="J1" t="inlineStr">
        <is>
          <t>Примечание</t>
        </is>
      </c>
      <c r="K1" t="inlineStr">
        <is>
          <t>Ссылка конкурента</t>
        </is>
      </c>
      <c r="L1" t="inlineStr">
        <is>
          <t>Ссылка у нас</t>
        </is>
      </c>
    </row>
    <row r="2">
      <c r="A2" t="n">
        <v>40</v>
      </c>
      <c r="B2" t="inlineStr"/>
      <c r="C2" t="inlineStr">
        <is>
          <t>Санкт-Петербург г, Будапештская ул, 39</t>
        </is>
      </c>
      <c r="D2" t="n">
        <v>42</v>
      </c>
      <c r="E2" t="n">
        <v>45</v>
      </c>
      <c r="F2" t="n">
        <v>3</v>
      </c>
      <c r="G2" t="inlineStr">
        <is>
          <t>17 500 000</t>
        </is>
      </c>
      <c r="H2" t="inlineStr">
        <is>
          <t>11 700 000</t>
        </is>
      </c>
      <c r="I2" t="inlineStr">
        <is>
          <t>У нас дешевле, объект в архиве</t>
        </is>
      </c>
      <c r="J2" t="inlineStr"/>
      <c r="K2">
        <f>HYPERLINK("https://nordwestinvest.ru/real-estates/pomeshhenie-s-arendatorom-wildberries","ссылка")</f>
        <v/>
      </c>
      <c r="L2">
        <f>HYPERLINK("https://app.worldcafe.ru/object/12893","ссылка")</f>
        <v/>
      </c>
    </row>
    <row r="3">
      <c r="A3" t="n">
        <v>42</v>
      </c>
      <c r="B3" t="inlineStr"/>
      <c r="C3" t="inlineStr">
        <is>
          <t>Санкт-Петербург г, Английский пр-кт, 26</t>
        </is>
      </c>
      <c r="D3" t="n">
        <v>52</v>
      </c>
      <c r="E3" t="n">
        <v>52</v>
      </c>
      <c r="F3" t="n">
        <v>0</v>
      </c>
      <c r="G3" t="inlineStr">
        <is>
          <t>11 500 000</t>
        </is>
      </c>
      <c r="H3" t="inlineStr">
        <is>
          <t>11 000 000</t>
        </is>
      </c>
      <c r="I3" t="inlineStr">
        <is>
          <t>У нас дешевле, объект в архиве</t>
        </is>
      </c>
      <c r="J3" t="inlineStr"/>
      <c r="K3">
        <f>HYPERLINK("https://nordwestinvest.ru/real-estates/pomeshhenie-s-arendatorom-52-m2","ссылка")</f>
        <v/>
      </c>
      <c r="L3">
        <f>HYPERLINK("https://app.worldcafe.ru/object/19729","ссылка")</f>
        <v/>
      </c>
    </row>
    <row r="4">
      <c r="A4" t="n">
        <v>46</v>
      </c>
      <c r="B4" t="inlineStr"/>
      <c r="C4" t="inlineStr">
        <is>
          <t>Санкт-Петербург г, Будапештская ул, 53</t>
        </is>
      </c>
      <c r="D4" t="n">
        <v>194.2</v>
      </c>
      <c r="E4" t="n">
        <v>194.2</v>
      </c>
      <c r="F4" t="n">
        <v>0</v>
      </c>
      <c r="G4" t="inlineStr">
        <is>
          <t>56 900 000</t>
        </is>
      </c>
      <c r="H4" t="inlineStr">
        <is>
          <t>44 089 500</t>
        </is>
      </c>
      <c r="I4" t="inlineStr">
        <is>
          <t>У нас дешевле, объект в архиве</t>
        </is>
      </c>
      <c r="J4" t="inlineStr"/>
      <c r="K4">
        <f>HYPERLINK("https://nordwestinvest.ru/real-estates/prodaza-1942-m2-s-arendatorom-magazin-produktov-1","ссылка")</f>
        <v/>
      </c>
      <c r="L4">
        <f>HYPERLINK("https://app.worldcafe.ru/object/15616","ссылка")</f>
        <v/>
      </c>
    </row>
    <row r="5">
      <c r="A5" t="n">
        <v>80</v>
      </c>
      <c r="B5" t="inlineStr"/>
      <c r="C5" t="inlineStr">
        <is>
          <t>Санкт-Петербург г, Ленинский пр-кт, 72к1</t>
        </is>
      </c>
      <c r="D5" t="n">
        <v>185</v>
      </c>
      <c r="E5" t="n">
        <v>185</v>
      </c>
      <c r="F5" t="n">
        <v>0</v>
      </c>
      <c r="G5" t="inlineStr">
        <is>
          <t>88 900 000</t>
        </is>
      </c>
      <c r="H5" t="inlineStr">
        <is>
          <t>85 000 000</t>
        </is>
      </c>
      <c r="I5" t="inlineStr">
        <is>
          <t>У нас дешевле, объект на сайте</t>
        </is>
      </c>
      <c r="J5" t="inlineStr"/>
      <c r="K5">
        <f>HYPERLINK("https://nordwestinvest.ru/real-estates/prodaza-uglovogo-pomeshheniia-s-dvumia-arendatorami","ссылка")</f>
        <v/>
      </c>
      <c r="L5">
        <f>HYPERLINK("https://app.worldcafe.ru/object/19436","ссылка")</f>
        <v/>
      </c>
    </row>
    <row r="6">
      <c r="A6" t="n">
        <v>87</v>
      </c>
      <c r="B6" t="inlineStr"/>
      <c r="C6" t="inlineStr">
        <is>
          <t>Санкт-Петербург г, Коломенская ул, 46</t>
        </is>
      </c>
      <c r="D6" t="n">
        <v>110.6</v>
      </c>
      <c r="E6" t="n">
        <v>110.7</v>
      </c>
      <c r="F6" t="n">
        <v>0.1</v>
      </c>
      <c r="G6" t="inlineStr">
        <is>
          <t>32 000 000</t>
        </is>
      </c>
      <c r="H6" t="inlineStr">
        <is>
          <t>0</t>
        </is>
      </c>
      <c r="I6" t="inlineStr">
        <is>
          <t>У нас дешевле, объект в архиве</t>
        </is>
      </c>
      <c r="J6" t="inlineStr"/>
      <c r="K6">
        <f>HYPERLINK("https://nordwestinvest.ru/real-estates/prodaza-pomeshheniia-ugol-doma-1106m","ссылка")</f>
        <v/>
      </c>
      <c r="L6">
        <f>HYPERLINK("https://app.worldcafe.ru/object/19341","ссылка")</f>
        <v/>
      </c>
    </row>
    <row r="7">
      <c r="A7" t="n">
        <v>113</v>
      </c>
      <c r="B7" t="inlineStr"/>
      <c r="C7" t="inlineStr">
        <is>
          <t>Санкт-Петербург г, Лермонтовский пр-кт, 48</t>
        </is>
      </c>
      <c r="D7" t="n">
        <v>870</v>
      </c>
      <c r="E7" t="n">
        <v>870.1</v>
      </c>
      <c r="F7" t="n">
        <v>0.1</v>
      </c>
      <c r="G7" t="inlineStr">
        <is>
          <t>180 000 000</t>
        </is>
      </c>
      <c r="H7" t="inlineStr">
        <is>
          <t>0</t>
        </is>
      </c>
      <c r="I7" t="inlineStr">
        <is>
          <t>У нас дешевле, объект в архиве</t>
        </is>
      </c>
      <c r="J7" t="inlineStr"/>
      <c r="K7">
        <f>HYPERLINK("https://nordwestinvest.ru/real-estates/prodaza-dvux-etaznogo-zdaniia-1","ссылка")</f>
        <v/>
      </c>
      <c r="L7">
        <f>HYPERLINK("https://app.worldcafe.ru/object/14293","ссылка")</f>
        <v/>
      </c>
    </row>
    <row r="8">
      <c r="A8" t="n">
        <v>119</v>
      </c>
      <c r="B8" t="inlineStr"/>
      <c r="C8" t="inlineStr">
        <is>
          <t>Ленинградская обл, Мурино г, Оборонная ул, 2к3</t>
        </is>
      </c>
      <c r="D8" t="n">
        <v>203.6</v>
      </c>
      <c r="E8" t="n">
        <v>203.6</v>
      </c>
      <c r="F8" t="n">
        <v>0</v>
      </c>
      <c r="G8" t="inlineStr">
        <is>
          <t>42 500 000</t>
        </is>
      </c>
      <c r="H8" t="inlineStr">
        <is>
          <t>34 000 000</t>
        </is>
      </c>
      <c r="I8" t="inlineStr">
        <is>
          <t>У нас дешевле, объект в архиве</t>
        </is>
      </c>
      <c r="J8" t="inlineStr"/>
      <c r="K8">
        <f>HYPERLINK("https://nordwestinvest.ru/real-estates/prodaza-kommerceskogo-pomeshheniia-2036-m2-1","ссылка")</f>
        <v/>
      </c>
      <c r="L8">
        <f>HYPERLINK("https://app.worldcafe.ru/object/15619","ссылка")</f>
        <v/>
      </c>
    </row>
    <row r="9">
      <c r="A9" t="n">
        <v>141</v>
      </c>
      <c r="B9" t="inlineStr"/>
      <c r="C9" t="inlineStr">
        <is>
          <t>Санкт-Петербург г, Маяковского ул, 7/27</t>
        </is>
      </c>
      <c r="D9" t="n">
        <v>142</v>
      </c>
      <c r="E9" t="n">
        <v>142</v>
      </c>
      <c r="F9" t="n">
        <v>0</v>
      </c>
      <c r="G9" t="inlineStr">
        <is>
          <t>85 200 000</t>
        </is>
      </c>
      <c r="H9" t="inlineStr">
        <is>
          <t>69 990 000</t>
        </is>
      </c>
      <c r="I9" t="inlineStr">
        <is>
          <t>У нас дешевле, объект на сайте</t>
        </is>
      </c>
      <c r="J9" t="inlineStr"/>
      <c r="K9">
        <f>HYPERLINK("https://nordwestinvest.ru/real-estates/pomeshhenie-v-centre-goroda-na-trafike","ссылка")</f>
        <v/>
      </c>
      <c r="L9">
        <f>HYPERLINK("https://app.worldcafe.ru/object/13721","ссылка")</f>
        <v/>
      </c>
    </row>
    <row r="10">
      <c r="A10" t="n">
        <v>150</v>
      </c>
      <c r="B10" t="inlineStr"/>
      <c r="C10" t="inlineStr">
        <is>
          <t>Санкт-Петербург г, Мытнинская ул, 5/2</t>
        </is>
      </c>
      <c r="D10" t="n">
        <v>229.7</v>
      </c>
      <c r="E10" t="n">
        <v>230</v>
      </c>
      <c r="F10" t="n">
        <v>0.3</v>
      </c>
      <c r="G10" t="inlineStr">
        <is>
          <t>64 000 000</t>
        </is>
      </c>
      <c r="H10" t="inlineStr">
        <is>
          <t>38 000 000</t>
        </is>
      </c>
      <c r="I10" t="inlineStr">
        <is>
          <t>У нас дешевле, объект в архиве</t>
        </is>
      </c>
      <c r="J10" t="inlineStr"/>
      <c r="K10">
        <f>HYPERLINK("https://nordwestinvest.ru/real-estates/prodaza-pomeshheniia-s-panoramnymi-oknami-1","ссылка")</f>
        <v/>
      </c>
      <c r="L10">
        <f>HYPERLINK("https://app.worldcafe.ru/object/12652","ссылка")</f>
        <v/>
      </c>
    </row>
    <row r="11">
      <c r="A11" t="n">
        <v>165</v>
      </c>
      <c r="B11" t="inlineStr"/>
      <c r="C11" t="inlineStr">
        <is>
          <t>Санкт-Петербург г, Мытнинская ул, 5/2</t>
        </is>
      </c>
      <c r="D11" t="n">
        <v>229.7</v>
      </c>
      <c r="E11" t="n">
        <v>230</v>
      </c>
      <c r="F11" t="n">
        <v>0.3</v>
      </c>
      <c r="G11" t="inlineStr">
        <is>
          <t>69 999 999</t>
        </is>
      </c>
      <c r="H11" t="inlineStr">
        <is>
          <t>38 000 000</t>
        </is>
      </c>
      <c r="I11" t="inlineStr">
        <is>
          <t>У нас дешевле, объект в архиве</t>
        </is>
      </c>
      <c r="J11" t="inlineStr"/>
      <c r="K11">
        <f>HYPERLINK("https://nordwestinvest.ru/real-estates/prodaza-pomeshheniia-pod-medicinskii-centr","ссылка")</f>
        <v/>
      </c>
      <c r="L11">
        <f>HYPERLINK("https://app.worldcafe.ru/object/12652","ссылка")</f>
        <v/>
      </c>
    </row>
    <row r="12">
      <c r="A12" t="n">
        <v>274</v>
      </c>
      <c r="B12" t="inlineStr"/>
      <c r="C12" t="inlineStr">
        <is>
          <t>Санкт-Петербург г, Тихоокеанская, 1к1</t>
        </is>
      </c>
      <c r="D12" t="n">
        <v>181.6</v>
      </c>
      <c r="E12" t="n">
        <v>181.6</v>
      </c>
      <c r="F12" t="n">
        <v>0</v>
      </c>
      <c r="G12" t="inlineStr">
        <is>
          <t>29 056 000</t>
        </is>
      </c>
      <c r="H12" t="inlineStr">
        <is>
          <t>0</t>
        </is>
      </c>
      <c r="I12" t="inlineStr">
        <is>
          <t>У нас дешевле, объект в архиве</t>
        </is>
      </c>
      <c r="J12" t="inlineStr"/>
      <c r="K12">
        <f>HYPERLINK("https://nordwestinvest.ru/real-estates/prodaza-votonia-1816m2-1","ссылка")</f>
        <v/>
      </c>
      <c r="L12">
        <f>HYPERLINK("https://app.worldcafe.ru/object/18946","ссылка")</f>
        <v/>
      </c>
    </row>
    <row r="13">
      <c r="A13" t="n">
        <v>277</v>
      </c>
      <c r="B13" t="inlineStr"/>
      <c r="C13" t="inlineStr">
        <is>
          <t>Санкт-Петербург г, Дегтярная ул, 31</t>
        </is>
      </c>
      <c r="D13" t="n">
        <v>180</v>
      </c>
      <c r="E13" t="n">
        <v>180</v>
      </c>
      <c r="F13" t="n">
        <v>0</v>
      </c>
      <c r="G13" t="inlineStr">
        <is>
          <t>50 000 000</t>
        </is>
      </c>
      <c r="H13" t="inlineStr">
        <is>
          <t>49 999 532</t>
        </is>
      </c>
      <c r="I13" t="inlineStr">
        <is>
          <t>У нас дешевле, объект в архиве</t>
        </is>
      </c>
      <c r="J13" t="inlineStr"/>
      <c r="K13">
        <f>HYPERLINK("https://nordwestinvest.ru/real-estates/prodaza-gab-krasnoe-i-beloe-i-vb-4","ссылка")</f>
        <v/>
      </c>
      <c r="L13">
        <f>HYPERLINK("https://app.worldcafe.ru/object/19544","ссылка")</f>
        <v/>
      </c>
    </row>
    <row r="14">
      <c r="A14" t="n">
        <v>373</v>
      </c>
      <c r="B14" t="inlineStr"/>
      <c r="C14" t="inlineStr">
        <is>
          <t>Санкт-Петербург г, Стачек пр-кт, 75</t>
        </is>
      </c>
      <c r="D14" t="n">
        <v>34.3</v>
      </c>
      <c r="E14" t="n">
        <v>34.3</v>
      </c>
      <c r="F14" t="n">
        <v>0</v>
      </c>
      <c r="G14" t="inlineStr">
        <is>
          <t>30 000 000</t>
        </is>
      </c>
      <c r="H14" t="inlineStr">
        <is>
          <t>26 000 000</t>
        </is>
      </c>
      <c r="I14" t="inlineStr">
        <is>
          <t>У нас дешевле, объект в архиве</t>
        </is>
      </c>
      <c r="J14" t="inlineStr"/>
      <c r="K14">
        <f>HYPERLINK("https://nordwestinvest.ru/real-estates/prodaza-pomeshheniia-s-arendatorom-produkty","ссылка")</f>
        <v/>
      </c>
      <c r="L14">
        <f>HYPERLINK("https://app.worldcafe.ru/object/19865","ссылка")</f>
        <v/>
      </c>
    </row>
    <row r="15">
      <c r="A15" t="n">
        <v>374</v>
      </c>
      <c r="B15" t="inlineStr"/>
      <c r="C15" t="inlineStr">
        <is>
          <t>Санкт-Петербург г, Стачек пр-кт, 75</t>
        </is>
      </c>
      <c r="D15" t="n">
        <v>133.5</v>
      </c>
      <c r="E15" t="n">
        <v>133.5</v>
      </c>
      <c r="F15" t="n">
        <v>0</v>
      </c>
      <c r="G15" t="inlineStr">
        <is>
          <t>55 000 000</t>
        </is>
      </c>
      <c r="H15" t="inlineStr">
        <is>
          <t>39 000 000</t>
        </is>
      </c>
      <c r="I15" t="inlineStr">
        <is>
          <t>У нас дешевле, объект на сайте</t>
        </is>
      </c>
      <c r="J15" t="inlineStr"/>
      <c r="K15">
        <f>HYPERLINK("https://nordwestinvest.ru/real-estates/prodaza-pomeshheniia-s-arendatorom-aptekoi-stolicki","ссылка")</f>
        <v/>
      </c>
      <c r="L15">
        <f>HYPERLINK("https://app.worldcafe.ru/object/15710","ссылка")</f>
        <v/>
      </c>
    </row>
    <row r="16">
      <c r="A16" t="n">
        <v>379</v>
      </c>
      <c r="B16" t="inlineStr"/>
      <c r="C16" t="inlineStr">
        <is>
          <t>Санкт-Петербург г, Лиговский пр-кт, 115</t>
        </is>
      </c>
      <c r="D16" t="n">
        <v>2100</v>
      </c>
      <c r="E16" t="n">
        <v>2100</v>
      </c>
      <c r="F16" t="n">
        <v>0</v>
      </c>
      <c r="G16" t="inlineStr">
        <is>
          <t>400 000 000</t>
        </is>
      </c>
      <c r="H16" t="inlineStr">
        <is>
          <t>350 000 000</t>
        </is>
      </c>
      <c r="I16" t="inlineStr">
        <is>
          <t>У нас дешевле, объект на сайте</t>
        </is>
      </c>
      <c r="J16" t="inlineStr"/>
      <c r="K16">
        <f>HYPERLINK("https://nordwestinvest.ru/real-estates/prodaza-zdaniia-2100-m2-u-metro","ссылка")</f>
        <v/>
      </c>
      <c r="L16">
        <f>HYPERLINK("https://app.worldcafe.ru/object/20206","ссылка")</f>
        <v/>
      </c>
    </row>
    <row r="17">
      <c r="A17" t="n">
        <v>445</v>
      </c>
      <c r="B17" t="inlineStr"/>
      <c r="C17" t="inlineStr">
        <is>
          <t>Ленинградская обл, Победа тер, Мира, 2А</t>
        </is>
      </c>
      <c r="D17" t="n">
        <v>541.3</v>
      </c>
      <c r="E17" t="n">
        <v>541.3</v>
      </c>
      <c r="F17" t="n">
        <v>0</v>
      </c>
      <c r="G17" t="inlineStr">
        <is>
          <t>60 000 000</t>
        </is>
      </c>
      <c r="H17" t="inlineStr">
        <is>
          <t>30 000 000</t>
        </is>
      </c>
      <c r="I17" t="inlineStr">
        <is>
          <t>У нас дешевле, объект на сайте</t>
        </is>
      </c>
      <c r="J17" t="inlineStr"/>
      <c r="K17">
        <f>HYPERLINK("https://nordwestinvest.ru/real-estates/prodaza-osz-magnit-s-zemelnym-ucastkom","ссылка")</f>
        <v/>
      </c>
      <c r="L17">
        <f>HYPERLINK("https://app.worldcafe.ru/object/19602","ссылка")</f>
        <v/>
      </c>
    </row>
    <row r="18">
      <c r="A18" t="n">
        <v>492</v>
      </c>
      <c r="B18" t="inlineStr"/>
      <c r="C18" t="inlineStr">
        <is>
          <t>Ленинградская обл, Мурино г, Новая ул, 8</t>
        </is>
      </c>
      <c r="D18" t="n">
        <v>3376</v>
      </c>
      <c r="E18" t="n">
        <v>3376</v>
      </c>
      <c r="F18" t="n">
        <v>0</v>
      </c>
      <c r="G18" t="inlineStr">
        <is>
          <t>300 000 000</t>
        </is>
      </c>
      <c r="H18" t="inlineStr">
        <is>
          <t>249 950 000</t>
        </is>
      </c>
      <c r="I18" t="inlineStr">
        <is>
          <t>У нас дешевле, объект в архиве</t>
        </is>
      </c>
      <c r="J18" t="inlineStr"/>
      <c r="K18">
        <f>HYPERLINK("https://nordwestinvest.ru/real-estates/prodaza-doli-tk-murino","ссылка")</f>
        <v/>
      </c>
      <c r="L18">
        <f>HYPERLINK("https://app.worldcafe.ru/object/16864","ссылка")</f>
        <v/>
      </c>
    </row>
    <row r="19">
      <c r="A19" t="n">
        <v>573</v>
      </c>
      <c r="B19" t="inlineStr"/>
      <c r="C19" t="inlineStr">
        <is>
          <t>Санкт-Петербург г, Косая линия, 24/25</t>
        </is>
      </c>
      <c r="D19" t="n">
        <v>81.2</v>
      </c>
      <c r="E19" t="n">
        <v>82.09999999999999</v>
      </c>
      <c r="F19" t="n">
        <v>0.9</v>
      </c>
      <c r="G19" t="inlineStr">
        <is>
          <t>15 300 000</t>
        </is>
      </c>
      <c r="H19" t="inlineStr">
        <is>
          <t>0</t>
        </is>
      </c>
      <c r="I19" t="inlineStr">
        <is>
          <t>У нас дешевле, объект в архиве</t>
        </is>
      </c>
      <c r="J19" t="inlineStr"/>
      <c r="K19">
        <f>HYPERLINK("https://nordwestinvest.ru/real-estates/prodaza-pomeshheniia-ploshhadiu-82-m2-s-arendatorom","ссылка")</f>
        <v/>
      </c>
      <c r="L19">
        <f>HYPERLINK("https://app.worldcafe.ru/object/14806","ссылка")</f>
        <v/>
      </c>
    </row>
    <row r="20">
      <c r="A20" t="n">
        <v>580</v>
      </c>
      <c r="B20" t="inlineStr"/>
      <c r="C20" t="inlineStr">
        <is>
          <t>Санкт-Петербург г, Авиаконструкторов пр-кт, 1</t>
        </is>
      </c>
      <c r="D20" t="n">
        <v>53</v>
      </c>
      <c r="E20" t="n">
        <v>53</v>
      </c>
      <c r="F20" t="n">
        <v>0</v>
      </c>
      <c r="G20" t="inlineStr">
        <is>
          <t>18 900 000</t>
        </is>
      </c>
      <c r="H20" t="inlineStr">
        <is>
          <t>17 700 000</t>
        </is>
      </c>
      <c r="I20" t="inlineStr">
        <is>
          <t>У нас дешевле, объект в архиве</t>
        </is>
      </c>
      <c r="J20" t="inlineStr"/>
      <c r="K20">
        <f>HYPERLINK("https://nordwestinvest.ru/real-estates/prodaza-pomeshheniia-53-m2-s-arendatorom-sdek","ссылка")</f>
        <v/>
      </c>
      <c r="L20">
        <f>HYPERLINK("https://app.worldcafe.ru/object/14425","ссылка")</f>
        <v/>
      </c>
    </row>
    <row r="21">
      <c r="A21" t="n">
        <v>582</v>
      </c>
      <c r="B21" t="inlineStr"/>
      <c r="C21" t="inlineStr">
        <is>
          <t>Санкт-Петербург г, Будапештская ул, 39</t>
        </is>
      </c>
      <c r="D21" t="n">
        <v>42</v>
      </c>
      <c r="E21" t="n">
        <v>45</v>
      </c>
      <c r="F21" t="n">
        <v>3</v>
      </c>
      <c r="G21" t="inlineStr">
        <is>
          <t>16 000 000</t>
        </is>
      </c>
      <c r="H21" t="inlineStr">
        <is>
          <t>11 700 000</t>
        </is>
      </c>
      <c r="I21" t="inlineStr">
        <is>
          <t>У нас дешевле, объект в архиве</t>
        </is>
      </c>
      <c r="J21" t="inlineStr"/>
      <c r="K21">
        <f>HYPERLINK("https://nordwestinvest.ru/real-estates/prodaza-pomeshheniia-s-arendatorami-trafik","ссылка")</f>
        <v/>
      </c>
      <c r="L21">
        <f>HYPERLINK("https://app.worldcafe.ru/object/12893","ссылка")</f>
        <v/>
      </c>
    </row>
    <row r="22">
      <c r="A22" t="n">
        <v>584</v>
      </c>
      <c r="B22" t="inlineStr"/>
      <c r="C22" t="inlineStr">
        <is>
          <t>Санкт-Петербург г, Тихая ул, 12</t>
        </is>
      </c>
      <c r="D22" t="n">
        <v>1497</v>
      </c>
      <c r="E22" t="n">
        <v>1497</v>
      </c>
      <c r="F22" t="n">
        <v>0</v>
      </c>
      <c r="G22" t="inlineStr">
        <is>
          <t>330 000 000</t>
        </is>
      </c>
      <c r="H22" t="inlineStr">
        <is>
          <t>0</t>
        </is>
      </c>
      <c r="I22" t="inlineStr">
        <is>
          <t>У нас дешевле, объект в архиве</t>
        </is>
      </c>
      <c r="J22" t="inlineStr"/>
      <c r="K22">
        <f>HYPERLINK("https://nordwestinvest.ru/real-estates/prodaza-tk-v-2-x-minutax-ot-metro","ссылка")</f>
        <v/>
      </c>
      <c r="L22">
        <f>HYPERLINK("https://app.worldcafe.ru/object/15594","ссылка")</f>
        <v/>
      </c>
    </row>
    <row r="23">
      <c r="A23" t="n">
        <v>54</v>
      </c>
      <c r="B23" t="inlineStr"/>
      <c r="C23" t="inlineStr">
        <is>
          <t>Санкт-Петербург г, Троицкий пр-кт, 7</t>
        </is>
      </c>
      <c r="D23" t="n">
        <v>391.4</v>
      </c>
      <c r="E23" t="n">
        <v>391.4</v>
      </c>
      <c r="F23" t="n">
        <v>0</v>
      </c>
      <c r="G23" t="inlineStr">
        <is>
          <t>110 000 000</t>
        </is>
      </c>
      <c r="H23" t="inlineStr">
        <is>
          <t>900 220</t>
        </is>
      </c>
      <c r="I23" t="inlineStr">
        <is>
          <t>У нас дешевле, объект на сайте, у нас другая сделка</t>
        </is>
      </c>
      <c r="J23" t="inlineStr"/>
      <c r="K23">
        <f>HYPERLINK("https://nordwestinvest.ru/real-estates/prodaza-pomeshheniia-na-vysokom-trafike-3914-m2","ссылка")</f>
        <v/>
      </c>
      <c r="L23">
        <f>HYPERLINK("https://app.worldcafe.ru/object/19986","ссылка")</f>
        <v/>
      </c>
    </row>
    <row r="24">
      <c r="A24" t="n">
        <v>68</v>
      </c>
      <c r="B24" t="inlineStr"/>
      <c r="C24" t="inlineStr">
        <is>
          <t>Санкт-Петербург г, Гривцова пер, 13/11</t>
        </is>
      </c>
      <c r="D24" t="n">
        <v>41</v>
      </c>
      <c r="E24" t="n">
        <v>41</v>
      </c>
      <c r="F24" t="n">
        <v>0</v>
      </c>
      <c r="G24" t="inlineStr">
        <is>
          <t>31 500 000</t>
        </is>
      </c>
      <c r="H24" t="inlineStr">
        <is>
          <t>190 000</t>
        </is>
      </c>
      <c r="I24" t="inlineStr">
        <is>
          <t>У нас дешевле, объект в архиве, у нас другая сделка</t>
        </is>
      </c>
      <c r="J24" t="inlineStr"/>
      <c r="K24">
        <f>HYPERLINK("https://nordwestinvest.ru/real-estates/pomeshhenie-s-arendatorom-zdravsiti","ссылка")</f>
        <v/>
      </c>
      <c r="L24">
        <f>HYPERLINK("https://app.worldcafe.ru/object/19976","ссылка")</f>
        <v/>
      </c>
    </row>
    <row r="25">
      <c r="A25" t="n">
        <v>130</v>
      </c>
      <c r="B25" t="inlineStr"/>
      <c r="C25" t="inlineStr">
        <is>
          <t>Санкт-Петербург г, Заневский пр-кт, 65</t>
        </is>
      </c>
      <c r="D25" t="n">
        <v>83.8</v>
      </c>
      <c r="E25" t="n">
        <v>83.40000000000001</v>
      </c>
      <c r="F25" t="n">
        <v>0.4</v>
      </c>
      <c r="G25" t="inlineStr">
        <is>
          <t>15 922 000</t>
        </is>
      </c>
      <c r="H25" t="inlineStr">
        <is>
          <t>224 100</t>
        </is>
      </c>
      <c r="I25" t="inlineStr">
        <is>
          <t>У нас дешевле, объект в архиве, у нас другая сделка</t>
        </is>
      </c>
      <c r="J25" t="inlineStr"/>
      <c r="K25">
        <f>HYPERLINK("https://nordwestinvest.ru/real-estates/pomeshhenie-v-tk-perron-s-salonom-krasoty","ссылка")</f>
        <v/>
      </c>
      <c r="L25">
        <f>HYPERLINK("https://app.worldcafe.ru/object/16269","ссылка")</f>
        <v/>
      </c>
    </row>
    <row r="26">
      <c r="A26" t="n">
        <v>194</v>
      </c>
      <c r="B26" t="inlineStr"/>
      <c r="C26" t="inlineStr">
        <is>
          <t>Санкт-Петербург г, Заневский пр-кт, 65а</t>
        </is>
      </c>
      <c r="D26" t="n">
        <v>82.40000000000001</v>
      </c>
      <c r="E26" t="n">
        <v>83</v>
      </c>
      <c r="F26" t="n">
        <v>0.6</v>
      </c>
      <c r="G26" t="inlineStr">
        <is>
          <t>31 724 000</t>
        </is>
      </c>
      <c r="H26" t="inlineStr">
        <is>
          <t>224 100</t>
        </is>
      </c>
      <c r="I26" t="inlineStr">
        <is>
          <t>У нас дешевле, объект в архиве, у нас другая сделка</t>
        </is>
      </c>
      <c r="J26" t="inlineStr"/>
      <c r="K26">
        <f>HYPERLINK("https://nordwestinvest.ru/real-estates/prodaza-pomeshheniia-na-vysokom-trafike-824-m2","ссылка")</f>
        <v/>
      </c>
      <c r="L26">
        <f>HYPERLINK("https://app.worldcafe.ru/object/16269","ссылка")</f>
        <v/>
      </c>
    </row>
    <row r="27">
      <c r="A27" t="n">
        <v>319</v>
      </c>
      <c r="B27" t="inlineStr"/>
      <c r="C27" t="inlineStr">
        <is>
          <t>Санкт-Петербург г, Ленина ул, 14</t>
        </is>
      </c>
      <c r="D27" t="n">
        <v>270</v>
      </c>
      <c r="E27" t="n">
        <v>270</v>
      </c>
      <c r="F27" t="n">
        <v>0</v>
      </c>
      <c r="G27" t="inlineStr">
        <is>
          <t>67 000 000</t>
        </is>
      </c>
      <c r="H27" t="inlineStr">
        <is>
          <t>1 000 000</t>
        </is>
      </c>
      <c r="I27" t="inlineStr">
        <is>
          <t>У нас дешевле, объект в архиве, у нас другая сделка</t>
        </is>
      </c>
      <c r="J27" t="inlineStr"/>
      <c r="K27">
        <f>HYPERLINK("https://nordwestinvest.ru/real-estates/psn-270-na-petroge","ссылка")</f>
        <v/>
      </c>
      <c r="L27">
        <f>HYPERLINK("https://app.worldcafe.ru/object/19345","ссылка")</f>
        <v/>
      </c>
    </row>
    <row r="28">
      <c r="A28" t="n">
        <v>21</v>
      </c>
      <c r="B28" t="inlineStr"/>
      <c r="C28" t="inlineStr">
        <is>
          <t>Санкт-Петербург г, Ветеранов пр-кт, 198</t>
        </is>
      </c>
      <c r="D28" t="n">
        <v>25</v>
      </c>
      <c r="E28" t="n">
        <v>25</v>
      </c>
      <c r="F28" t="n">
        <v>0</v>
      </c>
      <c r="G28" t="inlineStr">
        <is>
          <t>14 300 000</t>
        </is>
      </c>
      <c r="H28" t="inlineStr">
        <is>
          <t>16 500 000</t>
        </is>
      </c>
      <c r="I28" t="inlineStr">
        <is>
          <t>У нас дороже, объект на сайте</t>
        </is>
      </c>
      <c r="J28" t="inlineStr"/>
      <c r="K28">
        <f>HYPERLINK("https://nordwestinvest.ru/real-estates/obshhepit-saverma-25-m2-1","ссылка")</f>
        <v/>
      </c>
      <c r="L28">
        <f>HYPERLINK("https://app.worldcafe.ru/object/18003","ссылка")</f>
        <v/>
      </c>
    </row>
    <row r="29">
      <c r="A29" t="n">
        <v>49</v>
      </c>
      <c r="B29" t="inlineStr"/>
      <c r="C29" t="inlineStr">
        <is>
          <t>Санкт-Петербург г, Лиговский пр-кт, 19</t>
        </is>
      </c>
      <c r="D29" t="n">
        <v>92.40000000000001</v>
      </c>
      <c r="E29" t="n">
        <v>92.40000000000001</v>
      </c>
      <c r="F29" t="n">
        <v>0</v>
      </c>
      <c r="G29" t="inlineStr">
        <is>
          <t>49 900 000</t>
        </is>
      </c>
      <c r="H29" t="inlineStr">
        <is>
          <t>52 000 000</t>
        </is>
      </c>
      <c r="I29" t="inlineStr">
        <is>
          <t>У нас дороже, объект на сайте</t>
        </is>
      </c>
      <c r="J29" t="inlineStr"/>
      <c r="K29">
        <f>HYPERLINK("https://nordwestinvest.ru/real-estates/prodaza-gab-sever-metropol-naprotiv-bkz","ссылка")</f>
        <v/>
      </c>
      <c r="L29">
        <f>HYPERLINK("https://app.worldcafe.ru/object/18689","ссылка")</f>
        <v/>
      </c>
    </row>
    <row r="30">
      <c r="A30" t="n">
        <v>51</v>
      </c>
      <c r="B30" t="inlineStr"/>
      <c r="C30" t="inlineStr">
        <is>
          <t>Санкт-Петербург г, Большая Пороховская ул, 29</t>
        </is>
      </c>
      <c r="D30" t="n">
        <v>205.6</v>
      </c>
      <c r="E30" t="n">
        <v>205.6</v>
      </c>
      <c r="F30" t="n">
        <v>0</v>
      </c>
      <c r="G30" t="inlineStr">
        <is>
          <t>39 900 000</t>
        </is>
      </c>
      <c r="H30" t="inlineStr">
        <is>
          <t>42 000 000</t>
        </is>
      </c>
      <c r="I30" t="inlineStr">
        <is>
          <t>У нас дороже, объект на сайте</t>
        </is>
      </c>
      <c r="J30" t="inlineStr"/>
      <c r="K30">
        <f>HYPERLINK("https://nordwestinvest.ru/real-estates/pomeshhenie-s-magnitom-2056-m2-2","ссылка")</f>
        <v/>
      </c>
      <c r="L30">
        <f>HYPERLINK("https://app.worldcafe.ru/object/20197","ссылка")</f>
        <v/>
      </c>
    </row>
    <row r="31">
      <c r="A31" t="n">
        <v>145</v>
      </c>
      <c r="B31" t="inlineStr"/>
      <c r="C31" t="inlineStr">
        <is>
          <t>Санкт-Петербург г, Партизана Германа ул, 8к1</t>
        </is>
      </c>
      <c r="D31" t="n">
        <v>950</v>
      </c>
      <c r="E31" t="n">
        <v>950</v>
      </c>
      <c r="F31" t="n">
        <v>0</v>
      </c>
      <c r="G31" t="inlineStr">
        <is>
          <t>93 000 000</t>
        </is>
      </c>
      <c r="H31" t="inlineStr">
        <is>
          <t>100 000 000</t>
        </is>
      </c>
      <c r="I31" t="inlineStr">
        <is>
          <t>У нас дороже, объект в архиве</t>
        </is>
      </c>
      <c r="J31" t="inlineStr"/>
      <c r="K31">
        <f>HYPERLINK("https://nordwestinvest.ru/real-estates/prodaza-zdaniia-950-m2-s-zu","ссылка")</f>
        <v/>
      </c>
      <c r="L31">
        <f>HYPERLINK("https://app.worldcafe.ru/object/15600","ссылка")</f>
        <v/>
      </c>
    </row>
    <row r="32">
      <c r="A32" t="n">
        <v>249</v>
      </c>
      <c r="B32" t="inlineStr"/>
      <c r="C32" t="inlineStr">
        <is>
          <t>Санкт-Петербург г, Выборгское ш, 17к1</t>
        </is>
      </c>
      <c r="D32" t="n">
        <v>325.5</v>
      </c>
      <c r="E32" t="n">
        <v>325.5</v>
      </c>
      <c r="F32" t="n">
        <v>0</v>
      </c>
      <c r="G32" t="inlineStr">
        <is>
          <t>86 500 000</t>
        </is>
      </c>
      <c r="H32" t="inlineStr">
        <is>
          <t>95 000 000</t>
        </is>
      </c>
      <c r="I32" t="inlineStr">
        <is>
          <t>У нас дороже, объект в архиве</t>
        </is>
      </c>
      <c r="J32" t="inlineStr"/>
      <c r="K32">
        <f>HYPERLINK("https://nordwestinvest.ru/real-estates/prodaza-pomeshheniia-v","ссылка")</f>
        <v/>
      </c>
      <c r="L32">
        <f>HYPERLINK("https://app.worldcafe.ru/object/16272","ссылка")</f>
        <v/>
      </c>
    </row>
    <row r="33">
      <c r="A33" t="n">
        <v>323</v>
      </c>
      <c r="B33" t="inlineStr"/>
      <c r="C33" t="inlineStr">
        <is>
          <t>Санкт-Петербург г, Дальневосточный пр-кт, 42ж</t>
        </is>
      </c>
      <c r="D33" t="n">
        <v>166.3</v>
      </c>
      <c r="E33" t="n">
        <v>166</v>
      </c>
      <c r="F33" t="n">
        <v>0.3</v>
      </c>
      <c r="G33" t="inlineStr">
        <is>
          <t>40 000 000</t>
        </is>
      </c>
      <c r="H33" t="inlineStr">
        <is>
          <t>47 900 000</t>
        </is>
      </c>
      <c r="I33" t="inlineStr">
        <is>
          <t>У нас дороже, объект на сайте</t>
        </is>
      </c>
      <c r="J33" t="inlineStr"/>
      <c r="K33">
        <f>HYPERLINK("https://nordwestinvest.ru/real-estates/gab-magnit-ozon-1663m2","ссылка")</f>
        <v/>
      </c>
      <c r="L33">
        <f>HYPERLINK("https://app.worldcafe.ru/object/19193","ссылка")</f>
        <v/>
      </c>
    </row>
    <row r="34">
      <c r="A34" t="n">
        <v>357</v>
      </c>
      <c r="B34" t="inlineStr"/>
      <c r="C34" t="inlineStr">
        <is>
          <t>Санкт-Петербург г, Подъездной пер, 13а</t>
        </is>
      </c>
      <c r="D34" t="n">
        <v>247.1</v>
      </c>
      <c r="E34" t="n">
        <v>247.1</v>
      </c>
      <c r="F34" t="n">
        <v>0</v>
      </c>
      <c r="G34" t="inlineStr">
        <is>
          <t>80 000 000</t>
        </is>
      </c>
      <c r="H34" t="inlineStr">
        <is>
          <t>82 999 824</t>
        </is>
      </c>
      <c r="I34" t="inlineStr">
        <is>
          <t>У нас дороже, объект на сайте</t>
        </is>
      </c>
      <c r="J34" t="inlineStr"/>
      <c r="K34">
        <f>HYPERLINK("https://nordwestinvest.ru/real-estates/prodaza-pomeshheniia-pod-restoran-v-acqualinaapartmen","ссылка")</f>
        <v/>
      </c>
      <c r="L34">
        <f>HYPERLINK("https://app.worldcafe.ru/object/13575","ссылка")</f>
        <v/>
      </c>
    </row>
    <row r="35">
      <c r="A35" t="n">
        <v>577</v>
      </c>
      <c r="B35" t="inlineStr"/>
      <c r="C35" t="inlineStr">
        <is>
          <t>Парголово п, Федора Абрамова ул, 4</t>
        </is>
      </c>
      <c r="D35" t="n">
        <v>261.3</v>
      </c>
      <c r="E35" t="n">
        <v>258.8</v>
      </c>
      <c r="F35" t="n">
        <v>2.5</v>
      </c>
      <c r="G35" t="inlineStr">
        <is>
          <t>109 600 000</t>
        </is>
      </c>
      <c r="H35" t="inlineStr">
        <is>
          <t>126 800 000</t>
        </is>
      </c>
      <c r="I35" t="inlineStr">
        <is>
          <t>У нас дороже, объект в архиве</t>
        </is>
      </c>
      <c r="J35" t="inlineStr"/>
      <c r="K35">
        <f>HYPERLINK("https://nordwestinvest.ru/real-estates/prodaza-26130-m2-s-arendatorom-cvetomaniia","ссылка")</f>
        <v/>
      </c>
      <c r="L35">
        <f>HYPERLINK("https://app.worldcafe.ru/object/15618","ссылка")</f>
        <v/>
      </c>
    </row>
    <row r="36">
      <c r="A36" t="n">
        <v>53</v>
      </c>
      <c r="B36" t="inlineStr"/>
      <c r="C36" t="inlineStr">
        <is>
          <t>Санкт-Петербург г, Маршала Захарова ул, 18к1</t>
        </is>
      </c>
      <c r="D36" t="n">
        <v>185</v>
      </c>
      <c r="E36" t="n">
        <v>186</v>
      </c>
      <c r="F36" t="n">
        <v>1</v>
      </c>
      <c r="G36" t="inlineStr">
        <is>
          <t>37 000 000</t>
        </is>
      </c>
      <c r="H36" t="inlineStr">
        <is>
          <t>37 000 000</t>
        </is>
      </c>
      <c r="I36" t="inlineStr">
        <is>
          <t>Цена равна, объект на сайте</t>
        </is>
      </c>
      <c r="J36" t="inlineStr"/>
      <c r="K36">
        <f>HYPERLINK("https://nordwestinvest.ru/real-estates/prodaza-pomeshheniia-s-rosal-1","ссылка")</f>
        <v/>
      </c>
      <c r="L36">
        <f>HYPERLINK("https://app.worldcafe.ru/object/19571","ссылка")</f>
        <v/>
      </c>
    </row>
    <row r="37">
      <c r="A37" t="n">
        <v>89</v>
      </c>
      <c r="B37" t="inlineStr"/>
      <c r="C37" t="inlineStr">
        <is>
          <t>Санкт-Петербург г, Осипенко ул, 2</t>
        </is>
      </c>
      <c r="D37" t="n">
        <v>203</v>
      </c>
      <c r="E37" t="n">
        <v>202</v>
      </c>
      <c r="F37" t="n">
        <v>1</v>
      </c>
      <c r="G37" t="inlineStr">
        <is>
          <t>78 950 000</t>
        </is>
      </c>
      <c r="H37" t="inlineStr">
        <is>
          <t>78 950 000</t>
        </is>
      </c>
      <c r="I37" t="inlineStr">
        <is>
          <t>Цена равна, объект в архиве</t>
        </is>
      </c>
      <c r="J37" t="inlineStr"/>
      <c r="K37">
        <f>HYPERLINK("https://nordwestinvest.ru/real-estates/prodaza-pomeshheniia-s-aptekoi-203-m2-1","ссылка")</f>
        <v/>
      </c>
      <c r="L37">
        <f>HYPERLINK("https://app.worldcafe.ru/object/12901","ссылка")</f>
        <v/>
      </c>
    </row>
    <row r="38">
      <c r="A38" t="n">
        <v>123</v>
      </c>
      <c r="B38" t="inlineStr"/>
      <c r="C38" t="inlineStr">
        <is>
          <t>Санкт-Петербург г, Парашютная ул, 32</t>
        </is>
      </c>
      <c r="D38" t="n">
        <v>754.1</v>
      </c>
      <c r="E38" t="n">
        <v>754.1</v>
      </c>
      <c r="F38" t="n">
        <v>0</v>
      </c>
      <c r="G38" t="inlineStr">
        <is>
          <t>130 000 000</t>
        </is>
      </c>
      <c r="H38" t="inlineStr">
        <is>
          <t>130 000 000</t>
        </is>
      </c>
      <c r="I38" t="inlineStr">
        <is>
          <t>Цена равна, объект в архиве</t>
        </is>
      </c>
      <c r="J38" t="inlineStr"/>
      <c r="K38">
        <f>HYPERLINK("https://nordwestinvest.ru/real-estates/prodaza-pomeshheniia-s-arendatorom-vkuster-715-m2","ссылка")</f>
        <v/>
      </c>
      <c r="L38">
        <f>HYPERLINK("https://app.worldcafe.ru/object/15615","ссылка")</f>
        <v/>
      </c>
    </row>
    <row r="39">
      <c r="A39" t="n">
        <v>124</v>
      </c>
      <c r="B39" t="inlineStr"/>
      <c r="C39" t="inlineStr">
        <is>
          <t>Санкт-Петербург г, Суздальское ш, 26 к1 с1</t>
        </is>
      </c>
      <c r="D39" t="n">
        <v>901.5</v>
      </c>
      <c r="E39" t="n">
        <v>901.5</v>
      </c>
      <c r="F39" t="n">
        <v>0</v>
      </c>
      <c r="G39" t="inlineStr">
        <is>
          <t>150 000 000</t>
        </is>
      </c>
      <c r="H39" t="inlineStr">
        <is>
          <t>150 000 000</t>
        </is>
      </c>
      <c r="I39" t="inlineStr">
        <is>
          <t>Цена равна, объект в архиве</t>
        </is>
      </c>
      <c r="J39" t="inlineStr"/>
      <c r="K39">
        <f>HYPERLINK("https://nordwestinvest.ru/real-estates/prodaza-produktovogo-setevogo-magazina-901-m2","ссылка")</f>
        <v/>
      </c>
      <c r="L39">
        <f>HYPERLINK("https://app.worldcafe.ru/object/15621","ссылка")</f>
        <v/>
      </c>
    </row>
    <row r="40">
      <c r="A40" t="n">
        <v>295</v>
      </c>
      <c r="B40" t="inlineStr"/>
      <c r="C40" t="inlineStr">
        <is>
          <t>Санкт-Петербург г, Северный пр-кт, 115к2</t>
        </is>
      </c>
      <c r="D40" t="n">
        <v>144.4</v>
      </c>
      <c r="E40" t="n">
        <v>144</v>
      </c>
      <c r="F40" t="n">
        <v>0.4</v>
      </c>
      <c r="G40" t="inlineStr">
        <is>
          <t>31 500 000</t>
        </is>
      </c>
      <c r="H40" t="inlineStr">
        <is>
          <t>31 500 000</t>
        </is>
      </c>
      <c r="I40" t="inlineStr">
        <is>
          <t>Цена равна, объект в архиве</t>
        </is>
      </c>
      <c r="J40" t="inlineStr"/>
      <c r="K40">
        <f>HYPERLINK("https://nordwestinvest.ru/real-estates/prodaza-pomeshheniia-s-arendatorom-votonia","ссылка")</f>
        <v/>
      </c>
      <c r="L40">
        <f>HYPERLINK("https://app.worldcafe.ru/object/19421","ссылка")</f>
        <v/>
      </c>
    </row>
    <row r="41">
      <c r="A41" t="n">
        <v>344</v>
      </c>
      <c r="B41" t="inlineStr"/>
      <c r="C41" t="inlineStr">
        <is>
          <t>Санкт-Петербург г, Римского-Корсакова пр-кт, 49</t>
        </is>
      </c>
      <c r="D41" t="n">
        <v>150.8</v>
      </c>
      <c r="E41" t="n">
        <v>151</v>
      </c>
      <c r="F41" t="n">
        <v>0.2</v>
      </c>
      <c r="G41" t="inlineStr">
        <is>
          <t>35 000 000</t>
        </is>
      </c>
      <c r="H41" t="inlineStr">
        <is>
          <t>35 000 000</t>
        </is>
      </c>
      <c r="I41" t="inlineStr">
        <is>
          <t>Цена равна, объект в архиве</t>
        </is>
      </c>
      <c r="J41" t="inlineStr"/>
      <c r="K41">
        <f>HYPERLINK("https://nordwestinvest.ru/real-estates/cito-gvrito","ссылка")</f>
        <v/>
      </c>
      <c r="L41">
        <f>HYPERLINK("https://app.worldcafe.ru/object/19153","ссылка")</f>
        <v/>
      </c>
    </row>
    <row r="42">
      <c r="A42" t="n">
        <v>360</v>
      </c>
      <c r="B42" t="inlineStr"/>
      <c r="C42" t="inlineStr">
        <is>
          <t>Ленинградская обл, Всеволожск г, Дорога Жизни ш, 46</t>
        </is>
      </c>
      <c r="D42" t="n">
        <v>655</v>
      </c>
      <c r="E42" t="n">
        <v>653.4</v>
      </c>
      <c r="F42" t="n">
        <v>1.6</v>
      </c>
      <c r="G42" t="inlineStr">
        <is>
          <t>105 000 000</t>
        </is>
      </c>
      <c r="H42" t="inlineStr">
        <is>
          <t>105 000 000</t>
        </is>
      </c>
      <c r="I42" t="inlineStr">
        <is>
          <t>Цена равна, объект в архиве</t>
        </is>
      </c>
      <c r="J42" t="inlineStr"/>
      <c r="K42">
        <f>HYPERLINK("https://nordwestinvest.ru/real-estates/prodaza-pomeshheniia-s-piaterockoi-1","ссылка")</f>
        <v/>
      </c>
      <c r="L42">
        <f>HYPERLINK("https://app.worldcafe.ru/object/19005","ссылка")</f>
        <v/>
      </c>
    </row>
    <row r="43">
      <c r="A43" t="n">
        <v>428</v>
      </c>
      <c r="B43" t="inlineStr"/>
      <c r="C43" t="inlineStr">
        <is>
          <t>Санкт-Петербург г, Королёва пр-кт, 73</t>
        </is>
      </c>
      <c r="D43" t="n">
        <v>203.6</v>
      </c>
      <c r="E43" t="n">
        <v>203.6</v>
      </c>
      <c r="F43" t="n">
        <v>0</v>
      </c>
      <c r="G43" t="inlineStr">
        <is>
          <t>36 000 000</t>
        </is>
      </c>
      <c r="H43" t="inlineStr">
        <is>
          <t>36 000 000</t>
        </is>
      </c>
      <c r="I43" t="inlineStr">
        <is>
          <t>Цена равна, объект в архиве</t>
        </is>
      </c>
      <c r="J43" t="inlineStr"/>
      <c r="K43">
        <f>HYPERLINK("https://nordwestinvest.ru/real-estates/prodaza-2036-m2-s-arendatorom","ссылка")</f>
        <v/>
      </c>
      <c r="L43">
        <f>HYPERLINK("https://app.worldcafe.ru/object/18385","ссылка")</f>
        <v/>
      </c>
    </row>
    <row r="44">
      <c r="A44" t="n">
        <v>581</v>
      </c>
      <c r="B44" t="inlineStr"/>
      <c r="C44" t="inlineStr">
        <is>
          <t>Санкт-Петербург г, Английский пр-кт, 26</t>
        </is>
      </c>
      <c r="D44" t="n">
        <v>52</v>
      </c>
      <c r="E44" t="n">
        <v>52</v>
      </c>
      <c r="F44" t="n">
        <v>0</v>
      </c>
      <c r="G44" t="inlineStr">
        <is>
          <t>11 000 000</t>
        </is>
      </c>
      <c r="H44" t="inlineStr">
        <is>
          <t>11 000 000</t>
        </is>
      </c>
      <c r="I44" t="inlineStr">
        <is>
          <t>Цена равна, объект в архиве</t>
        </is>
      </c>
      <c r="J44" t="inlineStr"/>
      <c r="K44">
        <f>HYPERLINK("https://nordwestinvest.ru/real-estates/prodaza-pomeshheniia-s-arendatorom-52-m2-trafik","ссылка")</f>
        <v/>
      </c>
      <c r="L44">
        <f>HYPERLINK("https://app.worldcafe.ru/object/19729","ссылка")</f>
        <v/>
      </c>
    </row>
    <row r="45">
      <c r="A45" t="n">
        <v>28</v>
      </c>
      <c r="B45" t="inlineStr"/>
      <c r="C45" t="inlineStr">
        <is>
          <t>Санкт-Петербург г, Стачек пр-кт, 41</t>
        </is>
      </c>
      <c r="D45" t="n">
        <v>124.2</v>
      </c>
      <c r="E45" t="n">
        <v>124.2</v>
      </c>
      <c r="F45" t="n">
        <v>0</v>
      </c>
      <c r="G45" t="inlineStr">
        <is>
          <t>35 000 000</t>
        </is>
      </c>
      <c r="H45" t="inlineStr"/>
      <c r="I45" t="inlineStr">
        <is>
          <t>Цена равна</t>
        </is>
      </c>
      <c r="J45" t="inlineStr"/>
      <c r="K45">
        <f>HYPERLINK("https://nordwestinvest.ru/real-estates/prodaza-pomeshheniia-s-vitrinami-na-trafike","ссылка")</f>
        <v/>
      </c>
      <c r="L45" t="inlineStr"/>
    </row>
    <row r="46">
      <c r="A46" t="n">
        <v>36</v>
      </c>
      <c r="B46" t="inlineStr"/>
      <c r="C46" t="inlineStr">
        <is>
          <t>Санкт-Петербург г, Шостаковича ул, 3к1</t>
        </is>
      </c>
      <c r="D46" t="n">
        <v>94</v>
      </c>
      <c r="E46" t="n">
        <v>94</v>
      </c>
      <c r="F46" t="n">
        <v>0</v>
      </c>
      <c r="G46" t="inlineStr">
        <is>
          <t>27 000 000</t>
        </is>
      </c>
      <c r="H46" t="inlineStr"/>
      <c r="I46" t="inlineStr">
        <is>
          <t>Цена равна</t>
        </is>
      </c>
      <c r="J46" t="inlineStr"/>
      <c r="K46">
        <f>HYPERLINK("https://nordwestinvest.ru/real-estates/prodaza-pomeshheniia-s-parikmaxerskoi-ozon-94m2","ссылка")</f>
        <v/>
      </c>
      <c r="L46" t="inlineStr"/>
    </row>
    <row r="47">
      <c r="A47" t="n">
        <v>72</v>
      </c>
      <c r="B47" t="inlineStr"/>
      <c r="C47" t="inlineStr">
        <is>
          <t>Санкт-Петербург г, Петергофское ш, 17к1</t>
        </is>
      </c>
      <c r="D47" t="n">
        <v>79.5</v>
      </c>
      <c r="E47" t="n">
        <v>79.5</v>
      </c>
      <c r="F47" t="n">
        <v>0</v>
      </c>
      <c r="G47" t="inlineStr">
        <is>
          <t>19 900 000</t>
        </is>
      </c>
      <c r="H47" t="inlineStr"/>
      <c r="I47" t="inlineStr">
        <is>
          <t>Цена равна</t>
        </is>
      </c>
      <c r="J47" t="inlineStr"/>
      <c r="K47">
        <f>HYPERLINK("https://nordwestinvest.ru/real-estates/prodaza-pomeshheniia-s-iandeks-market-pocta-rocsii","ссылка")</f>
        <v/>
      </c>
      <c r="L47" t="inlineStr"/>
    </row>
    <row r="48">
      <c r="A48" t="n">
        <v>294</v>
      </c>
      <c r="B48" t="inlineStr"/>
      <c r="C48" t="inlineStr">
        <is>
          <t>Ленинградская обл, Янила Кантри (гп Янино-1) мкр, Тюльпанов ул, 2</t>
        </is>
      </c>
      <c r="D48" t="n">
        <v>115.3</v>
      </c>
      <c r="E48" t="n">
        <v>115.3</v>
      </c>
      <c r="F48" t="n">
        <v>0</v>
      </c>
      <c r="G48" t="inlineStr">
        <is>
          <t>22 000 000</t>
        </is>
      </c>
      <c r="H48" t="inlineStr"/>
      <c r="I48" t="inlineStr">
        <is>
          <t>Цена равна</t>
        </is>
      </c>
      <c r="J48" t="inlineStr"/>
      <c r="K48">
        <f>HYPERLINK("https://nordwestinvest.ru/real-estates/prodaza-s-arendatorom-krasnoe-i-beloe-1","ссылка")</f>
        <v/>
      </c>
      <c r="L48" t="inlineStr"/>
    </row>
    <row r="49">
      <c r="A49" t="n">
        <v>447</v>
      </c>
      <c r="B49" t="inlineStr"/>
      <c r="C49" t="inlineStr">
        <is>
          <t>Санкт-Петербург г, Малый В.О. пр-кт, 15</t>
        </is>
      </c>
      <c r="D49" t="n">
        <v>61</v>
      </c>
      <c r="E49" t="n">
        <v>61</v>
      </c>
      <c r="F49" t="n">
        <v>0</v>
      </c>
      <c r="G49" t="inlineStr">
        <is>
          <t>20 800 000</t>
        </is>
      </c>
      <c r="H49" t="inlineStr"/>
      <c r="I49" t="inlineStr">
        <is>
          <t>Цена равна</t>
        </is>
      </c>
      <c r="J49" t="inlineStr"/>
      <c r="K49">
        <f>HYPERLINK("https://nordwestinvest.ru/real-estates/prodaza-kofeini-na-vasilevskom-ostrove-baggins","ссылка")</f>
        <v/>
      </c>
      <c r="L49" t="inlineStr"/>
    </row>
    <row r="50">
      <c r="A50" t="n">
        <v>3</v>
      </c>
      <c r="B50" t="inlineStr"/>
      <c r="C50" t="inlineStr">
        <is>
          <t>Санкт-Петербург г, Театральная пл, 16</t>
        </is>
      </c>
      <c r="D50" t="n">
        <v>127</v>
      </c>
      <c r="E50" t="n">
        <v>122</v>
      </c>
      <c r="F50" t="n">
        <v>5</v>
      </c>
      <c r="G50" t="inlineStr">
        <is>
          <t>35 800 000</t>
        </is>
      </c>
      <c r="H50" t="inlineStr">
        <is>
          <t>36 000 000</t>
        </is>
      </c>
      <c r="I50" t="inlineStr">
        <is>
          <t>По адресу есть, но площадь другая, объект в архиве</t>
        </is>
      </c>
      <c r="J50" t="inlineStr"/>
      <c r="K50">
        <f>HYPERLINK("https://nordwestinvest.ru/real-estates/pomeshhenie-s-ozon-i-iandeks","ссылка")</f>
        <v/>
      </c>
      <c r="L50">
        <f>HYPERLINK("https://app.worldcafe.ru/object/8931","ссылка")</f>
        <v/>
      </c>
    </row>
    <row r="51">
      <c r="A51" t="n">
        <v>9</v>
      </c>
      <c r="B51" t="inlineStr"/>
      <c r="C51" t="inlineStr">
        <is>
          <t>Санкт-Петербург г, Северный пр-кт, 115к1 стр 1</t>
        </is>
      </c>
      <c r="D51" t="n">
        <v>91.2</v>
      </c>
      <c r="E51" t="n">
        <v>50</v>
      </c>
      <c r="F51" t="n">
        <v>41.2</v>
      </c>
      <c r="G51" t="inlineStr">
        <is>
          <t>29 900 000</t>
        </is>
      </c>
      <c r="H51" t="inlineStr">
        <is>
          <t>10 800 000</t>
        </is>
      </c>
      <c r="I51" t="inlineStr">
        <is>
          <t>По адресу есть, но площадь другая, объект на сайте</t>
        </is>
      </c>
      <c r="J51" t="inlineStr"/>
      <c r="K51">
        <f>HYPERLINK("https://nordwestinvest.ru/real-estates/pomeshhenie-s-vingarazom-v-tc-ruci","ссылка")</f>
        <v/>
      </c>
      <c r="L51">
        <f>HYPERLINK("https://app.worldcafe.ru/object/18918","ссылка")</f>
        <v/>
      </c>
    </row>
    <row r="52">
      <c r="A52" t="n">
        <v>12</v>
      </c>
      <c r="B52" t="inlineStr"/>
      <c r="C52" t="inlineStr">
        <is>
          <t>Санкт-Петербург г, Кондратьевский пр-кт, 40к14</t>
        </is>
      </c>
      <c r="D52" t="n">
        <v>87.59999999999999</v>
      </c>
      <c r="E52" t="n">
        <v>2200</v>
      </c>
      <c r="F52" t="n">
        <v>2112.4</v>
      </c>
      <c r="G52" t="inlineStr">
        <is>
          <t>6 500 000</t>
        </is>
      </c>
      <c r="H52" t="inlineStr">
        <is>
          <t>310 000 000</t>
        </is>
      </c>
      <c r="I52" t="inlineStr">
        <is>
          <t>По адресу есть, но площадь другая, объект в архиве</t>
        </is>
      </c>
      <c r="J52" t="inlineStr"/>
      <c r="K52">
        <f>HYPERLINK("https://nordwestinvest.ru/real-estates/pomeshhenie-s-wb-87-m2okupaemost-8-let-1","ссылка")</f>
        <v/>
      </c>
      <c r="L52">
        <f>HYPERLINK("https://app.worldcafe.ru/object/7631","ссылка")</f>
        <v/>
      </c>
    </row>
    <row r="53">
      <c r="A53" t="n">
        <v>14</v>
      </c>
      <c r="B53" t="inlineStr"/>
      <c r="C53" t="inlineStr">
        <is>
          <t>Санкт-Петербург г, Костюшко ул, 38</t>
        </is>
      </c>
      <c r="D53" t="n">
        <v>55.8</v>
      </c>
      <c r="E53" t="n">
        <v>140</v>
      </c>
      <c r="F53" t="n">
        <v>84.2</v>
      </c>
      <c r="G53" t="inlineStr">
        <is>
          <t>16 900 000</t>
        </is>
      </c>
      <c r="H53" t="inlineStr">
        <is>
          <t>30 000 000</t>
        </is>
      </c>
      <c r="I53" t="inlineStr">
        <is>
          <t>По адресу есть, но площадь другая, объект на сайте</t>
        </is>
      </c>
      <c r="J53" t="inlineStr"/>
      <c r="K53">
        <f>HYPERLINK("https://nordwestinvest.ru/real-estates/pomeshhenie-s-wb-1","ссылка")</f>
        <v/>
      </c>
      <c r="L53">
        <f>HYPERLINK("https://app.worldcafe.ru/object/19797","ссылка")</f>
        <v/>
      </c>
    </row>
    <row r="54">
      <c r="A54" t="n">
        <v>24</v>
      </c>
      <c r="B54" t="inlineStr"/>
      <c r="C54" t="inlineStr">
        <is>
          <t>Санкт-Петербург г, Ленинский пр-кт, 147к2</t>
        </is>
      </c>
      <c r="D54" t="n">
        <v>197</v>
      </c>
      <c r="E54" t="n">
        <v>363</v>
      </c>
      <c r="F54" t="n">
        <v>166</v>
      </c>
      <c r="G54" t="inlineStr">
        <is>
          <t>29 000 000</t>
        </is>
      </c>
      <c r="H54" t="inlineStr">
        <is>
          <t>65 000 000</t>
        </is>
      </c>
      <c r="I54" t="inlineStr">
        <is>
          <t>По адресу есть, но площадь другая, объект в архиве</t>
        </is>
      </c>
      <c r="J54" t="inlineStr"/>
      <c r="K54">
        <f>HYPERLINK("https://nordwestinvest.ru/real-estates/prodaza-pomeshheniia-pod-biznes-197-m2","ссылка")</f>
        <v/>
      </c>
      <c r="L54">
        <f>HYPERLINK("https://app.worldcafe.ru/object/13330","ссылка")</f>
        <v/>
      </c>
    </row>
    <row r="55">
      <c r="A55" t="n">
        <v>26</v>
      </c>
      <c r="B55" t="inlineStr"/>
      <c r="C55" t="inlineStr">
        <is>
          <t>Санкт-Петербург г, Заневский пр-кт, 42</t>
        </is>
      </c>
      <c r="D55" t="n">
        <v>68.40000000000001</v>
      </c>
      <c r="E55" t="n">
        <v>63.9</v>
      </c>
      <c r="F55" t="n">
        <v>4.5</v>
      </c>
      <c r="G55" t="inlineStr">
        <is>
          <t>28 500 000</t>
        </is>
      </c>
      <c r="H55" t="inlineStr">
        <is>
          <t>21 791 782</t>
        </is>
      </c>
      <c r="I55" t="inlineStr">
        <is>
          <t>По адресу есть, но площадь другая, объект в архиве</t>
        </is>
      </c>
      <c r="J55" t="inlineStr"/>
      <c r="K55">
        <f>HYPERLINK("https://nordwestinvest.ru/real-estates/pomeshhenie-s-gab-salon-krasoty-u-metro-1","ссылка")</f>
        <v/>
      </c>
      <c r="L55">
        <f>HYPERLINK("https://app.worldcafe.ru/object/19078","ссылка")</f>
        <v/>
      </c>
    </row>
    <row r="56">
      <c r="A56" t="n">
        <v>33</v>
      </c>
      <c r="B56" t="inlineStr"/>
      <c r="C56" t="inlineStr">
        <is>
          <t>Санкт-Петербург г, Авиаконструкторов пр-кт, 38к1 А</t>
        </is>
      </c>
      <c r="D56" t="n">
        <v>153</v>
      </c>
      <c r="E56" t="n">
        <v>3127.6</v>
      </c>
      <c r="F56" t="n">
        <v>2974.6</v>
      </c>
      <c r="G56" t="inlineStr">
        <is>
          <t>43 000 000</t>
        </is>
      </c>
      <c r="H56" t="inlineStr">
        <is>
          <t>0</t>
        </is>
      </c>
      <c r="I56" t="inlineStr">
        <is>
          <t>По адресу есть, но площадь другая, объект в архиве</t>
        </is>
      </c>
      <c r="J56" t="inlineStr"/>
      <c r="K56">
        <f>HYPERLINK("https://nordwestinvest.ru/real-estates/prodaza-pomeshheniia-153-m2-s-arendatorami","ссылка")</f>
        <v/>
      </c>
      <c r="L56">
        <f>HYPERLINK("https://app.worldcafe.ru/object/14268","ссылка")</f>
        <v/>
      </c>
    </row>
    <row r="57">
      <c r="A57" t="n">
        <v>44</v>
      </c>
      <c r="B57" t="inlineStr"/>
      <c r="C57" t="inlineStr">
        <is>
          <t>Санкт-Петербург г, Большеохтинский пр-кт, 15к1 А</t>
        </is>
      </c>
      <c r="D57" t="n">
        <v>189.3</v>
      </c>
      <c r="E57" t="n">
        <v>9044.1</v>
      </c>
      <c r="F57" t="n">
        <v>8854.799999999999</v>
      </c>
      <c r="G57" t="inlineStr">
        <is>
          <t>36 000 000</t>
        </is>
      </c>
      <c r="H57" t="inlineStr">
        <is>
          <t>0</t>
        </is>
      </c>
      <c r="I57" t="inlineStr">
        <is>
          <t>По адресу есть, но площадь другая, объект в архиве</t>
        </is>
      </c>
      <c r="J57" t="inlineStr"/>
      <c r="K57">
        <f>HYPERLINK("https://nordwestinvest.ru/real-estates/prodaza-psn-s-arendatorom-1893m2","ссылка")</f>
        <v/>
      </c>
      <c r="L57">
        <f>HYPERLINK("https://app.worldcafe.ru/object/14309","ссылка")</f>
        <v/>
      </c>
    </row>
    <row r="58">
      <c r="A58" t="n">
        <v>57</v>
      </c>
      <c r="B58" t="inlineStr"/>
      <c r="C58" t="inlineStr">
        <is>
          <t>Ленинградская обл, Всеволожск г, Дорога Жизни ш, 46</t>
        </is>
      </c>
      <c r="D58" t="n">
        <v>53</v>
      </c>
      <c r="E58" t="n">
        <v>653.4</v>
      </c>
      <c r="F58" t="n">
        <v>600.4</v>
      </c>
      <c r="G58" t="inlineStr">
        <is>
          <t>11 000 000</t>
        </is>
      </c>
      <c r="H58" t="inlineStr">
        <is>
          <t>105 000 000</t>
        </is>
      </c>
      <c r="I58" t="inlineStr">
        <is>
          <t>По адресу есть, но площадь другая, объект в архиве</t>
        </is>
      </c>
      <c r="J58" t="inlineStr"/>
      <c r="K58">
        <f>HYPERLINK("https://nordwestinvest.ru/real-estates/prodaza-pomeshheniia-53-m2-1","ссылка")</f>
        <v/>
      </c>
      <c r="L58">
        <f>HYPERLINK("https://app.worldcafe.ru/object/19005","ссылка")</f>
        <v/>
      </c>
    </row>
    <row r="59">
      <c r="A59" t="n">
        <v>62</v>
      </c>
      <c r="B59" t="inlineStr"/>
      <c r="C59" t="inlineStr">
        <is>
          <t>Санкт-Петербург г, Лужская ул, 10к1 литера Б</t>
        </is>
      </c>
      <c r="D59" t="n">
        <v>210</v>
      </c>
      <c r="E59" t="n">
        <v>157</v>
      </c>
      <c r="F59" t="n">
        <v>53</v>
      </c>
      <c r="G59" t="inlineStr">
        <is>
          <t>35 800 000</t>
        </is>
      </c>
      <c r="H59" t="inlineStr">
        <is>
          <t>49 500 000</t>
        </is>
      </c>
      <c r="I59" t="inlineStr">
        <is>
          <t>По адресу есть, но площадь другая, объект на сайте</t>
        </is>
      </c>
      <c r="J59" t="inlineStr"/>
      <c r="K59">
        <f>HYPERLINK("https://nordwestinvest.ru/real-estates/gab-s-samokatom-210-m2-2","ссылка")</f>
        <v/>
      </c>
      <c r="L59">
        <f>HYPERLINK("https://app.worldcafe.ru/object/11572","ссылка")</f>
        <v/>
      </c>
    </row>
    <row r="60">
      <c r="A60" t="n">
        <v>64</v>
      </c>
      <c r="B60" t="inlineStr"/>
      <c r="C60" t="inlineStr">
        <is>
          <t>Ленинградская обл, Бугры п, Шекспира ул, 7</t>
        </is>
      </c>
      <c r="D60" t="n">
        <v>120.3</v>
      </c>
      <c r="E60" t="n">
        <v>67</v>
      </c>
      <c r="F60" t="n">
        <v>53.3</v>
      </c>
      <c r="G60" t="inlineStr">
        <is>
          <t>36 090 000</t>
        </is>
      </c>
      <c r="H60" t="inlineStr">
        <is>
          <t>17 500 000</t>
        </is>
      </c>
      <c r="I60" t="inlineStr">
        <is>
          <t>По адресу есть, но площадь другая, объект в архиве</t>
        </is>
      </c>
      <c r="J60" t="inlineStr"/>
      <c r="K60">
        <f>HYPERLINK("https://nordwestinvest.ru/real-estates/prodaza-pomeshheniia-1203-m2-1","ссылка")</f>
        <v/>
      </c>
      <c r="L60">
        <f>HYPERLINK("https://app.worldcafe.ru/object/19150","ссылка")</f>
        <v/>
      </c>
    </row>
    <row r="61">
      <c r="A61" t="n">
        <v>102</v>
      </c>
      <c r="B61" t="inlineStr"/>
      <c r="C61" t="inlineStr">
        <is>
          <t>Санкт-Петербург г, Старо-Петергофский пр-кт, 41 А</t>
        </is>
      </c>
      <c r="D61" t="n">
        <v>175</v>
      </c>
      <c r="E61" t="n">
        <v>110.7</v>
      </c>
      <c r="F61" t="n">
        <v>64.3</v>
      </c>
      <c r="G61" t="inlineStr">
        <is>
          <t>30 000 000</t>
        </is>
      </c>
      <c r="H61" t="inlineStr">
        <is>
          <t>121 770</t>
        </is>
      </c>
      <c r="I61" t="inlineStr">
        <is>
          <t>По адресу есть, но площадь другая, объект в архиве</t>
        </is>
      </c>
      <c r="J61" t="inlineStr"/>
      <c r="K61">
        <f>HYPERLINK("https://nordwestinvest.ru/real-estates/prodaza-200-m2-s-arendatorom","ссылка")</f>
        <v/>
      </c>
      <c r="L61">
        <f>HYPERLINK("https://app.worldcafe.ru/object/13710","ссылка")</f>
        <v/>
      </c>
    </row>
    <row r="62">
      <c r="A62" t="n">
        <v>108</v>
      </c>
      <c r="B62" t="inlineStr"/>
      <c r="C62" t="inlineStr">
        <is>
          <t>Ленинградская обл, Бугры п, Шекспира ул, 7</t>
        </is>
      </c>
      <c r="D62" t="n">
        <v>120.3</v>
      </c>
      <c r="E62" t="n">
        <v>67</v>
      </c>
      <c r="F62" t="n">
        <v>53.3</v>
      </c>
      <c r="G62" t="inlineStr">
        <is>
          <t>36 090 000</t>
        </is>
      </c>
      <c r="H62" t="inlineStr">
        <is>
          <t>17 500 000</t>
        </is>
      </c>
      <c r="I62" t="inlineStr">
        <is>
          <t>По адресу есть, но площадь другая, объект в архиве</t>
        </is>
      </c>
      <c r="J62" t="inlineStr"/>
      <c r="K62">
        <f>HYPERLINK("https://nordwestinvest.ru/real-estates/prodaza-pomeshheniia-1203-m2","ссылка")</f>
        <v/>
      </c>
      <c r="L62">
        <f>HYPERLINK("https://app.worldcafe.ru/object/19150","ссылка")</f>
        <v/>
      </c>
    </row>
    <row r="63">
      <c r="A63" t="n">
        <v>109</v>
      </c>
      <c r="B63" t="inlineStr"/>
      <c r="C63" t="inlineStr">
        <is>
          <t>Санкт-Петербург г, Пулковское ш, 95к3</t>
        </is>
      </c>
      <c r="D63" t="n">
        <v>571</v>
      </c>
      <c r="E63" t="n">
        <v>128</v>
      </c>
      <c r="F63" t="n">
        <v>443</v>
      </c>
      <c r="G63" t="inlineStr">
        <is>
          <t>177 000 000</t>
        </is>
      </c>
      <c r="H63" t="inlineStr">
        <is>
          <t>60 000 000</t>
        </is>
      </c>
      <c r="I63" t="inlineStr">
        <is>
          <t>По адресу есть, но площадь другая, объект на сайте</t>
        </is>
      </c>
      <c r="J63" t="inlineStr"/>
      <c r="K63">
        <f>HYPERLINK("https://nordwestinvest.ru/real-estates/prodaza-s-arendatorom-magnit-3","ссылка")</f>
        <v/>
      </c>
      <c r="L63">
        <f>HYPERLINK("https://app.worldcafe.ru/object/20099","ссылка")</f>
        <v/>
      </c>
    </row>
    <row r="64">
      <c r="A64" t="n">
        <v>118</v>
      </c>
      <c r="B64" t="inlineStr"/>
      <c r="C64" t="inlineStr">
        <is>
          <t>Санкт-Петербург г, Тихоокеанская, 1к1</t>
        </is>
      </c>
      <c r="D64" t="n">
        <v>194.9</v>
      </c>
      <c r="E64" t="n">
        <v>181.6</v>
      </c>
      <c r="F64" t="n">
        <v>13.3</v>
      </c>
      <c r="G64" t="inlineStr">
        <is>
          <t>29 235 000</t>
        </is>
      </c>
      <c r="H64" t="inlineStr">
        <is>
          <t>0</t>
        </is>
      </c>
      <c r="I64" t="inlineStr">
        <is>
          <t>По адресу есть, но площадь другая, объект в архиве</t>
        </is>
      </c>
      <c r="J64" t="inlineStr"/>
      <c r="K64">
        <f>HYPERLINK("https://nordwestinvest.ru/real-estates/prodaza-psn-2","ссылка")</f>
        <v/>
      </c>
      <c r="L64">
        <f>HYPERLINK("https://app.worldcafe.ru/object/18946","ссылка")</f>
        <v/>
      </c>
    </row>
    <row r="65">
      <c r="A65" t="n">
        <v>126</v>
      </c>
      <c r="B65" t="inlineStr"/>
      <c r="C65" t="inlineStr">
        <is>
          <t>Санкт-Петербург г, Парашютная ул, 32</t>
        </is>
      </c>
      <c r="D65" t="n">
        <v>176.3</v>
      </c>
      <c r="E65" t="n">
        <v>754.1</v>
      </c>
      <c r="F65" t="n">
        <v>577.8</v>
      </c>
      <c r="G65" t="inlineStr">
        <is>
          <t>40 000 000</t>
        </is>
      </c>
      <c r="H65" t="inlineStr">
        <is>
          <t>130 000 000</t>
        </is>
      </c>
      <c r="I65" t="inlineStr">
        <is>
          <t>По адресу есть, но площадь другая, объект в архиве</t>
        </is>
      </c>
      <c r="J65" t="inlineStr"/>
      <c r="K65">
        <f>HYPERLINK("https://nordwestinvest.ru/real-estates/prodaza-pomeshheniia-s-arendatorom-rosal","ссылка")</f>
        <v/>
      </c>
      <c r="L65">
        <f>HYPERLINK("https://app.worldcafe.ru/object/15615","ссылка")</f>
        <v/>
      </c>
    </row>
    <row r="66">
      <c r="A66" t="n">
        <v>133</v>
      </c>
      <c r="B66" t="inlineStr"/>
      <c r="C66" t="inlineStr">
        <is>
          <t>Санкт-Петербург г, Подвойского ул, 38</t>
        </is>
      </c>
      <c r="D66" t="n">
        <v>4892</v>
      </c>
      <c r="E66" t="n">
        <v>94</v>
      </c>
      <c r="F66" t="n">
        <v>4798</v>
      </c>
      <c r="G66" t="inlineStr">
        <is>
          <t>450 000 000</t>
        </is>
      </c>
      <c r="H66" t="inlineStr">
        <is>
          <t>1 650 000</t>
        </is>
      </c>
      <c r="I66" t="inlineStr">
        <is>
          <t>По адресу есть, но площадь другая, объект в архиве</t>
        </is>
      </c>
      <c r="J66" t="inlineStr"/>
      <c r="K66">
        <f>HYPERLINK("https://nordwestinvest.ru/real-estates/prodaza-socialno-kulturnogo-centra-burevestnik","ссылка")</f>
        <v/>
      </c>
      <c r="L66">
        <f>HYPERLINK("https://app.worldcafe.ru/object/9132","ссылка")</f>
        <v/>
      </c>
    </row>
    <row r="67">
      <c r="A67" t="n">
        <v>173</v>
      </c>
      <c r="B67" t="inlineStr"/>
      <c r="C67" t="inlineStr">
        <is>
          <t>Санкт-Петербург г, Революции ш, 69</t>
        </is>
      </c>
      <c r="D67" t="n">
        <v>3140</v>
      </c>
      <c r="E67" t="n">
        <v>636</v>
      </c>
      <c r="F67" t="n">
        <v>2504</v>
      </c>
      <c r="G67" t="inlineStr">
        <is>
          <t>533 800 000</t>
        </is>
      </c>
      <c r="H67" t="inlineStr">
        <is>
          <t>26 740 000</t>
        </is>
      </c>
      <c r="I67" t="inlineStr">
        <is>
          <t>По адресу есть, но площадь другая, объект в архиве</t>
        </is>
      </c>
      <c r="J67" t="inlineStr"/>
      <c r="K67">
        <f>HYPERLINK("https://nordwestinvest.ru/real-estates/prodaza-bc-reforma-gab-3140-m2","ссылка")</f>
        <v/>
      </c>
      <c r="L67">
        <f>HYPERLINK("https://app.worldcafe.ru/object/15578","ссылка")</f>
        <v/>
      </c>
    </row>
    <row r="68">
      <c r="A68" t="n">
        <v>183</v>
      </c>
      <c r="B68" t="inlineStr"/>
      <c r="C68" t="inlineStr">
        <is>
          <t>Санкт-Петербург г, Социалистическая ул, 24 А</t>
        </is>
      </c>
      <c r="D68" t="n">
        <v>97</v>
      </c>
      <c r="E68" t="n">
        <v>316</v>
      </c>
      <c r="F68" t="n">
        <v>219</v>
      </c>
      <c r="G68" t="inlineStr">
        <is>
          <t>32 000 000</t>
        </is>
      </c>
      <c r="H68" t="inlineStr">
        <is>
          <t>135 000 000</t>
        </is>
      </c>
      <c r="I68" t="inlineStr">
        <is>
          <t>По адресу есть, но площадь другая, объект на сайте</t>
        </is>
      </c>
      <c r="J68" t="inlineStr"/>
      <c r="K68">
        <f>HYPERLINK("https://nordwestinvest.ru/real-estates/prodaza-s-arendatorom-novyi-remont-metro-3","ссылка")</f>
        <v/>
      </c>
      <c r="L68">
        <f>HYPERLINK("https://app.worldcafe.ru/object/19706","ссылка")</f>
        <v/>
      </c>
    </row>
    <row r="69">
      <c r="A69" t="n">
        <v>193</v>
      </c>
      <c r="B69" t="inlineStr"/>
      <c r="C69" t="inlineStr">
        <is>
          <t>дер.Новая тер, -, 5 А</t>
        </is>
      </c>
      <c r="D69" t="n">
        <v>2390</v>
      </c>
      <c r="E69" t="n">
        <v>2876</v>
      </c>
      <c r="F69" t="n">
        <v>486</v>
      </c>
      <c r="G69" t="inlineStr">
        <is>
          <t>120 000 000</t>
        </is>
      </c>
      <c r="H69" t="inlineStr">
        <is>
          <t>54 000 000</t>
        </is>
      </c>
      <c r="I69" t="inlineStr">
        <is>
          <t>По адресу есть, но площадь другая, объект в архиве</t>
        </is>
      </c>
      <c r="J69" t="inlineStr"/>
      <c r="K69">
        <f>HYPERLINK("https://nordwestinvest.ru/real-estates/prodaza-zu-pod-zastroiku-tk-3","ссылка")</f>
        <v/>
      </c>
      <c r="L69">
        <f>HYPERLINK("https://app.worldcafe.ru/object/13775","ссылка")</f>
        <v/>
      </c>
    </row>
    <row r="70">
      <c r="A70" t="n">
        <v>202</v>
      </c>
      <c r="B70" t="inlineStr"/>
      <c r="C70" t="inlineStr">
        <is>
          <t>Санкт-Петербург г, Ветеранов пр-кт, 169 к4</t>
        </is>
      </c>
      <c r="D70" t="n">
        <v>1740</v>
      </c>
      <c r="E70" t="n">
        <v>577</v>
      </c>
      <c r="F70" t="n">
        <v>1163</v>
      </c>
      <c r="G70" t="inlineStr">
        <is>
          <t>450 000 000</t>
        </is>
      </c>
      <c r="H70" t="inlineStr">
        <is>
          <t>185 000 000</t>
        </is>
      </c>
      <c r="I70" t="inlineStr">
        <is>
          <t>По адресу есть, но площадь другая, объект в архиве</t>
        </is>
      </c>
      <c r="J70" t="inlineStr"/>
      <c r="K70">
        <f>HYPERLINK("https://nordwestinvest.ru/real-estates/prodaza-perekrestka-1740-m2-v-novom-tc-1","ссылка")</f>
        <v/>
      </c>
      <c r="L70">
        <f>HYPERLINK("https://app.worldcafe.ru/object/18715","ссылка")</f>
        <v/>
      </c>
    </row>
    <row r="71">
      <c r="A71" t="n">
        <v>206</v>
      </c>
      <c r="B71" t="inlineStr"/>
      <c r="C71" t="inlineStr">
        <is>
          <t>Санкт-Петербург г, Авиаконструкторов пр-кт, 61</t>
        </is>
      </c>
      <c r="D71" t="n">
        <v>363</v>
      </c>
      <c r="E71" t="n">
        <v>75</v>
      </c>
      <c r="F71" t="n">
        <v>288</v>
      </c>
      <c r="G71" t="inlineStr">
        <is>
          <t>92 150 000</t>
        </is>
      </c>
      <c r="H71" t="inlineStr">
        <is>
          <t>14 500 000</t>
        </is>
      </c>
      <c r="I71" t="inlineStr">
        <is>
          <t>По адресу есть, но площадь другая, объект в архиве</t>
        </is>
      </c>
      <c r="J71" t="inlineStr"/>
      <c r="K71">
        <f>HYPERLINK("https://nordwestinvest.ru/real-estates/prodaza-gab-darkstor-samokat-363m2-1","ссылка")</f>
        <v/>
      </c>
      <c r="L71">
        <f>HYPERLINK("https://app.worldcafe.ru/object/18363","ссылка")</f>
        <v/>
      </c>
    </row>
    <row r="72">
      <c r="A72" t="n">
        <v>212</v>
      </c>
      <c r="B72" t="inlineStr"/>
      <c r="C72" t="inlineStr">
        <is>
          <t>Ленинградская обл, Всеволожск г, Дорога Жизни ш, 46</t>
        </is>
      </c>
      <c r="D72" t="n">
        <v>113</v>
      </c>
      <c r="E72" t="n">
        <v>653.4</v>
      </c>
      <c r="F72" t="n">
        <v>540.4</v>
      </c>
      <c r="G72" t="inlineStr">
        <is>
          <t>24 000 000</t>
        </is>
      </c>
      <c r="H72" t="inlineStr">
        <is>
          <t>105 000 000</t>
        </is>
      </c>
      <c r="I72" t="inlineStr">
        <is>
          <t>По адресу есть, но площадь другая, объект в архиве</t>
        </is>
      </c>
      <c r="J72" t="inlineStr"/>
      <c r="K72">
        <f>HYPERLINK("https://nordwestinvest.ru/real-estates/prodaza-pomeshheniia-s-vingarazom","ссылка")</f>
        <v/>
      </c>
      <c r="L72">
        <f>HYPERLINK("https://app.worldcafe.ru/object/19005","ссылка")</f>
        <v/>
      </c>
    </row>
    <row r="73">
      <c r="A73" t="n">
        <v>214</v>
      </c>
      <c r="B73" t="inlineStr"/>
      <c r="C73" t="inlineStr">
        <is>
          <t>дер.Новая тер, -, 5 А</t>
        </is>
      </c>
      <c r="D73" t="n">
        <v>2390</v>
      </c>
      <c r="E73" t="n">
        <v>2876</v>
      </c>
      <c r="F73" t="n">
        <v>486</v>
      </c>
      <c r="G73" t="inlineStr">
        <is>
          <t>120 000 000</t>
        </is>
      </c>
      <c r="H73" t="inlineStr">
        <is>
          <t>54 000 000</t>
        </is>
      </c>
      <c r="I73" t="inlineStr">
        <is>
          <t>По адресу есть, но площадь другая, объект в архиве</t>
        </is>
      </c>
      <c r="J73" t="inlineStr"/>
      <c r="K73">
        <f>HYPERLINK("https://nordwestinvest.ru/real-estates/prodaza-zu-pod-zastroiku-tk","ссылка")</f>
        <v/>
      </c>
      <c r="L73">
        <f>HYPERLINK("https://app.worldcafe.ru/object/13775","ссылка")</f>
        <v/>
      </c>
    </row>
    <row r="74">
      <c r="A74" t="n">
        <v>218</v>
      </c>
      <c r="B74" t="inlineStr"/>
      <c r="C74" t="inlineStr">
        <is>
          <t>Санкт-Петербург г, Революции ш, 69</t>
        </is>
      </c>
      <c r="D74" t="n">
        <v>3140</v>
      </c>
      <c r="E74" t="n">
        <v>636</v>
      </c>
      <c r="F74" t="n">
        <v>2504</v>
      </c>
      <c r="G74" t="inlineStr">
        <is>
          <t>533 800 000</t>
        </is>
      </c>
      <c r="H74" t="inlineStr">
        <is>
          <t>26 740 000</t>
        </is>
      </c>
      <c r="I74" t="inlineStr">
        <is>
          <t>По адресу есть, но площадь другая, объект в архиве</t>
        </is>
      </c>
      <c r="J74" t="inlineStr"/>
      <c r="K74">
        <f>HYPERLINK("https://nordwestinvest.ru/real-estates/prodaza-zdaniia-3140-m2-1","ссылка")</f>
        <v/>
      </c>
      <c r="L74">
        <f>HYPERLINK("https://app.worldcafe.ru/object/15578","ссылка")</f>
        <v/>
      </c>
    </row>
    <row r="75">
      <c r="A75" t="n">
        <v>224</v>
      </c>
      <c r="B75" t="inlineStr"/>
      <c r="C75" t="inlineStr">
        <is>
          <t>Ленинградская обл, Колтуши г, Мира ул, 9</t>
        </is>
      </c>
      <c r="D75" t="n">
        <v>569</v>
      </c>
      <c r="E75" t="n">
        <v>82.09999999999999</v>
      </c>
      <c r="F75" t="n">
        <v>486.9</v>
      </c>
      <c r="G75" t="inlineStr">
        <is>
          <t>66 000 000</t>
        </is>
      </c>
      <c r="H75" t="inlineStr">
        <is>
          <t>10 684 890</t>
        </is>
      </c>
      <c r="I75" t="inlineStr">
        <is>
          <t>По адресу есть, но площадь другая, объект в архиве</t>
        </is>
      </c>
      <c r="J75" t="inlineStr"/>
      <c r="K75">
        <f>HYPERLINK("https://nordwestinvest.ru/real-estates/prodaza-s-arendatorom-magnit-569-m2-2","ссылка")</f>
        <v/>
      </c>
      <c r="L75">
        <f>HYPERLINK("https://app.worldcafe.ru/object/20169","ссылка")</f>
        <v/>
      </c>
    </row>
    <row r="76">
      <c r="A76" t="n">
        <v>242</v>
      </c>
      <c r="B76" t="inlineStr"/>
      <c r="C76" t="inlineStr">
        <is>
          <t>Санкт-Петербург г, Варшавская ул, 51к1</t>
        </is>
      </c>
      <c r="D76" t="n">
        <v>513.1</v>
      </c>
      <c r="E76" t="n">
        <v>58</v>
      </c>
      <c r="F76" t="n">
        <v>455.1</v>
      </c>
      <c r="G76" t="inlineStr">
        <is>
          <t>96 000 000</t>
        </is>
      </c>
      <c r="H76" t="inlineStr">
        <is>
          <t>2 000 000</t>
        </is>
      </c>
      <c r="I76" t="inlineStr">
        <is>
          <t>По адресу есть, но площадь другая, объект на сайте</t>
        </is>
      </c>
      <c r="J76" t="inlineStr"/>
      <c r="K76">
        <f>HYPERLINK("https://nordwestinvest.ru/real-estates/prodaza-pomeshheniia-5131-m2","ссылка")</f>
        <v/>
      </c>
      <c r="L76">
        <f>HYPERLINK("https://app.worldcafe.ru/object/11896","ссылка")</f>
        <v/>
      </c>
    </row>
    <row r="77">
      <c r="A77" t="n">
        <v>243</v>
      </c>
      <c r="B77" t="inlineStr"/>
      <c r="C77" t="inlineStr">
        <is>
          <t>Санкт-Петербург г, Обуховской Обороны пр-кт, 17</t>
        </is>
      </c>
      <c r="D77" t="n">
        <v>465</v>
      </c>
      <c r="E77" t="n">
        <v>225</v>
      </c>
      <c r="F77" t="n">
        <v>240</v>
      </c>
      <c r="G77" t="inlineStr">
        <is>
          <t>139 000 000</t>
        </is>
      </c>
      <c r="H77" t="inlineStr">
        <is>
          <t>33 000 000</t>
        </is>
      </c>
      <c r="I77" t="inlineStr">
        <is>
          <t>По адресу есть, но площадь другая, объект в архиве</t>
        </is>
      </c>
      <c r="J77" t="inlineStr"/>
      <c r="K77">
        <f>HYPERLINK("https://nordwestinvest.ru/real-estates/prodaza-gab-magnit-na-obuxovskoi-oborone","ссылка")</f>
        <v/>
      </c>
      <c r="L77">
        <f>HYPERLINK("https://app.worldcafe.ru/object/8316","ссылка")</f>
        <v/>
      </c>
    </row>
    <row r="78">
      <c r="A78" t="n">
        <v>256</v>
      </c>
      <c r="B78" t="inlineStr"/>
      <c r="C78" t="inlineStr">
        <is>
          <t>Санкт-Петербург г, Фурштатская ул, 10</t>
        </is>
      </c>
      <c r="D78" t="n">
        <v>300</v>
      </c>
      <c r="E78" t="n">
        <v>190</v>
      </c>
      <c r="F78" t="n">
        <v>110</v>
      </c>
      <c r="G78" t="inlineStr">
        <is>
          <t>100 000 000</t>
        </is>
      </c>
      <c r="H78" t="inlineStr">
        <is>
          <t>20 000 000</t>
        </is>
      </c>
      <c r="I78" t="inlineStr">
        <is>
          <t>По адресу есть, но площадь другая, объект на сайте</t>
        </is>
      </c>
      <c r="J78" t="inlineStr"/>
      <c r="K78">
        <f>HYPERLINK("https://nordwestinvest.ru/real-estates/prodaza-premialnogo-ofisa-v-centre-goroda-300m2","ссылка")</f>
        <v/>
      </c>
      <c r="L78">
        <f>HYPERLINK("https://app.worldcafe.ru/object/11858","ссылка")</f>
        <v/>
      </c>
    </row>
    <row r="79">
      <c r="A79" t="n">
        <v>257</v>
      </c>
      <c r="B79" t="inlineStr"/>
      <c r="C79" t="inlineStr">
        <is>
          <t>Ленинградская обл, Кудрово г, Европейский пр-кт, 22</t>
        </is>
      </c>
      <c r="D79" t="n">
        <v>77.5</v>
      </c>
      <c r="E79" t="n">
        <v>65.40000000000001</v>
      </c>
      <c r="F79" t="n">
        <v>12.1</v>
      </c>
      <c r="G79" t="inlineStr">
        <is>
          <t>11 500 000</t>
        </is>
      </c>
      <c r="H79" t="inlineStr">
        <is>
          <t>11 766 600</t>
        </is>
      </c>
      <c r="I79" t="inlineStr">
        <is>
          <t>По адресу есть, но площадь другая, объект в архиве</t>
        </is>
      </c>
      <c r="J79" t="inlineStr"/>
      <c r="K79">
        <f>HYPERLINK("https://nordwestinvest.ru/real-estates/prodaza-pomeshheniia-v-zk-evropeiskii-park","ссылка")</f>
        <v/>
      </c>
      <c r="L79">
        <f>HYPERLINK("https://app.worldcafe.ru/object/13388","ссылка")</f>
        <v/>
      </c>
    </row>
    <row r="80">
      <c r="A80" t="n">
        <v>267</v>
      </c>
      <c r="B80" t="inlineStr"/>
      <c r="C80" t="inlineStr">
        <is>
          <t>Санкт-Петербург г, Северный пр-кт, 129</t>
        </is>
      </c>
      <c r="D80" t="n">
        <v>86.3</v>
      </c>
      <c r="E80" t="n">
        <v>89.5</v>
      </c>
      <c r="F80" t="n">
        <v>3.2</v>
      </c>
      <c r="G80" t="inlineStr">
        <is>
          <t>16 500 000</t>
        </is>
      </c>
      <c r="H80" t="inlineStr">
        <is>
          <t>21 000 000</t>
        </is>
      </c>
      <c r="I80" t="inlineStr">
        <is>
          <t>По адресу есть, но площадь другая, объект в архиве</t>
        </is>
      </c>
      <c r="J80" t="inlineStr"/>
      <c r="K80">
        <f>HYPERLINK("https://nordwestinvest.ru/real-estates/prodaza-pomeshheniia-s-arendatorom-birvain-1","ссылка")</f>
        <v/>
      </c>
      <c r="L80">
        <f>HYPERLINK("https://app.worldcafe.ru/object/15573","ссылка")</f>
        <v/>
      </c>
    </row>
    <row r="81">
      <c r="A81" t="n">
        <v>271</v>
      </c>
      <c r="B81" t="inlineStr"/>
      <c r="C81" t="inlineStr">
        <is>
          <t>Санкт-Петербург г, Пятилеток пр-кт, 2 А</t>
        </is>
      </c>
      <c r="D81" t="n">
        <v>250</v>
      </c>
      <c r="E81" t="n">
        <v>158.3</v>
      </c>
      <c r="F81" t="n">
        <v>91.7</v>
      </c>
      <c r="G81" t="inlineStr">
        <is>
          <t>119 000 000</t>
        </is>
      </c>
      <c r="H81" t="inlineStr">
        <is>
          <t>20 000 000</t>
        </is>
      </c>
      <c r="I81" t="inlineStr">
        <is>
          <t>По адресу есть, но площадь другая, объект в архиве</t>
        </is>
      </c>
      <c r="J81" t="inlineStr"/>
      <c r="K81">
        <f>HYPERLINK("https://nordwestinvest.ru/real-estates/prodaza-psn-250-m2","ссылка")</f>
        <v/>
      </c>
      <c r="L81">
        <f>HYPERLINK("https://app.worldcafe.ru/object/8650","ссылка")</f>
        <v/>
      </c>
    </row>
    <row r="82">
      <c r="A82" t="n">
        <v>287</v>
      </c>
      <c r="B82" t="inlineStr"/>
      <c r="C82" t="inlineStr">
        <is>
          <t>Санкт-Петербург г, Варшавская ул, 51к1</t>
        </is>
      </c>
      <c r="D82" t="n">
        <v>98.40000000000001</v>
      </c>
      <c r="E82" t="n">
        <v>58</v>
      </c>
      <c r="F82" t="n">
        <v>40.4</v>
      </c>
      <c r="G82" t="inlineStr">
        <is>
          <t>10 000 000</t>
        </is>
      </c>
      <c r="H82" t="inlineStr">
        <is>
          <t>2 000 000</t>
        </is>
      </c>
      <c r="I82" t="inlineStr">
        <is>
          <t>По адресу есть, но площадь другая, объект на сайте</t>
        </is>
      </c>
      <c r="J82" t="inlineStr"/>
      <c r="K82">
        <f>HYPERLINK("https://nordwestinvest.ru/real-estates/prodaza-pomeshheniia-196-m2","ссылка")</f>
        <v/>
      </c>
      <c r="L82">
        <f>HYPERLINK("https://app.worldcafe.ru/object/11896","ссылка")</f>
        <v/>
      </c>
    </row>
    <row r="83">
      <c r="A83" t="n">
        <v>288</v>
      </c>
      <c r="B83" t="inlineStr"/>
      <c r="C83" t="inlineStr">
        <is>
          <t>Ленинградская обл, Карьер-Мяглово м, Торговая ул, 10 а</t>
        </is>
      </c>
      <c r="D83" t="n">
        <v>520</v>
      </c>
      <c r="E83" t="n">
        <v>108</v>
      </c>
      <c r="F83" t="n">
        <v>412</v>
      </c>
      <c r="G83" t="inlineStr">
        <is>
          <t>85 000 000</t>
        </is>
      </c>
      <c r="H83" t="inlineStr">
        <is>
          <t>3 350 000</t>
        </is>
      </c>
      <c r="I83" t="inlineStr">
        <is>
          <t>По адресу есть, но площадь другая, объект в архиве</t>
        </is>
      </c>
      <c r="J83" t="inlineStr"/>
      <c r="K83">
        <f>HYPERLINK("https://nordwestinvest.ru/real-estates/prodaza-zdaniia-s-arendatorom-diksi-520m2","ссылка")</f>
        <v/>
      </c>
      <c r="L83">
        <f>HYPERLINK("https://app.worldcafe.ru/object/11935","ссылка")</f>
        <v/>
      </c>
    </row>
    <row r="84">
      <c r="A84" t="n">
        <v>290</v>
      </c>
      <c r="B84" t="inlineStr"/>
      <c r="C84" t="inlineStr">
        <is>
          <t>Санкт-Петербург г, Коммунаров ул, 190</t>
        </is>
      </c>
      <c r="D84" t="n">
        <v>744</v>
      </c>
      <c r="E84" t="n">
        <v>14217</v>
      </c>
      <c r="F84" t="n">
        <v>13473</v>
      </c>
      <c r="G84" t="inlineStr">
        <is>
          <t>89 000 000</t>
        </is>
      </c>
      <c r="H84" t="inlineStr">
        <is>
          <t>0</t>
        </is>
      </c>
      <c r="I84" t="inlineStr">
        <is>
          <t>По адресу есть, но площадь другая, объект в архиве</t>
        </is>
      </c>
      <c r="J84" t="inlineStr"/>
      <c r="K84">
        <f>HYPERLINK("https://nordwestinvest.ru/real-estates/prodaza-pomeshheniia-s-m-video","ссылка")</f>
        <v/>
      </c>
      <c r="L84">
        <f>HYPERLINK("https://app.worldcafe.ru/object/18897","ссылка")</f>
        <v/>
      </c>
    </row>
    <row r="85">
      <c r="A85" t="n">
        <v>296</v>
      </c>
      <c r="B85" t="inlineStr"/>
      <c r="C85" t="inlineStr">
        <is>
          <t>Санкт-Петербург г, Кронверкская ул, 8</t>
        </is>
      </c>
      <c r="D85" t="n">
        <v>210</v>
      </c>
      <c r="E85" t="n">
        <v>205.4</v>
      </c>
      <c r="F85" t="n">
        <v>4.6</v>
      </c>
      <c r="G85" t="inlineStr">
        <is>
          <t>26 000 000</t>
        </is>
      </c>
      <c r="H85" t="inlineStr">
        <is>
          <t>0</t>
        </is>
      </c>
      <c r="I85" t="inlineStr">
        <is>
          <t>По адресу есть, но площадь другая, объект в архиве</t>
        </is>
      </c>
      <c r="J85" t="inlineStr"/>
      <c r="K85">
        <f>HYPERLINK("https://nordwestinvest.ru/real-estates/okupaemost-98-let-fasad-proxodka","ссылка")</f>
        <v/>
      </c>
      <c r="L85">
        <f>HYPERLINK("https://app.worldcafe.ru/object/16877","ссылка")</f>
        <v/>
      </c>
    </row>
    <row r="86">
      <c r="A86" t="n">
        <v>300</v>
      </c>
      <c r="B86" t="inlineStr"/>
      <c r="C86" t="inlineStr">
        <is>
          <t>Санкт-Петербург г, Комендантский пр-кт, 60</t>
        </is>
      </c>
      <c r="D86" t="n">
        <v>2787</v>
      </c>
      <c r="E86" t="n">
        <v>378</v>
      </c>
      <c r="F86" t="n">
        <v>2409</v>
      </c>
      <c r="G86" t="inlineStr">
        <is>
          <t>27 000 000</t>
        </is>
      </c>
      <c r="H86" t="inlineStr">
        <is>
          <t>23 700 000</t>
        </is>
      </c>
      <c r="I86" t="inlineStr">
        <is>
          <t>По адресу есть, но площадь другая, объект в архиве</t>
        </is>
      </c>
      <c r="J86" t="inlineStr"/>
      <c r="K86">
        <f>HYPERLINK("https://nordwestinvest.ru/real-estates/prodaza-zemelnogo-ucastka-vdol-zk-ultra-city","ссылка")</f>
        <v/>
      </c>
      <c r="L86">
        <f>HYPERLINK("https://app.worldcafe.ru/object/15666","ссылка")</f>
        <v/>
      </c>
    </row>
    <row r="87">
      <c r="A87" t="n">
        <v>303</v>
      </c>
      <c r="B87" t="inlineStr"/>
      <c r="C87" t="inlineStr">
        <is>
          <t>Санкт-Петербург г, Малый В.О. пр-кт, 63/14</t>
        </is>
      </c>
      <c r="D87" t="n">
        <v>158.4</v>
      </c>
      <c r="E87" t="n">
        <v>380</v>
      </c>
      <c r="F87" t="n">
        <v>221.6</v>
      </c>
      <c r="G87" t="inlineStr">
        <is>
          <t>38 000 000</t>
        </is>
      </c>
      <c r="H87" t="inlineStr">
        <is>
          <t>75 000 000</t>
        </is>
      </c>
      <c r="I87" t="inlineStr">
        <is>
          <t>По адресу есть, но площадь другая, объект в архиве</t>
        </is>
      </c>
      <c r="J87" t="inlineStr"/>
      <c r="K87">
        <f>HYPERLINK("https://nordwestinvest.ru/real-estates/prodaza-pomeshheniia-v-novom-dome-1584-m2","ссылка")</f>
        <v/>
      </c>
      <c r="L87">
        <f>HYPERLINK("https://app.worldcafe.ru/object/12915","ссылка")</f>
        <v/>
      </c>
    </row>
    <row r="88">
      <c r="A88" t="n">
        <v>304</v>
      </c>
      <c r="B88" t="inlineStr"/>
      <c r="C88" t="inlineStr">
        <is>
          <t>Санкт-Петербург г, Невский пр-кт, 5</t>
        </is>
      </c>
      <c r="D88" t="n">
        <v>90</v>
      </c>
      <c r="E88" t="n">
        <v>83</v>
      </c>
      <c r="F88" t="n">
        <v>7</v>
      </c>
      <c r="G88" t="inlineStr">
        <is>
          <t>63 000 000</t>
        </is>
      </c>
      <c r="H88" t="inlineStr">
        <is>
          <t>1 000 000</t>
        </is>
      </c>
      <c r="I88" t="inlineStr">
        <is>
          <t>По адресу есть, но площадь другая, объект в архиве</t>
        </is>
      </c>
      <c r="J88" t="inlineStr"/>
      <c r="K88">
        <f>HYPERLINK("https://nordwestinvest.ru/real-estates/pomeshhenie-s-nadeznym-arendatorom","ссылка")</f>
        <v/>
      </c>
      <c r="L88">
        <f>HYPERLINK("https://app.worldcafe.ru/object/9851","ссылка")</f>
        <v/>
      </c>
    </row>
    <row r="89">
      <c r="A89" t="n">
        <v>307</v>
      </c>
      <c r="B89" t="inlineStr"/>
      <c r="C89" t="inlineStr">
        <is>
          <t>Санкт-Петербург г, Боровая ул, 55к2</t>
        </is>
      </c>
      <c r="D89" t="n">
        <v>1603.8</v>
      </c>
      <c r="E89" t="n">
        <v>1699</v>
      </c>
      <c r="F89" t="n">
        <v>95.2</v>
      </c>
      <c r="G89" t="inlineStr">
        <is>
          <t>160 000 000</t>
        </is>
      </c>
      <c r="H89" t="inlineStr">
        <is>
          <t>160 000 000</t>
        </is>
      </c>
      <c r="I89" t="inlineStr">
        <is>
          <t>По адресу есть, но площадь другая, объект на сайте</t>
        </is>
      </c>
      <c r="J89" t="inlineStr"/>
      <c r="K89">
        <f>HYPERLINK("https://nordwestinvest.ru/real-estates/prodaza-ulybka-radugi-160-m2-v-novom-tc-2","ссылка")</f>
        <v/>
      </c>
      <c r="L89">
        <f>HYPERLINK("https://app.worldcafe.ru/object/19555","ссылка")</f>
        <v/>
      </c>
    </row>
    <row r="90">
      <c r="A90" t="n">
        <v>312</v>
      </c>
      <c r="B90" t="inlineStr"/>
      <c r="C90" t="inlineStr">
        <is>
          <t>Санкт-Петербург г, Типанова ул, 19</t>
        </is>
      </c>
      <c r="D90" t="n">
        <v>53.6</v>
      </c>
      <c r="E90" t="n">
        <v>275.6</v>
      </c>
      <c r="F90" t="n">
        <v>222</v>
      </c>
      <c r="G90" t="inlineStr">
        <is>
          <t>19 000 000</t>
        </is>
      </c>
      <c r="H90" t="inlineStr">
        <is>
          <t>0</t>
        </is>
      </c>
      <c r="I90" t="inlineStr">
        <is>
          <t>По адресу есть, но площадь другая, объект в архиве</t>
        </is>
      </c>
      <c r="J90" t="inlineStr"/>
      <c r="K90">
        <f>HYPERLINK("https://nordwestinvest.ru/real-estates/prodaza-pomeshheniia-s-apteka-aprel-1","ссылка")</f>
        <v/>
      </c>
      <c r="L90">
        <f>HYPERLINK("https://app.worldcafe.ru/object/18652","ссылка")</f>
        <v/>
      </c>
    </row>
    <row r="91">
      <c r="A91" t="n">
        <v>322</v>
      </c>
      <c r="B91" t="inlineStr"/>
      <c r="C91" t="inlineStr">
        <is>
          <t>Санкт-Петербург г, Северный пр-кт, 115к2</t>
        </is>
      </c>
      <c r="D91" t="n">
        <v>30.9</v>
      </c>
      <c r="E91" t="n">
        <v>17.9</v>
      </c>
      <c r="F91" t="n">
        <v>13</v>
      </c>
      <c r="G91" t="inlineStr">
        <is>
          <t>14 800 000</t>
        </is>
      </c>
      <c r="H91" t="inlineStr">
        <is>
          <t>10 800 000</t>
        </is>
      </c>
      <c r="I91" t="inlineStr">
        <is>
          <t>По адресу есть, но площадь другая, объект на сайте</t>
        </is>
      </c>
      <c r="J91" t="inlineStr"/>
      <c r="K91">
        <f>HYPERLINK("https://nordwestinvest.ru/real-estates/prodaza-pomeshheniia-s-arendatorom-elton-kofe-1","ссылка")</f>
        <v/>
      </c>
      <c r="L91">
        <f>HYPERLINK("https://app.worldcafe.ru/object/18918","ссылка")</f>
        <v/>
      </c>
    </row>
    <row r="92">
      <c r="A92" t="n">
        <v>346</v>
      </c>
      <c r="B92" t="inlineStr"/>
      <c r="C92" t="inlineStr">
        <is>
          <t>Санкт-Петербург г, Северный пр-кт, 115к2</t>
        </is>
      </c>
      <c r="D92" t="n">
        <v>263.3</v>
      </c>
      <c r="E92" t="n">
        <v>260</v>
      </c>
      <c r="F92" t="n">
        <v>3.3</v>
      </c>
      <c r="G92" t="inlineStr">
        <is>
          <t>61 000 000</t>
        </is>
      </c>
      <c r="H92" t="inlineStr">
        <is>
          <t>63 000 000</t>
        </is>
      </c>
      <c r="I92" t="inlineStr">
        <is>
          <t>По адресу есть, но площадь другая, объект в архиве</t>
        </is>
      </c>
      <c r="J92" t="inlineStr"/>
      <c r="K92">
        <f>HYPERLINK("https://nordwestinvest.ru/real-estates/prodaza-pomeshheniia-s-arendatorom-samokat-1","ссылка")</f>
        <v/>
      </c>
      <c r="L92">
        <f>HYPERLINK("https://app.worldcafe.ru/object/18902","ссылка")</f>
        <v/>
      </c>
    </row>
    <row r="93">
      <c r="A93" t="n">
        <v>394</v>
      </c>
      <c r="B93" t="inlineStr"/>
      <c r="C93" t="inlineStr">
        <is>
          <t>Санкт-Петербург г, Богатырский пр-кт, 7к9 А</t>
        </is>
      </c>
      <c r="D93" t="n">
        <v>1498</v>
      </c>
      <c r="E93" t="n">
        <v>1174</v>
      </c>
      <c r="F93" t="n">
        <v>324</v>
      </c>
      <c r="G93" t="inlineStr">
        <is>
          <t>380 000 000</t>
        </is>
      </c>
      <c r="H93" t="inlineStr">
        <is>
          <t>1 750 000 000</t>
        </is>
      </c>
      <c r="I93" t="inlineStr">
        <is>
          <t>По адресу есть, но площадь другая, объект на сайте</t>
        </is>
      </c>
      <c r="J93" t="inlineStr"/>
      <c r="K93">
        <f>HYPERLINK("https://nordwestinvest.ru/real-estates/prodaza-osz","ссылка")</f>
        <v/>
      </c>
      <c r="L93">
        <f>HYPERLINK("https://app.worldcafe.ru/object/19000","ссылка")</f>
        <v/>
      </c>
    </row>
    <row r="94">
      <c r="A94" t="n">
        <v>399</v>
      </c>
      <c r="B94" t="inlineStr"/>
      <c r="C94" t="inlineStr">
        <is>
          <t>Санкт-Петербург г, Днепропетровская ул, 65</t>
        </is>
      </c>
      <c r="D94" t="n">
        <v>630.1</v>
      </c>
      <c r="E94" t="n">
        <v>102.2</v>
      </c>
      <c r="F94" t="n">
        <v>527.9</v>
      </c>
      <c r="G94" t="inlineStr">
        <is>
          <t>231 700 000</t>
        </is>
      </c>
      <c r="H94" t="inlineStr">
        <is>
          <t>23 506 000</t>
        </is>
      </c>
      <c r="I94" t="inlineStr">
        <is>
          <t>По адресу есть, но площадь другая, объект в архиве</t>
        </is>
      </c>
      <c r="J94" t="inlineStr"/>
      <c r="K94">
        <f>HYPERLINK("https://nordwestinvest.ru/real-estates/prodaza-piaterocki-v-centre-na-sennoi-1","ссылка")</f>
        <v/>
      </c>
      <c r="L94">
        <f>HYPERLINK("https://app.worldcafe.ru/object/18329","ссылка")</f>
        <v/>
      </c>
    </row>
    <row r="95">
      <c r="A95" t="n">
        <v>408</v>
      </c>
      <c r="B95" t="inlineStr"/>
      <c r="C95" t="inlineStr">
        <is>
          <t>Санкт-Петербург г, Вавиловых ул, 10к1 А</t>
        </is>
      </c>
      <c r="D95" t="n">
        <v>278</v>
      </c>
      <c r="E95" t="n">
        <v>108</v>
      </c>
      <c r="F95" t="n">
        <v>170</v>
      </c>
      <c r="G95" t="inlineStr">
        <is>
          <t>56 500 000</t>
        </is>
      </c>
      <c r="H95" t="inlineStr">
        <is>
          <t>3 350 000</t>
        </is>
      </c>
      <c r="I95" t="inlineStr">
        <is>
          <t>По адресу есть, но площадь другая, объект в архиве</t>
        </is>
      </c>
      <c r="J95" t="inlineStr"/>
      <c r="K95">
        <f>HYPERLINK("https://nordwestinvest.ru/real-estates/prodaza-magnit-82-let-okupaemosti-v-gorode-278m2","ссылка")</f>
        <v/>
      </c>
      <c r="L95">
        <f>HYPERLINK("https://app.worldcafe.ru/object/11935","ссылка")</f>
        <v/>
      </c>
    </row>
    <row r="96">
      <c r="A96" t="n">
        <v>416</v>
      </c>
      <c r="B96" t="inlineStr"/>
      <c r="C96" t="inlineStr">
        <is>
          <t>Санкт-Петербург г, Парашютная ул, 32</t>
        </is>
      </c>
      <c r="D96" t="n">
        <v>74.90000000000001</v>
      </c>
      <c r="E96" t="n">
        <v>754.1</v>
      </c>
      <c r="F96" t="n">
        <v>679.2</v>
      </c>
      <c r="G96" t="inlineStr">
        <is>
          <t>25 200 000</t>
        </is>
      </c>
      <c r="H96" t="inlineStr">
        <is>
          <t>130 000 000</t>
        </is>
      </c>
      <c r="I96" t="inlineStr">
        <is>
          <t>По адресу есть, но площадь другая, объект в архиве</t>
        </is>
      </c>
      <c r="J96" t="inlineStr"/>
      <c r="K96">
        <f>HYPERLINK("https://nordwestinvest.ru/real-estates/prodaza-s-arendatorom-sdek","ссылка")</f>
        <v/>
      </c>
      <c r="L96">
        <f>HYPERLINK("https://app.worldcafe.ru/object/15615","ссылка")</f>
        <v/>
      </c>
    </row>
    <row r="97">
      <c r="A97" t="n">
        <v>419</v>
      </c>
      <c r="B97" t="inlineStr"/>
      <c r="C97" t="inlineStr">
        <is>
          <t>Сестрорецк г, Рыбацкая ул, 5 А</t>
        </is>
      </c>
      <c r="D97" t="n">
        <v>7777</v>
      </c>
      <c r="E97" t="n">
        <v>2876</v>
      </c>
      <c r="F97" t="n">
        <v>4901</v>
      </c>
      <c r="G97" t="inlineStr">
        <is>
          <t>450 000 000</t>
        </is>
      </c>
      <c r="H97" t="inlineStr">
        <is>
          <t>54 000 000</t>
        </is>
      </c>
      <c r="I97" t="inlineStr">
        <is>
          <t>По адресу есть, но площадь другая, объект в архиве</t>
        </is>
      </c>
      <c r="J97" t="inlineStr"/>
      <c r="K97">
        <f>HYPERLINK("https://nordwestinvest.ru/real-estates/prodaza-osz-7777-m2","ссылка")</f>
        <v/>
      </c>
      <c r="L97">
        <f>HYPERLINK("https://app.worldcafe.ru/object/13775","ссылка")</f>
        <v/>
      </c>
    </row>
    <row r="98">
      <c r="A98" t="n">
        <v>420</v>
      </c>
      <c r="B98" t="inlineStr"/>
      <c r="C98" t="inlineStr">
        <is>
          <t>Санкт-Петербург г, Будапештская ул, 7к1 А</t>
        </is>
      </c>
      <c r="D98" t="n">
        <v>132.6</v>
      </c>
      <c r="E98" t="n">
        <v>1174</v>
      </c>
      <c r="F98" t="n">
        <v>1041.4</v>
      </c>
      <c r="G98" t="inlineStr">
        <is>
          <t>32 000 000</t>
        </is>
      </c>
      <c r="H98" t="inlineStr">
        <is>
          <t>1 750 000 000</t>
        </is>
      </c>
      <c r="I98" t="inlineStr">
        <is>
          <t>По адресу есть, но площадь другая, объект на сайте</t>
        </is>
      </c>
      <c r="J98" t="inlineStr"/>
      <c r="K98">
        <f>HYPERLINK("https://nordwestinvest.ru/real-estates/prodaza-psn-na-trafike-1326-m2","ссылка")</f>
        <v/>
      </c>
      <c r="L98">
        <f>HYPERLINK("https://app.worldcafe.ru/object/19000","ссылка")</f>
        <v/>
      </c>
    </row>
    <row r="99">
      <c r="A99" t="n">
        <v>424</v>
      </c>
      <c r="B99" t="inlineStr"/>
      <c r="C99" t="inlineStr">
        <is>
          <t>Санкт-Петербург г, Грузовой проезд, 7 Б</t>
        </is>
      </c>
      <c r="D99" t="n">
        <v>1514</v>
      </c>
      <c r="E99" t="n">
        <v>1464</v>
      </c>
      <c r="F99" t="n">
        <v>50</v>
      </c>
      <c r="G99" t="inlineStr">
        <is>
          <t>55 000 000</t>
        </is>
      </c>
      <c r="H99" t="inlineStr">
        <is>
          <t>0</t>
        </is>
      </c>
      <c r="I99" t="inlineStr">
        <is>
          <t>По адресу есть, но площадь другая, объект в архиве</t>
        </is>
      </c>
      <c r="J99" t="inlineStr"/>
      <c r="K99">
        <f>HYPERLINK("https://nordwestinvest.ru/real-estates/prodaza-osz-1514-m2-s-arendatorom","ссылка")</f>
        <v/>
      </c>
      <c r="L99">
        <f>HYPERLINK("https://app.worldcafe.ru/object/19248","ссылка")</f>
        <v/>
      </c>
    </row>
    <row r="100">
      <c r="A100" t="n">
        <v>434</v>
      </c>
      <c r="B100" t="inlineStr"/>
      <c r="C100" t="inlineStr">
        <is>
          <t>Шушары п, Новгородский пр-кт, 10 лит А</t>
        </is>
      </c>
      <c r="D100" t="n">
        <v>170</v>
      </c>
      <c r="E100" t="n">
        <v>108</v>
      </c>
      <c r="F100" t="n">
        <v>62</v>
      </c>
      <c r="G100" t="inlineStr">
        <is>
          <t>19 990 000</t>
        </is>
      </c>
      <c r="H100" t="inlineStr">
        <is>
          <t>3 350 000</t>
        </is>
      </c>
      <c r="I100" t="inlineStr">
        <is>
          <t>По адресу есть, но площадь другая, объект в архиве</t>
        </is>
      </c>
      <c r="J100" t="inlineStr"/>
      <c r="K100">
        <f>HYPERLINK("https://nordwestinvest.ru/real-estates/prodaza-psn-170kvm","ссылка")</f>
        <v/>
      </c>
      <c r="L100">
        <f>HYPERLINK("https://app.worldcafe.ru/object/11935","ссылка")</f>
        <v/>
      </c>
    </row>
    <row r="101">
      <c r="A101" t="n">
        <v>450</v>
      </c>
      <c r="B101" t="inlineStr"/>
      <c r="C101" t="inlineStr">
        <is>
          <t>Санкт-Петербург г, Сенная пл, 7 А</t>
        </is>
      </c>
      <c r="D101" t="n">
        <v>125.7</v>
      </c>
      <c r="E101" t="n">
        <v>1174</v>
      </c>
      <c r="F101" t="n">
        <v>1048.3</v>
      </c>
      <c r="G101" t="inlineStr">
        <is>
          <t>160 000 000</t>
        </is>
      </c>
      <c r="H101" t="inlineStr">
        <is>
          <t>1 750 000 000</t>
        </is>
      </c>
      <c r="I101" t="inlineStr">
        <is>
          <t>По адресу есть, но площадь другая, объект на сайте</t>
        </is>
      </c>
      <c r="J101" t="inlineStr"/>
      <c r="K101">
        <f>HYPERLINK("https://nordwestinvest.ru/real-estates/prodaza-u-metro-sadovaiaspasskaiasennaia-ploshhad","ссылка")</f>
        <v/>
      </c>
      <c r="L101">
        <f>HYPERLINK("https://app.worldcafe.ru/object/19000","ссылка")</f>
        <v/>
      </c>
    </row>
    <row r="102">
      <c r="A102" t="n">
        <v>453</v>
      </c>
      <c r="B102" t="inlineStr"/>
      <c r="C102" t="inlineStr">
        <is>
          <t>Санкт-Петербург г, Каменноостровский пр-кт, 41 А</t>
        </is>
      </c>
      <c r="D102" t="n">
        <v>205.4</v>
      </c>
      <c r="E102" t="n">
        <v>110.7</v>
      </c>
      <c r="F102" t="n">
        <v>94.7</v>
      </c>
      <c r="G102" t="inlineStr">
        <is>
          <t>140 000 000</t>
        </is>
      </c>
      <c r="H102" t="inlineStr">
        <is>
          <t>121 770</t>
        </is>
      </c>
      <c r="I102" t="inlineStr">
        <is>
          <t>По адресу есть, но площадь другая, объект в архиве</t>
        </is>
      </c>
      <c r="J102" t="inlineStr"/>
      <c r="K102">
        <f>HYPERLINK("https://nordwestinvest.ru/real-estates/prodaza-pomeshheniia-alfa-bank","ссылка")</f>
        <v/>
      </c>
      <c r="L102">
        <f>HYPERLINK("https://app.worldcafe.ru/object/13710","ссылка")</f>
        <v/>
      </c>
    </row>
    <row r="103">
      <c r="A103" t="n">
        <v>467</v>
      </c>
      <c r="B103" t="inlineStr"/>
      <c r="C103" t="inlineStr">
        <is>
          <t>Санкт-Петербург г, Колпинская ул, 15 А</t>
        </is>
      </c>
      <c r="D103" t="n">
        <v>65.09999999999999</v>
      </c>
      <c r="E103" t="n">
        <v>9044.1</v>
      </c>
      <c r="F103" t="n">
        <v>8979</v>
      </c>
      <c r="G103" t="inlineStr">
        <is>
          <t>25 000 000</t>
        </is>
      </c>
      <c r="H103" t="inlineStr">
        <is>
          <t>0</t>
        </is>
      </c>
      <c r="I103" t="inlineStr">
        <is>
          <t>По адресу есть, но площадь другая, объект в архиве</t>
        </is>
      </c>
      <c r="J103" t="inlineStr"/>
      <c r="K103">
        <f>HYPERLINK("https://nordwestinvest.ru/real-estates/prodaza-gab-65-m2","ссылка")</f>
        <v/>
      </c>
      <c r="L103">
        <f>HYPERLINK("https://app.worldcafe.ru/object/14309","ссылка")</f>
        <v/>
      </c>
    </row>
    <row r="104">
      <c r="A104" t="n">
        <v>469</v>
      </c>
      <c r="B104" t="inlineStr"/>
      <c r="C104" t="inlineStr">
        <is>
          <t>Шушары п, Отделение Бадаевское тер, 5 А</t>
        </is>
      </c>
      <c r="D104" t="n">
        <v>36885</v>
      </c>
      <c r="E104" t="n">
        <v>2876</v>
      </c>
      <c r="F104" t="n">
        <v>34009</v>
      </c>
      <c r="G104" t="inlineStr">
        <is>
          <t>50 000 000</t>
        </is>
      </c>
      <c r="H104" t="inlineStr">
        <is>
          <t>54 000 000</t>
        </is>
      </c>
      <c r="I104" t="inlineStr">
        <is>
          <t>По адресу есть, но площадь другая, объект в архиве</t>
        </is>
      </c>
      <c r="J104" t="inlineStr"/>
      <c r="K104">
        <f>HYPERLINK("https://nordwestinvest.ru/real-estates/prodaza-zu-ploshhadiu-36-885-m2","ссылка")</f>
        <v/>
      </c>
      <c r="L104">
        <f>HYPERLINK("https://app.worldcafe.ru/object/13775","ссылка")</f>
        <v/>
      </c>
    </row>
    <row r="105">
      <c r="A105" t="n">
        <v>470</v>
      </c>
      <c r="B105" t="inlineStr"/>
      <c r="C105" t="inlineStr">
        <is>
          <t>Пушкин г, Автомобильная ул, 10 А</t>
        </is>
      </c>
      <c r="D105" t="n">
        <v>11418</v>
      </c>
      <c r="E105" t="n">
        <v>108</v>
      </c>
      <c r="F105" t="n">
        <v>11310</v>
      </c>
      <c r="G105" t="inlineStr">
        <is>
          <t>65 000 000</t>
        </is>
      </c>
      <c r="H105" t="inlineStr">
        <is>
          <t>3 350 000</t>
        </is>
      </c>
      <c r="I105" t="inlineStr">
        <is>
          <t>По адресу есть, но площадь другая, объект в архиве</t>
        </is>
      </c>
      <c r="J105" t="inlineStr"/>
      <c r="K105">
        <f>HYPERLINK("https://nordwestinvest.ru/real-estates/prodaza-zemelnogo-ucastka-s-ogromnym-potencialom","ссылка")</f>
        <v/>
      </c>
      <c r="L105">
        <f>HYPERLINK("https://app.worldcafe.ru/object/11935","ссылка")</f>
        <v/>
      </c>
    </row>
    <row r="106">
      <c r="A106" t="n">
        <v>509</v>
      </c>
      <c r="B106" t="inlineStr"/>
      <c r="C106" t="inlineStr">
        <is>
          <t>Санкт-Петербург г, Колокольная ул, 8 А</t>
        </is>
      </c>
      <c r="D106" t="n">
        <v>190</v>
      </c>
      <c r="E106" t="n">
        <v>129</v>
      </c>
      <c r="F106" t="n">
        <v>61</v>
      </c>
      <c r="G106" t="inlineStr">
        <is>
          <t>72 000 000</t>
        </is>
      </c>
      <c r="H106" t="inlineStr">
        <is>
          <t>100 000 000</t>
        </is>
      </c>
      <c r="I106" t="inlineStr">
        <is>
          <t>По адресу есть, но площадь другая, объект в архиве</t>
        </is>
      </c>
      <c r="J106" t="inlineStr"/>
      <c r="K106">
        <f>HYPERLINK("https://nordwestinvest.ru/real-estates/prodaza-s-gruzinskim-restoranom","ссылка")</f>
        <v/>
      </c>
      <c r="L106">
        <f>HYPERLINK("https://app.worldcafe.ru/object/13712","ссылка")</f>
        <v/>
      </c>
    </row>
    <row r="107">
      <c r="A107" t="n">
        <v>516</v>
      </c>
      <c r="B107" t="inlineStr"/>
      <c r="C107" t="inlineStr">
        <is>
          <t>Санкт-Петербург г, Софийская ул, 61к1 А</t>
        </is>
      </c>
      <c r="D107" t="n">
        <v>25000</v>
      </c>
      <c r="E107" t="n">
        <v>115</v>
      </c>
      <c r="F107" t="n">
        <v>24885</v>
      </c>
      <c r="G107" t="inlineStr">
        <is>
          <t>2 000 000 000</t>
        </is>
      </c>
      <c r="H107" t="inlineStr">
        <is>
          <t>8 925 375</t>
        </is>
      </c>
      <c r="I107" t="inlineStr">
        <is>
          <t>По адресу есть, но площадь другая, объект на сайте</t>
        </is>
      </c>
      <c r="J107" t="inlineStr"/>
      <c r="K107">
        <f>HYPERLINK("https://nordwestinvest.ru/real-estates/prodaza-zemelnogo-ucastka-25-ga","ссылка")</f>
        <v/>
      </c>
      <c r="L107">
        <f>HYPERLINK("https://app.worldcafe.ru/object/18072","ссылка")</f>
        <v/>
      </c>
    </row>
    <row r="108">
      <c r="A108" t="n">
        <v>518</v>
      </c>
      <c r="B108" t="inlineStr"/>
      <c r="C108" t="inlineStr">
        <is>
          <t>Ленинградская обл, Колтуши д, Иоанна Кронштадтского, 2</t>
        </is>
      </c>
      <c r="D108" t="n">
        <v>566</v>
      </c>
      <c r="E108" t="n">
        <v>300</v>
      </c>
      <c r="F108" t="n">
        <v>266</v>
      </c>
      <c r="G108" t="inlineStr">
        <is>
          <t>95 000 000</t>
        </is>
      </c>
      <c r="H108" t="inlineStr">
        <is>
          <t>24 000 000</t>
        </is>
      </c>
      <c r="I108" t="inlineStr">
        <is>
          <t>По адресу есть, но площадь другая, объект на сайте</t>
        </is>
      </c>
      <c r="J108" t="inlineStr"/>
      <c r="K108">
        <f>HYPERLINK("https://nordwestinvest.ru/real-estates/prodaza-s-arendatorom-vernyi","ссылка")</f>
        <v/>
      </c>
      <c r="L108">
        <f>HYPERLINK("https://app.worldcafe.ru/object/18916","ссылка")</f>
        <v/>
      </c>
    </row>
    <row r="109">
      <c r="A109" t="n">
        <v>533</v>
      </c>
      <c r="B109" t="inlineStr"/>
      <c r="C109" t="inlineStr">
        <is>
          <t>Санкт-Петербург г, Отважных ул, 10 А</t>
        </is>
      </c>
      <c r="D109" t="n">
        <v>130</v>
      </c>
      <c r="E109" t="n">
        <v>108</v>
      </c>
      <c r="F109" t="n">
        <v>22</v>
      </c>
      <c r="G109" t="inlineStr">
        <is>
          <t>17 500 000</t>
        </is>
      </c>
      <c r="H109" t="inlineStr">
        <is>
          <t>3 350 000</t>
        </is>
      </c>
      <c r="I109" t="inlineStr">
        <is>
          <t>По адресу есть, но площадь другая, объект в архиве</t>
        </is>
      </c>
      <c r="J109" t="inlineStr"/>
      <c r="K109">
        <f>HYPERLINK("https://nordwestinvest.ru/real-estates/prodaza-pomeshheniia-130-kvm-s-arendatorom","ссылка")</f>
        <v/>
      </c>
      <c r="L109">
        <f>HYPERLINK("https://app.worldcafe.ru/object/11935","ссылка")</f>
        <v/>
      </c>
    </row>
    <row r="110">
      <c r="A110" t="n">
        <v>535</v>
      </c>
      <c r="B110" t="inlineStr"/>
      <c r="C110" t="inlineStr">
        <is>
          <t>Ломоносов г, Дегтярёва ул, 4а Б</t>
        </is>
      </c>
      <c r="D110" t="n">
        <v>178</v>
      </c>
      <c r="E110" t="n">
        <v>118.3</v>
      </c>
      <c r="F110" t="n">
        <v>59.7</v>
      </c>
      <c r="G110" t="inlineStr">
        <is>
          <t>15 500 000</t>
        </is>
      </c>
      <c r="H110" t="inlineStr">
        <is>
          <t>28 900 000</t>
        </is>
      </c>
      <c r="I110" t="inlineStr">
        <is>
          <t>По адресу есть, но площадь другая, объект в архиве</t>
        </is>
      </c>
      <c r="J110" t="inlineStr"/>
      <c r="K110">
        <f>HYPERLINK("https://nordwestinvest.ru/real-estates/prodaza-osz-178-m2-s-arendatorom","ссылка")</f>
        <v/>
      </c>
      <c r="L110">
        <f>HYPERLINK("https://app.worldcafe.ru/object/15588","ссылка")</f>
        <v/>
      </c>
    </row>
    <row r="111">
      <c r="A111" t="n">
        <v>540</v>
      </c>
      <c r="B111" t="inlineStr"/>
      <c r="C111" t="inlineStr">
        <is>
          <t>Санкт-Петербург г, Адмирала Лазарева наб, 10</t>
        </is>
      </c>
      <c r="D111" t="n">
        <v>31100</v>
      </c>
      <c r="E111" t="n">
        <v>900</v>
      </c>
      <c r="F111" t="n">
        <v>30200</v>
      </c>
      <c r="G111" t="inlineStr">
        <is>
          <t>1 200 000 000</t>
        </is>
      </c>
      <c r="H111" t="inlineStr">
        <is>
          <t>0</t>
        </is>
      </c>
      <c r="I111" t="inlineStr">
        <is>
          <t>По адресу есть, но площадь другая, объект в архиве</t>
        </is>
      </c>
      <c r="J111" t="inlineStr"/>
      <c r="K111">
        <f>HYPERLINK("https://nordwestinvest.ru/real-estates/prodaza-100-iur-lica","ссылка")</f>
        <v/>
      </c>
      <c r="L111">
        <f>HYPERLINK("https://app.worldcafe.ru/object/20019","ссылка")</f>
        <v/>
      </c>
    </row>
    <row r="112">
      <c r="A112" t="n">
        <v>548</v>
      </c>
      <c r="B112" t="inlineStr"/>
      <c r="C112" t="inlineStr">
        <is>
          <t>Санкт-Петербург г, Отважных ул, 10 А</t>
        </is>
      </c>
      <c r="D112" t="n">
        <v>300</v>
      </c>
      <c r="E112" t="n">
        <v>108</v>
      </c>
      <c r="F112" t="n">
        <v>192</v>
      </c>
      <c r="G112" t="inlineStr">
        <is>
          <t>50 000 000</t>
        </is>
      </c>
      <c r="H112" t="inlineStr">
        <is>
          <t>3 350 000</t>
        </is>
      </c>
      <c r="I112" t="inlineStr">
        <is>
          <t>По адресу есть, но площадь другая, объект в архиве</t>
        </is>
      </c>
      <c r="J112" t="inlineStr"/>
      <c r="K112">
        <f>HYPERLINK("https://nordwestinvest.ru/real-estates/prodaza-300-m2-sosednee-s-magazinom-piaterocka","ссылка")</f>
        <v/>
      </c>
      <c r="L112">
        <f>HYPERLINK("https://app.worldcafe.ru/object/11935","ссылка")</f>
        <v/>
      </c>
    </row>
    <row r="113">
      <c r="A113" t="n">
        <v>561</v>
      </c>
      <c r="B113" t="inlineStr"/>
      <c r="C113" t="inlineStr">
        <is>
          <t>Санкт-Петербург г, Народного Ополчения пр-кт, 10 А</t>
        </is>
      </c>
      <c r="D113" t="n">
        <v>385</v>
      </c>
      <c r="E113" t="n">
        <v>108</v>
      </c>
      <c r="F113" t="n">
        <v>277</v>
      </c>
      <c r="G113" t="inlineStr">
        <is>
          <t>56 000 000</t>
        </is>
      </c>
      <c r="H113" t="inlineStr">
        <is>
          <t>3 350 000</t>
        </is>
      </c>
      <c r="I113" t="inlineStr">
        <is>
          <t>По адресу есть, но площадь другая, объект в архиве</t>
        </is>
      </c>
      <c r="J113" t="inlineStr"/>
      <c r="K113">
        <f>HYPERLINK("https://nordwestinvest.ru/real-estates/prodaza-385-m2-s-arendatorom","ссылка")</f>
        <v/>
      </c>
      <c r="L113">
        <f>HYPERLINK("https://app.worldcafe.ru/object/11935","ссылка")</f>
        <v/>
      </c>
    </row>
    <row r="114">
      <c r="A114" t="n">
        <v>563</v>
      </c>
      <c r="B114" t="inlineStr"/>
      <c r="C114" t="inlineStr">
        <is>
          <t>Санкт-Петербург г, Варшавская ул, 32 А</t>
        </is>
      </c>
      <c r="D114" t="n">
        <v>323</v>
      </c>
      <c r="E114" t="n">
        <v>214.9</v>
      </c>
      <c r="F114" t="n">
        <v>108.1</v>
      </c>
      <c r="G114" t="inlineStr">
        <is>
          <t>11 950 000</t>
        </is>
      </c>
      <c r="H114" t="inlineStr">
        <is>
          <t>25 000 000</t>
        </is>
      </c>
      <c r="I114" t="inlineStr">
        <is>
          <t>По адресу есть, но площадь другая, объект в архиве</t>
        </is>
      </c>
      <c r="J114" t="inlineStr"/>
      <c r="K114">
        <f>HYPERLINK("https://nordwestinvest.ru/real-estates/prodaza-pomeshheniia-pod-iuradresaofis-323-m2","ссылка")</f>
        <v/>
      </c>
      <c r="L114">
        <f>HYPERLINK("https://app.worldcafe.ru/object/19771","ссылка")</f>
        <v/>
      </c>
    </row>
    <row r="115">
      <c r="A115" t="n">
        <v>587</v>
      </c>
      <c r="B115" t="inlineStr"/>
      <c r="C115" t="inlineStr">
        <is>
          <t>Санкт-Петербург г, Солнечная, 12</t>
        </is>
      </c>
      <c r="D115" t="n">
        <v>80</v>
      </c>
      <c r="E115" t="n">
        <v>57.2</v>
      </c>
      <c r="F115" t="n">
        <v>22.8</v>
      </c>
      <c r="G115" t="inlineStr">
        <is>
          <t>22 950 000</t>
        </is>
      </c>
      <c r="H115" t="inlineStr">
        <is>
          <t>0</t>
        </is>
      </c>
      <c r="I115" t="inlineStr">
        <is>
          <t>По адресу есть, но площадь другая, объект в архиве</t>
        </is>
      </c>
      <c r="J115" t="inlineStr"/>
      <c r="K115">
        <f>HYPERLINK("https://nordwestinvest.ru/real-estates/prodaza-pomeshheniia-ploshhadiu-80-m2","ссылка")</f>
        <v/>
      </c>
      <c r="L115">
        <f>HYPERLINK("https://app.worldcafe.ru/object/19853","ссылка")</f>
        <v/>
      </c>
    </row>
    <row r="116">
      <c r="A116" t="n">
        <v>588</v>
      </c>
      <c r="B116" t="inlineStr"/>
      <c r="C116" t="inlineStr">
        <is>
          <t>Санкт-Петербург г, Энгельса пр-кт, 97</t>
        </is>
      </c>
      <c r="D116" t="n">
        <v>124.1</v>
      </c>
      <c r="E116" t="n">
        <v>150</v>
      </c>
      <c r="F116" t="n">
        <v>25.9</v>
      </c>
      <c r="G116" t="inlineStr">
        <is>
          <t>18 700 000</t>
        </is>
      </c>
      <c r="H116" t="inlineStr">
        <is>
          <t>38 000 000</t>
        </is>
      </c>
      <c r="I116" t="inlineStr">
        <is>
          <t>По адресу есть, но площадь другая, объект на сайте</t>
        </is>
      </c>
      <c r="J116" t="inlineStr"/>
      <c r="K116">
        <f>HYPERLINK("https://nordwestinvest.ru/real-estates/prodaza-s-remontom-okupaemost-9-let-u-metro","ссылка")</f>
        <v/>
      </c>
      <c r="L116">
        <f>HYPERLINK("https://app.worldcafe.ru/object/13495","ссылка")</f>
        <v/>
      </c>
    </row>
    <row r="117">
      <c r="A117" t="n">
        <v>13</v>
      </c>
      <c r="B117" t="inlineStr"/>
      <c r="C117" t="inlineStr">
        <is>
          <t>Санкт-Петербург г, Просвещения пр-кт, 53к1 литера Д</t>
        </is>
      </c>
      <c r="D117" t="n">
        <v>418</v>
      </c>
      <c r="E117" t="n">
        <v>243.9</v>
      </c>
      <c r="F117" t="n">
        <v>174.1</v>
      </c>
      <c r="G117" t="inlineStr">
        <is>
          <t>93 000 000</t>
        </is>
      </c>
      <c r="H117" t="inlineStr">
        <is>
          <t>280 000</t>
        </is>
      </c>
      <c r="I117" t="inlineStr">
        <is>
          <t>По адресу есть, но площадь другая, объект в архиве, у нас другая сделка</t>
        </is>
      </c>
      <c r="J117" t="inlineStr"/>
      <c r="K117">
        <f>HYPERLINK("https://nordwestinvest.ru/real-estates/prodaza-torgovogo-pomeshheniia-s-nds","ссылка")</f>
        <v/>
      </c>
      <c r="L117">
        <f>HYPERLINK("https://app.worldcafe.ru/object/12748","ссылка")</f>
        <v/>
      </c>
    </row>
    <row r="118">
      <c r="A118" t="n">
        <v>18</v>
      </c>
      <c r="B118" t="inlineStr"/>
      <c r="C118" t="inlineStr">
        <is>
          <t>Санкт-Петербург г, Кубинская ул, 4к1 А</t>
        </is>
      </c>
      <c r="D118" t="n">
        <v>4850</v>
      </c>
      <c r="E118" t="n">
        <v>304</v>
      </c>
      <c r="F118" t="n">
        <v>4546</v>
      </c>
      <c r="G118" t="inlineStr">
        <is>
          <t>430 000 000</t>
        </is>
      </c>
      <c r="H118" t="inlineStr">
        <is>
          <t>610 000</t>
        </is>
      </c>
      <c r="I118" t="inlineStr">
        <is>
          <t>По адресу есть, но площадь другая, объект в архиве, у нас другая сделка</t>
        </is>
      </c>
      <c r="J118" t="inlineStr"/>
      <c r="K118">
        <f>HYPERLINK("https://nordwestinvest.ru/real-estates/prodaza-avtomobilnogo-kompleksa","ссылка")</f>
        <v/>
      </c>
      <c r="L118">
        <f>HYPERLINK("https://app.worldcafe.ru/object/15317","ссылка")</f>
        <v/>
      </c>
    </row>
    <row r="119">
      <c r="A119" t="n">
        <v>22</v>
      </c>
      <c r="B119" t="inlineStr"/>
      <c r="C119" t="inlineStr">
        <is>
          <t>Санкт-Петербург г, Английский пр-кт, 20 А</t>
        </is>
      </c>
      <c r="D119" t="n">
        <v>127</v>
      </c>
      <c r="E119" t="n">
        <v>19770</v>
      </c>
      <c r="F119" t="n">
        <v>19643</v>
      </c>
      <c r="G119" t="inlineStr">
        <is>
          <t>18 000 000</t>
        </is>
      </c>
      <c r="H119" t="inlineStr">
        <is>
          <t>0</t>
        </is>
      </c>
      <c r="I119" t="inlineStr">
        <is>
          <t>По адресу есть, но площадь другая, объект в архиве, у нас другая сделка</t>
        </is>
      </c>
      <c r="J119" t="inlineStr"/>
      <c r="K119">
        <f>HYPERLINK("https://nordwestinvest.ru/real-estates/skladskoi-kompleks-skladno","ссылка")</f>
        <v/>
      </c>
      <c r="L119">
        <f>HYPERLINK("https://app.worldcafe.ru/object/11234","ссылка")</f>
        <v/>
      </c>
    </row>
    <row r="120">
      <c r="A120" t="n">
        <v>27</v>
      </c>
      <c r="B120" t="inlineStr"/>
      <c r="C120" t="inlineStr">
        <is>
          <t>Ленинградская обл, Кудрово г, Столичная ул, 4к3</t>
        </is>
      </c>
      <c r="D120" t="n">
        <v>134</v>
      </c>
      <c r="E120" t="n">
        <v>150</v>
      </c>
      <c r="F120" t="n">
        <v>16</v>
      </c>
      <c r="G120" t="inlineStr">
        <is>
          <t>45 000 000</t>
        </is>
      </c>
      <c r="H120" t="inlineStr">
        <is>
          <t>225 000</t>
        </is>
      </c>
      <c r="I120" t="inlineStr">
        <is>
          <t>По адресу есть, но площадь другая, объект в архиве, у нас другая сделка</t>
        </is>
      </c>
      <c r="J120" t="inlineStr"/>
      <c r="K120">
        <f>HYPERLINK("https://nordwestinvest.ru/real-estates/pomeshhenie-s-xeliksom","ссылка")</f>
        <v/>
      </c>
      <c r="L120">
        <f>HYPERLINK("https://app.worldcafe.ru/object/11399","ссылка")</f>
        <v/>
      </c>
    </row>
    <row r="121">
      <c r="A121" t="n">
        <v>30</v>
      </c>
      <c r="B121" t="inlineStr"/>
      <c r="C121" t="inlineStr">
        <is>
          <t>Санкт-Петербург г, Белорусская ул, 4</t>
        </is>
      </c>
      <c r="D121" t="n">
        <v>1188.1</v>
      </c>
      <c r="E121" t="n">
        <v>350</v>
      </c>
      <c r="F121" t="n">
        <v>838.1</v>
      </c>
      <c r="G121" t="inlineStr">
        <is>
          <t>50 000 000</t>
        </is>
      </c>
      <c r="H121" t="inlineStr">
        <is>
          <t>160 000</t>
        </is>
      </c>
      <c r="I121" t="inlineStr">
        <is>
          <t>По адресу есть, но площадь другая, объект в архиве, у нас другая сделка</t>
        </is>
      </c>
      <c r="J121" t="inlineStr"/>
      <c r="K121">
        <f>HYPERLINK("https://nordwestinvest.ru/real-estates/pomeshhenie-1200-m2-light-industrial","ссылка")</f>
        <v/>
      </c>
      <c r="L121">
        <f>HYPERLINK("https://app.worldcafe.ru/object/7983","ссылка")</f>
        <v/>
      </c>
    </row>
    <row r="122">
      <c r="A122" t="n">
        <v>41</v>
      </c>
      <c r="B122" t="inlineStr"/>
      <c r="C122" t="inlineStr">
        <is>
          <t>Санкт-Петербург г, Прибрежная ул, 4 А</t>
        </is>
      </c>
      <c r="D122" t="n">
        <v>60</v>
      </c>
      <c r="E122" t="n">
        <v>304</v>
      </c>
      <c r="F122" t="n">
        <v>244</v>
      </c>
      <c r="G122" t="inlineStr">
        <is>
          <t>15 800 000</t>
        </is>
      </c>
      <c r="H122" t="inlineStr">
        <is>
          <t>610 000</t>
        </is>
      </c>
      <c r="I122" t="inlineStr">
        <is>
          <t>По адресу есть, но площадь другая, объект в архиве, у нас другая сделка</t>
        </is>
      </c>
      <c r="J122" t="inlineStr"/>
      <c r="K122">
        <f>HYPERLINK("https://nordwestinvest.ru/real-estates/prodaza-pomeshheniia-s-pvz-ozon-60-m2","ссылка")</f>
        <v/>
      </c>
      <c r="L122">
        <f>HYPERLINK("https://app.worldcafe.ru/object/15317","ссылка")</f>
        <v/>
      </c>
    </row>
    <row r="123">
      <c r="A123" t="n">
        <v>43</v>
      </c>
      <c r="B123" t="inlineStr"/>
      <c r="C123" t="inlineStr">
        <is>
          <t>Санкт-Петербург г, Английский пр-кт, 26 А</t>
        </is>
      </c>
      <c r="D123" t="n">
        <v>80</v>
      </c>
      <c r="E123" t="n">
        <v>250</v>
      </c>
      <c r="F123" t="n">
        <v>170</v>
      </c>
      <c r="G123" t="inlineStr">
        <is>
          <t>14 000 000</t>
        </is>
      </c>
      <c r="H123" t="inlineStr">
        <is>
          <t>225 000</t>
        </is>
      </c>
      <c r="I123" t="inlineStr">
        <is>
          <t>По адресу есть, но площадь другая, объект в архиве, у нас другая сделка</t>
        </is>
      </c>
      <c r="J123" t="inlineStr"/>
      <c r="K123">
        <f>HYPERLINK("https://nordwestinvest.ru/real-estates/pomeshhenie-s-wildberries-80-m2","ссылка")</f>
        <v/>
      </c>
      <c r="L123">
        <f>HYPERLINK("https://app.worldcafe.ru/object/8360","ссылка")</f>
        <v/>
      </c>
    </row>
    <row r="124">
      <c r="A124" t="n">
        <v>74</v>
      </c>
      <c r="B124" t="inlineStr"/>
      <c r="C124" t="inlineStr">
        <is>
          <t>Парголово п, Николая Рубцова ул, 9</t>
        </is>
      </c>
      <c r="D124" t="n">
        <v>118.9</v>
      </c>
      <c r="E124" t="n">
        <v>74</v>
      </c>
      <c r="F124" t="n">
        <v>44.9</v>
      </c>
      <c r="G124" t="inlineStr">
        <is>
          <t>53 500 000</t>
        </is>
      </c>
      <c r="H124" t="inlineStr">
        <is>
          <t>129 000</t>
        </is>
      </c>
      <c r="I124" t="inlineStr">
        <is>
          <t>По адресу есть, но площадь другая, объект на сайте, у нас другая сделка</t>
        </is>
      </c>
      <c r="J124" t="inlineStr"/>
      <c r="K124">
        <f>HYPERLINK("https://nordwestinvest.ru/real-estates/pomeshhenie-s-setevym-arendatorom-grafit","ссылка")</f>
        <v/>
      </c>
      <c r="L124">
        <f>HYPERLINK("https://app.worldcafe.ru/object/20121","ссылка")</f>
        <v/>
      </c>
    </row>
    <row r="125">
      <c r="A125" t="n">
        <v>75</v>
      </c>
      <c r="B125" t="inlineStr"/>
      <c r="C125" t="inlineStr">
        <is>
          <t>Парголово п, Николая Рубцова ул, 9</t>
        </is>
      </c>
      <c r="D125" t="n">
        <v>123</v>
      </c>
      <c r="E125" t="n">
        <v>74</v>
      </c>
      <c r="F125" t="n">
        <v>49</v>
      </c>
      <c r="G125" t="inlineStr">
        <is>
          <t>55 000 000</t>
        </is>
      </c>
      <c r="H125" t="inlineStr">
        <is>
          <t>129 000</t>
        </is>
      </c>
      <c r="I125" t="inlineStr">
        <is>
          <t>По адресу есть, но площадь другая, объект на сайте, у нас другая сделка</t>
        </is>
      </c>
      <c r="J125" t="inlineStr"/>
      <c r="K125">
        <f>HYPERLINK("https://nordwestinvest.ru/real-estates/pomeshhenie-s-setevym-arendatorom-vinlab-2","ссылка")</f>
        <v/>
      </c>
      <c r="L125">
        <f>HYPERLINK("https://app.worldcafe.ru/object/20121","ссылка")</f>
        <v/>
      </c>
    </row>
    <row r="126">
      <c r="A126" t="n">
        <v>79</v>
      </c>
      <c r="B126" t="inlineStr"/>
      <c r="C126" t="inlineStr">
        <is>
          <t>Санкт-Петербург г, Просвещения пр-кт, 53к1 литера Д</t>
        </is>
      </c>
      <c r="D126" t="n">
        <v>418</v>
      </c>
      <c r="E126" t="n">
        <v>243.9</v>
      </c>
      <c r="F126" t="n">
        <v>174.1</v>
      </c>
      <c r="G126" t="inlineStr">
        <is>
          <t>93 000 000</t>
        </is>
      </c>
      <c r="H126" t="inlineStr">
        <is>
          <t>280 000</t>
        </is>
      </c>
      <c r="I126" t="inlineStr">
        <is>
          <t>По адресу есть, но площадь другая, объект в архиве, у нас другая сделка</t>
        </is>
      </c>
      <c r="J126" t="inlineStr"/>
      <c r="K126">
        <f>HYPERLINK("https://nordwestinvest.ru/real-estates/prodaza-torgovogo-pomeshheniia-s-nds-1","ссылка")</f>
        <v/>
      </c>
      <c r="L126">
        <f>HYPERLINK("https://app.worldcafe.ru/object/12748","ссылка")</f>
        <v/>
      </c>
    </row>
    <row r="127">
      <c r="A127" t="n">
        <v>93</v>
      </c>
      <c r="B127" t="inlineStr"/>
      <c r="C127" t="inlineStr">
        <is>
          <t>Санкт-Петербург г, Большая Зеленина ул, 24</t>
        </is>
      </c>
      <c r="D127" t="n">
        <v>251.5</v>
      </c>
      <c r="E127" t="n">
        <v>332.4</v>
      </c>
      <c r="F127" t="n">
        <v>80.90000000000001</v>
      </c>
      <c r="G127" t="inlineStr">
        <is>
          <t>115 000 000</t>
        </is>
      </c>
      <c r="H127" t="inlineStr">
        <is>
          <t>283 000</t>
        </is>
      </c>
      <c r="I127" t="inlineStr">
        <is>
          <t>По адресу есть, но площадь другая, объект в архиве, у нас другая сделка</t>
        </is>
      </c>
      <c r="J127" t="inlineStr"/>
      <c r="K127">
        <f>HYPERLINK("https://nordwestinvest.ru/real-estates/funkcionalnyi-ofis-v-biznes-centre-grani-1","ссылка")</f>
        <v/>
      </c>
      <c r="L127">
        <f>HYPERLINK("https://app.worldcafe.ru/object/13840","ссылка")</f>
        <v/>
      </c>
    </row>
    <row r="128">
      <c r="A128" t="n">
        <v>148</v>
      </c>
      <c r="B128" t="inlineStr"/>
      <c r="C128" t="inlineStr">
        <is>
          <t>Санкт-Петербург г, Заставская ул, 7</t>
        </is>
      </c>
      <c r="D128" t="n">
        <v>9230.6</v>
      </c>
      <c r="E128" t="n">
        <v>0</v>
      </c>
      <c r="F128" t="n">
        <v>9230.6</v>
      </c>
      <c r="G128" t="inlineStr">
        <is>
          <t>965 000 000</t>
        </is>
      </c>
      <c r="H128" t="inlineStr">
        <is>
          <t>0</t>
        </is>
      </c>
      <c r="I128" t="inlineStr">
        <is>
          <t>По адресу есть, но площадь другая, объект в архиве, у нас другая сделка</t>
        </is>
      </c>
      <c r="J128" t="inlineStr"/>
      <c r="K128">
        <f>HYPERLINK("https://nordwestinvest.ru/real-estates/prodaza-bc-s-arendatorami-s-nds","ссылка")</f>
        <v/>
      </c>
      <c r="L128">
        <f>HYPERLINK("https://app.worldcafe.ru/object/8878","ссылка")</f>
        <v/>
      </c>
    </row>
    <row r="129">
      <c r="A129" t="n">
        <v>168</v>
      </c>
      <c r="B129" t="inlineStr"/>
      <c r="C129" t="inlineStr">
        <is>
          <t>Санкт-Петербург г, Жуковского ул, 38</t>
        </is>
      </c>
      <c r="D129" t="n">
        <v>97.59999999999999</v>
      </c>
      <c r="E129" t="n">
        <v>125.8</v>
      </c>
      <c r="F129" t="n">
        <v>28.2</v>
      </c>
      <c r="G129" t="inlineStr">
        <is>
          <t>30 000 000</t>
        </is>
      </c>
      <c r="H129" t="inlineStr">
        <is>
          <t>0</t>
        </is>
      </c>
      <c r="I129" t="inlineStr">
        <is>
          <t>По адресу есть, но площадь другая, объект в архиве, у нас другая сделка</t>
        </is>
      </c>
      <c r="J129" t="inlineStr"/>
      <c r="K129">
        <f>HYPERLINK("https://nordwestinvest.ru/real-estates/prodaza-pomeshheniia-976-1","ссылка")</f>
        <v/>
      </c>
      <c r="L129">
        <f>HYPERLINK("https://app.worldcafe.ru/object/14137","ссылка")</f>
        <v/>
      </c>
    </row>
    <row r="130">
      <c r="A130" t="n">
        <v>169</v>
      </c>
      <c r="B130" t="inlineStr"/>
      <c r="C130" t="inlineStr">
        <is>
          <t>Санкт-Петербург г, Среднерогатская ул, 11к2 стр 1</t>
        </is>
      </c>
      <c r="D130" t="n">
        <v>475.7</v>
      </c>
      <c r="E130" t="n">
        <v>448</v>
      </c>
      <c r="F130" t="n">
        <v>27.7</v>
      </c>
      <c r="G130" t="inlineStr">
        <is>
          <t>232 000 000</t>
        </is>
      </c>
      <c r="H130" t="inlineStr">
        <is>
          <t>537 600</t>
        </is>
      </c>
      <c r="I130" t="inlineStr">
        <is>
          <t>По адресу есть, но площадь другая, объект в архиве, у нас другая сделка</t>
        </is>
      </c>
      <c r="J130" t="inlineStr"/>
      <c r="K130">
        <f>HYPERLINK("https://nordwestinvest.ru/real-estates/pomeshhenie-v-zk-akvilon-leaves","ссылка")</f>
        <v/>
      </c>
      <c r="L130">
        <f>HYPERLINK("https://app.worldcafe.ru/object/10645","ссылка")</f>
        <v/>
      </c>
    </row>
    <row r="131">
      <c r="A131" t="n">
        <v>220</v>
      </c>
      <c r="B131" t="inlineStr"/>
      <c r="C131" t="inlineStr">
        <is>
          <t>Санкт-Петербург г, Обуховской Обороны пр-кт, 86к</t>
        </is>
      </c>
      <c r="D131" t="n">
        <v>11240</v>
      </c>
      <c r="E131" t="n">
        <v>402</v>
      </c>
      <c r="F131" t="n">
        <v>10838</v>
      </c>
      <c r="G131" t="inlineStr">
        <is>
          <t>1 000 000 000</t>
        </is>
      </c>
      <c r="H131" t="inlineStr">
        <is>
          <t>320 000</t>
        </is>
      </c>
      <c r="I131" t="inlineStr">
        <is>
          <t>По адресу есть, но площадь другая, объект в архиве, у нас другая сделка</t>
        </is>
      </c>
      <c r="J131" t="inlineStr"/>
      <c r="K131">
        <f>HYPERLINK("https://nordwestinvest.ru/real-estates/prodaza-zdaniia-so-100-dolei-kompanii","ссылка")</f>
        <v/>
      </c>
      <c r="L131">
        <f>HYPERLINK("https://app.worldcafe.ru/object/9603","ссылка")</f>
        <v/>
      </c>
    </row>
    <row r="132">
      <c r="A132" t="n">
        <v>223</v>
      </c>
      <c r="B132" t="inlineStr"/>
      <c r="C132" t="inlineStr">
        <is>
          <t>Санкт-Петербург г, Шафировский пр-кт, 17к1</t>
        </is>
      </c>
      <c r="D132" t="n">
        <v>4741.6</v>
      </c>
      <c r="E132" t="n">
        <v>150</v>
      </c>
      <c r="F132" t="n">
        <v>4591.6</v>
      </c>
      <c r="G132" t="inlineStr">
        <is>
          <t>474 000 000</t>
        </is>
      </c>
      <c r="H132" t="inlineStr">
        <is>
          <t>135 000</t>
        </is>
      </c>
      <c r="I132" t="inlineStr">
        <is>
          <t>По адресу есть, но площадь другая, объект в архиве, у нас другая сделка</t>
        </is>
      </c>
      <c r="J132" t="inlineStr"/>
      <c r="K132">
        <f>HYPERLINK("https://nordwestinvest.ru/real-estates/osz-dlia-gostinicy-4741m-2","ссылка")</f>
        <v/>
      </c>
      <c r="L132">
        <f>HYPERLINK("https://app.worldcafe.ru/object/11284","ссылка")</f>
        <v/>
      </c>
    </row>
    <row r="133">
      <c r="A133" t="n">
        <v>228</v>
      </c>
      <c r="B133" t="inlineStr"/>
      <c r="C133" t="inlineStr">
        <is>
          <t>Санкт-Петербург г, Обводного канала наб, 21 А</t>
        </is>
      </c>
      <c r="D133" t="n">
        <v>3660</v>
      </c>
      <c r="E133" t="n">
        <v>630</v>
      </c>
      <c r="F133" t="n">
        <v>3030</v>
      </c>
      <c r="G133" t="inlineStr">
        <is>
          <t>400 000 000</t>
        </is>
      </c>
      <c r="H133" t="inlineStr">
        <is>
          <t>415 000</t>
        </is>
      </c>
      <c r="I133" t="inlineStr">
        <is>
          <t>По адресу есть, но площадь другая, объект в архиве, у нас другая сделка</t>
        </is>
      </c>
      <c r="J133" t="inlineStr"/>
      <c r="K133">
        <f>HYPERLINK("https://nordwestinvest.ru/real-estates/prodaza-osz-na-ogromnom-avto-trafike-3600m2","ссылка")</f>
        <v/>
      </c>
      <c r="L133">
        <f>HYPERLINK("https://app.worldcafe.ru/object/12117","ссылка")</f>
        <v/>
      </c>
    </row>
    <row r="134">
      <c r="A134" t="n">
        <v>281</v>
      </c>
      <c r="B134" t="inlineStr"/>
      <c r="C134" t="inlineStr">
        <is>
          <t>Санкт-Петербург г, Шафировский пр-кт, 17</t>
        </is>
      </c>
      <c r="D134" t="n">
        <v>17225</v>
      </c>
      <c r="E134" t="n">
        <v>150</v>
      </c>
      <c r="F134" t="n">
        <v>17075</v>
      </c>
      <c r="G134" t="inlineStr">
        <is>
          <t>900 000 000</t>
        </is>
      </c>
      <c r="H134" t="inlineStr">
        <is>
          <t>135 000</t>
        </is>
      </c>
      <c r="I134" t="inlineStr">
        <is>
          <t>По адресу есть, но площадь другая, объект в архиве, у нас другая сделка</t>
        </is>
      </c>
      <c r="J134" t="inlineStr"/>
      <c r="K134">
        <f>HYPERLINK("https://nordwestinvest.ru/real-estates/prodaza-imushhestvennogo-kompleksa-17225-m2","ссылка")</f>
        <v/>
      </c>
      <c r="L134">
        <f>HYPERLINK("https://app.worldcafe.ru/object/11284","ссылка")</f>
        <v/>
      </c>
    </row>
    <row r="135">
      <c r="A135" t="n">
        <v>309</v>
      </c>
      <c r="B135" t="inlineStr"/>
      <c r="C135" t="inlineStr">
        <is>
          <t>Санкт-Петербург г, Московский пр-кт, 97</t>
        </is>
      </c>
      <c r="D135" t="n">
        <v>227</v>
      </c>
      <c r="E135" t="n">
        <v>380</v>
      </c>
      <c r="F135" t="n">
        <v>153</v>
      </c>
      <c r="G135" t="inlineStr">
        <is>
          <t>73 000 000</t>
        </is>
      </c>
      <c r="H135" t="inlineStr">
        <is>
          <t>380 000</t>
        </is>
      </c>
      <c r="I135" t="inlineStr">
        <is>
          <t>По адресу есть, но площадь другая, объект в архиве, у нас другая сделка</t>
        </is>
      </c>
      <c r="J135" t="inlineStr"/>
      <c r="K135">
        <f>HYPERLINK("https://nordwestinvest.ru/real-estates/prodaza-s-arendatorom-na-1-linii","ссылка")</f>
        <v/>
      </c>
      <c r="L135">
        <f>HYPERLINK("https://app.worldcafe.ru/object/12539","ссылка")</f>
        <v/>
      </c>
    </row>
    <row r="136">
      <c r="A136" t="n">
        <v>336</v>
      </c>
      <c r="B136" t="inlineStr"/>
      <c r="C136" t="inlineStr">
        <is>
          <t>Санкт-Петербург г, Варшавская ул, 6к1</t>
        </is>
      </c>
      <c r="D136" t="n">
        <v>572.9</v>
      </c>
      <c r="E136" t="n">
        <v>239</v>
      </c>
      <c r="F136" t="n">
        <v>333.9</v>
      </c>
      <c r="G136" t="inlineStr">
        <is>
          <t>196 000 000</t>
        </is>
      </c>
      <c r="H136" t="inlineStr">
        <is>
          <t>105 000</t>
        </is>
      </c>
      <c r="I136" t="inlineStr">
        <is>
          <t>По адресу есть, но площадь другая, объект в архиве, у нас другая сделка</t>
        </is>
      </c>
      <c r="J136" t="inlineStr"/>
      <c r="K136">
        <f>HYPERLINK("https://nordwestinvest.ru/real-estates/prodaza-uglovogo-pomeshheniia-s-piaterockoi","ссылка")</f>
        <v/>
      </c>
      <c r="L136">
        <f>HYPERLINK("https://app.worldcafe.ru/object/10067","ссылка")</f>
        <v/>
      </c>
    </row>
    <row r="137">
      <c r="A137" t="n">
        <v>352</v>
      </c>
      <c r="B137" t="inlineStr"/>
      <c r="C137" t="inlineStr">
        <is>
          <t>Санкт-Петербург г, Кременчугская ул, 11</t>
        </is>
      </c>
      <c r="D137" t="n">
        <v>1500</v>
      </c>
      <c r="E137" t="n">
        <v>126</v>
      </c>
      <c r="F137" t="n">
        <v>1374</v>
      </c>
      <c r="G137" t="inlineStr">
        <is>
          <t>525 000 000</t>
        </is>
      </c>
      <c r="H137" t="inlineStr">
        <is>
          <t>100 000</t>
        </is>
      </c>
      <c r="I137" t="inlineStr">
        <is>
          <t>По адресу есть, но площадь другая, объект в архиве, у нас другая сделка</t>
        </is>
      </c>
      <c r="J137" t="inlineStr"/>
      <c r="K137">
        <f>HYPERLINK("https://nordwestinvest.ru/real-estates/vidovoi-restoran-v-apart-komplekse-v-centre","ссылка")</f>
        <v/>
      </c>
      <c r="L137">
        <f>HYPERLINK("https://app.worldcafe.ru/object/10785","ссылка")</f>
        <v/>
      </c>
    </row>
    <row r="138">
      <c r="A138" t="n">
        <v>353</v>
      </c>
      <c r="B138" t="inlineStr"/>
      <c r="C138" t="inlineStr">
        <is>
          <t>Санкт-Петербург г, Бакунина пр-кт, 29а</t>
        </is>
      </c>
      <c r="D138" t="n">
        <v>4000</v>
      </c>
      <c r="E138" t="n">
        <v>153</v>
      </c>
      <c r="F138" t="n">
        <v>3847</v>
      </c>
      <c r="G138" t="inlineStr">
        <is>
          <t>500 000 000</t>
        </is>
      </c>
      <c r="H138" t="inlineStr">
        <is>
          <t>290 000</t>
        </is>
      </c>
      <c r="I138" t="inlineStr">
        <is>
          <t>По адресу есть, но площадь другая, объект на сайте, у нас другая сделка</t>
        </is>
      </c>
      <c r="J138" t="inlineStr"/>
      <c r="K138">
        <f>HYPERLINK("https://nordwestinvest.ru/real-estates/prodaza-bc-na-bakunina","ссылка")</f>
        <v/>
      </c>
      <c r="L138">
        <f>HYPERLINK("https://app.worldcafe.ru/object/19240","ссылка")</f>
        <v/>
      </c>
    </row>
    <row r="139">
      <c r="A139" t="n">
        <v>362</v>
      </c>
      <c r="B139" t="inlineStr"/>
      <c r="C139" t="inlineStr">
        <is>
          <t>Санкт-Петербург г, Ветеранов пр-кт, 183</t>
        </is>
      </c>
      <c r="D139" t="n">
        <v>164.4</v>
      </c>
      <c r="E139" t="n">
        <v>109</v>
      </c>
      <c r="F139" t="n">
        <v>55.4</v>
      </c>
      <c r="G139" t="inlineStr">
        <is>
          <t>59 184 000</t>
        </is>
      </c>
      <c r="H139" t="inlineStr">
        <is>
          <t>189 000</t>
        </is>
      </c>
      <c r="I139" t="inlineStr">
        <is>
          <t>По адресу есть, но площадь другая, объект в архиве, у нас другая сделка</t>
        </is>
      </c>
      <c r="J139" t="inlineStr"/>
      <c r="K139">
        <f>HYPERLINK("https://nordwestinvest.ru/real-estates/prodaza-ulybka-radugi-1644-m2-v-novom-tc-1","ссылка")</f>
        <v/>
      </c>
      <c r="L139">
        <f>HYPERLINK("https://app.worldcafe.ru/object/15109","ссылка")</f>
        <v/>
      </c>
    </row>
    <row r="140">
      <c r="A140" t="n">
        <v>364</v>
      </c>
      <c r="B140" t="inlineStr"/>
      <c r="C140" t="inlineStr">
        <is>
          <t>Санкт-Петербург г, Ветеранов пр-кт, 183</t>
        </is>
      </c>
      <c r="D140" t="n">
        <v>47</v>
      </c>
      <c r="E140" t="n">
        <v>109</v>
      </c>
      <c r="F140" t="n">
        <v>62</v>
      </c>
      <c r="G140" t="inlineStr">
        <is>
          <t>25 380 000</t>
        </is>
      </c>
      <c r="H140" t="inlineStr">
        <is>
          <t>189 000</t>
        </is>
      </c>
      <c r="I140" t="inlineStr">
        <is>
          <t>По адресу есть, но площадь другая, объект в архиве, у нас другая сделка</t>
        </is>
      </c>
      <c r="J140" t="inlineStr"/>
      <c r="K140">
        <f>HYPERLINK("https://nordwestinvest.ru/real-estates/prodaza-pomeshheniia-s-arendatorom-marmelad","ссылка")</f>
        <v/>
      </c>
      <c r="L140">
        <f>HYPERLINK("https://app.worldcafe.ru/object/15109","ссылка")</f>
        <v/>
      </c>
    </row>
    <row r="141">
      <c r="A141" t="n">
        <v>372</v>
      </c>
      <c r="B141" t="inlineStr"/>
      <c r="C141" t="inlineStr">
        <is>
          <t>Санкт-Петербург г, 8-я Красноармейская ул, 20а А</t>
        </is>
      </c>
      <c r="D141" t="n">
        <v>167.5</v>
      </c>
      <c r="E141" t="n">
        <v>19770</v>
      </c>
      <c r="F141" t="n">
        <v>19602.5</v>
      </c>
      <c r="G141" t="inlineStr">
        <is>
          <t>23 000 000</t>
        </is>
      </c>
      <c r="H141" t="inlineStr">
        <is>
          <t>0</t>
        </is>
      </c>
      <c r="I141" t="inlineStr">
        <is>
          <t>По адресу есть, но площадь другая, объект в архиве, у нас другая сделка</t>
        </is>
      </c>
      <c r="J141" t="inlineStr"/>
      <c r="K141">
        <f>HYPERLINK("https://nordwestinvest.ru/real-estates/prodaza-gab-v-centre-goroda-165-km-1","ссылка")</f>
        <v/>
      </c>
      <c r="L141">
        <f>HYPERLINK("https://app.worldcafe.ru/object/11234","ссылка")</f>
        <v/>
      </c>
    </row>
    <row r="142">
      <c r="A142" t="n">
        <v>377</v>
      </c>
      <c r="B142" t="inlineStr"/>
      <c r="C142" t="inlineStr">
        <is>
          <t>Санкт-Петербург г, Просвещения пр-кт, 53к1 Д</t>
        </is>
      </c>
      <c r="D142" t="n">
        <v>417.5</v>
      </c>
      <c r="E142" t="n">
        <v>243.9</v>
      </c>
      <c r="F142" t="n">
        <v>173.6</v>
      </c>
      <c r="G142" t="inlineStr">
        <is>
          <t>93 000 000</t>
        </is>
      </c>
      <c r="H142" t="inlineStr">
        <is>
          <t>280 000</t>
        </is>
      </c>
      <c r="I142" t="inlineStr">
        <is>
          <t>По адресу есть, но площадь другая, объект в архиве, у нас другая сделка</t>
        </is>
      </c>
      <c r="J142" t="inlineStr"/>
      <c r="K142">
        <f>HYPERLINK("https://nordwestinvest.ru/real-estates/prodaza-gab-magnit-s-nds","ссылка")</f>
        <v/>
      </c>
      <c r="L142">
        <f>HYPERLINK("https://app.worldcafe.ru/object/12748","ссылка")</f>
        <v/>
      </c>
    </row>
    <row r="143">
      <c r="A143" t="n">
        <v>398</v>
      </c>
      <c r="B143" t="inlineStr"/>
      <c r="C143" t="inlineStr">
        <is>
          <t>Санкт-Петербург г, Ленсовета ул, 95</t>
        </is>
      </c>
      <c r="D143" t="n">
        <v>200</v>
      </c>
      <c r="E143" t="n">
        <v>330</v>
      </c>
      <c r="F143" t="n">
        <v>130</v>
      </c>
      <c r="G143" t="inlineStr">
        <is>
          <t>32 000 000</t>
        </is>
      </c>
      <c r="H143" t="inlineStr">
        <is>
          <t>0</t>
        </is>
      </c>
      <c r="I143" t="inlineStr">
        <is>
          <t>По адресу есть, но площадь другая, объект в архиве, у нас другая сделка</t>
        </is>
      </c>
      <c r="J143" t="inlineStr"/>
      <c r="K143">
        <f>HYPERLINK("https://nordwestinvest.ru/real-estates/prodaza-pomeshheniia-s-arendatorom-205mest-vytiazka","ссылка")</f>
        <v/>
      </c>
      <c r="L143">
        <f>HYPERLINK("https://app.worldcafe.ru/object/19131","ссылка")</f>
        <v/>
      </c>
    </row>
    <row r="144">
      <c r="A144" t="n">
        <v>435</v>
      </c>
      <c r="B144" t="inlineStr"/>
      <c r="C144" t="inlineStr">
        <is>
          <t>Шушары п, Валдайская ул, 2к2стр1</t>
        </is>
      </c>
      <c r="D144" t="n">
        <v>1267.8</v>
      </c>
      <c r="E144" t="n">
        <v>117.3</v>
      </c>
      <c r="F144" t="n">
        <v>1150.5</v>
      </c>
      <c r="G144" t="inlineStr">
        <is>
          <t>190 170 000</t>
        </is>
      </c>
      <c r="H144" t="inlineStr">
        <is>
          <t>0</t>
        </is>
      </c>
      <c r="I144" t="inlineStr">
        <is>
          <t>По адресу есть, но площадь другая, объект в архиве, у нас другая сделка</t>
        </is>
      </c>
      <c r="J144" t="inlineStr"/>
      <c r="K144">
        <f>HYPERLINK("https://nordwestinvest.ru/real-estates/prodaza-psn-1-2678m2","ссылка")</f>
        <v/>
      </c>
      <c r="L144">
        <f>HYPERLINK("https://app.worldcafe.ru/object/20063","ссылка")</f>
        <v/>
      </c>
    </row>
    <row r="145">
      <c r="A145" t="n">
        <v>506</v>
      </c>
      <c r="B145" t="inlineStr"/>
      <c r="C145" t="inlineStr">
        <is>
          <t>Санкт-Петербург г, Кременчугская ул, 19к3</t>
        </is>
      </c>
      <c r="D145" t="n">
        <v>650</v>
      </c>
      <c r="E145" t="n">
        <v>130</v>
      </c>
      <c r="F145" t="n">
        <v>520</v>
      </c>
      <c r="G145" t="inlineStr">
        <is>
          <t>125 000 000</t>
        </is>
      </c>
      <c r="H145" t="inlineStr">
        <is>
          <t>250 000</t>
        </is>
      </c>
      <c r="I145" t="inlineStr">
        <is>
          <t>По адресу есть, но площадь другая, объект в архиве, у нас другая сделка</t>
        </is>
      </c>
      <c r="J145" t="inlineStr"/>
      <c r="K145">
        <f>HYPERLINK("https://nordwestinvest.ru/real-estates/osz-gab-okupaemost-75-let","ссылка")</f>
        <v/>
      </c>
      <c r="L145">
        <f>HYPERLINK("https://app.worldcafe.ru/object/18429","ссылка")</f>
        <v/>
      </c>
    </row>
    <row r="146">
      <c r="A146" t="n">
        <v>520</v>
      </c>
      <c r="B146" t="inlineStr"/>
      <c r="C146" t="inlineStr">
        <is>
          <t>Санкт-Петербург г, 10-я Красноармейская ул, 22 А</t>
        </is>
      </c>
      <c r="D146" t="n">
        <v>27000</v>
      </c>
      <c r="E146" t="n">
        <v>514.4</v>
      </c>
      <c r="F146" t="n">
        <v>26485.6</v>
      </c>
      <c r="G146" t="inlineStr">
        <is>
          <t>3 000 000 000</t>
        </is>
      </c>
      <c r="H146" t="inlineStr">
        <is>
          <t>643 000</t>
        </is>
      </c>
      <c r="I146" t="inlineStr">
        <is>
          <t>По адресу есть, но площадь другая, объект в архиве, у нас другая сделка</t>
        </is>
      </c>
      <c r="J146" t="inlineStr"/>
      <c r="K146">
        <f>HYPERLINK("https://nordwestinvest.ru/real-estates/prodaza-biznes-centra-27-000-m2","ссылка")</f>
        <v/>
      </c>
      <c r="L146">
        <f>HYPERLINK("https://app.worldcafe.ru/object/13951","ссылка")</f>
        <v/>
      </c>
    </row>
    <row r="147">
      <c r="A147" t="n">
        <v>521</v>
      </c>
      <c r="B147" t="inlineStr"/>
      <c r="C147" t="inlineStr">
        <is>
          <t>Санкт-Петербург г, Михаила Дудина, 15к1</t>
        </is>
      </c>
      <c r="D147" t="n">
        <v>2900</v>
      </c>
      <c r="E147" t="n">
        <v>265</v>
      </c>
      <c r="F147" t="n">
        <v>2635</v>
      </c>
      <c r="G147" t="inlineStr">
        <is>
          <t>3 000 000 000</t>
        </is>
      </c>
      <c r="H147" t="inlineStr">
        <is>
          <t>250 000</t>
        </is>
      </c>
      <c r="I147" t="inlineStr">
        <is>
          <t>По адресу есть, но площадь другая, объект в архиве, у нас другая сделка</t>
        </is>
      </c>
      <c r="J147" t="inlineStr"/>
      <c r="K147">
        <f>HYPERLINK("https://nordwestinvest.ru/real-estates/prodaza-zemelnogo-ucastka-pod-stroitelstvo","ссылка")</f>
        <v/>
      </c>
      <c r="L147">
        <f>HYPERLINK("https://app.worldcafe.ru/object/9563","ссылка")</f>
        <v/>
      </c>
    </row>
    <row r="148">
      <c r="A148" t="n">
        <v>541</v>
      </c>
      <c r="B148" t="inlineStr"/>
      <c r="C148" t="inlineStr">
        <is>
          <t>Петергоф г, Шахматова ул, 16 А</t>
        </is>
      </c>
      <c r="D148" t="n">
        <v>176000</v>
      </c>
      <c r="E148" t="n">
        <v>27.6</v>
      </c>
      <c r="F148" t="n">
        <v>175972.4</v>
      </c>
      <c r="G148" t="inlineStr">
        <is>
          <t>4 400 000 000</t>
        </is>
      </c>
      <c r="H148" t="inlineStr">
        <is>
          <t>0</t>
        </is>
      </c>
      <c r="I148" t="inlineStr">
        <is>
          <t>По адресу есть, но площадь другая, объект в архиве, у нас другая сделка</t>
        </is>
      </c>
      <c r="J148" t="inlineStr"/>
      <c r="K148">
        <f>HYPERLINK("https://nordwestinvest.ru/real-estates/prodazi-100-dolei-iur-lica-na-176-000m2-kvartir","ссылка")</f>
        <v/>
      </c>
      <c r="L148">
        <f>HYPERLINK("https://app.worldcafe.ru/object/19534","ссылка")</f>
        <v/>
      </c>
    </row>
    <row r="149">
      <c r="A149" t="n">
        <v>544</v>
      </c>
      <c r="B149" t="inlineStr"/>
      <c r="C149" t="inlineStr">
        <is>
          <t>Санкт-Петербург г, Обводного канала наб, 136к 27</t>
        </is>
      </c>
      <c r="D149" t="n">
        <v>2894</v>
      </c>
      <c r="E149" t="n">
        <v>82</v>
      </c>
      <c r="F149" t="n">
        <v>2812</v>
      </c>
      <c r="G149" t="inlineStr">
        <is>
          <t>210 000 000</t>
        </is>
      </c>
      <c r="H149" t="inlineStr">
        <is>
          <t>160 000</t>
        </is>
      </c>
      <c r="I149" t="inlineStr">
        <is>
          <t>По адресу есть, но площадь другая, объект в архиве, у нас другая сделка</t>
        </is>
      </c>
      <c r="J149" t="inlineStr"/>
      <c r="K149">
        <f>HYPERLINK("https://nordwestinvest.ru/real-estates/proizvodstvennoe-pomeshhenie","ссылка")</f>
        <v/>
      </c>
      <c r="L149">
        <f>HYPERLINK("https://app.worldcafe.ru/object/12159","ссылка")</f>
        <v/>
      </c>
    </row>
    <row r="150">
      <c r="A150" t="n">
        <v>585</v>
      </c>
      <c r="B150" t="inlineStr"/>
      <c r="C150" t="inlineStr">
        <is>
          <t>Санкт-Петербург г, Пулковская ул, 14</t>
        </is>
      </c>
      <c r="D150" t="n">
        <v>1658</v>
      </c>
      <c r="E150" t="n">
        <v>22</v>
      </c>
      <c r="F150" t="n">
        <v>1636</v>
      </c>
      <c r="G150" t="inlineStr">
        <is>
          <t>446 000 000</t>
        </is>
      </c>
      <c r="H150" t="inlineStr">
        <is>
          <t>154 000</t>
        </is>
      </c>
      <c r="I150" t="inlineStr">
        <is>
          <t>По адресу есть, но площадь другая, объект в архиве, у нас другая сделка</t>
        </is>
      </c>
      <c r="J150" t="inlineStr"/>
      <c r="K150">
        <f>HYPERLINK("https://nordwestinvest.ru/real-estates/prodaza-s-arendatorami-magnit-i-magnit-kosmetik","ссылка")</f>
        <v/>
      </c>
      <c r="L150">
        <f>HYPERLINK("https://app.worldcafe.ru/object/13486","ссылка")</f>
        <v/>
      </c>
    </row>
    <row r="151">
      <c r="A151" t="n">
        <v>2</v>
      </c>
      <c r="B151" t="inlineStr"/>
      <c r="C151" t="inlineStr">
        <is>
          <t>Санкт-Петербург г, Большеохтинский пр-кт, 12</t>
        </is>
      </c>
      <c r="D151" t="n">
        <v>756</v>
      </c>
      <c r="E151" t="n">
        <v>730</v>
      </c>
      <c r="F151" t="n">
        <v>26</v>
      </c>
      <c r="G151" t="inlineStr">
        <is>
          <t>100 000 000</t>
        </is>
      </c>
      <c r="H151" t="inlineStr"/>
      <c r="I151" t="inlineStr">
        <is>
          <t>По адресу есть, но площадь другая</t>
        </is>
      </c>
      <c r="J151" t="inlineStr"/>
      <c r="K151">
        <f>HYPERLINK("https://nordwestinvest.ru/real-estates/pomeshhenie-s-wb-i-aptekoi","ссылка")</f>
        <v/>
      </c>
      <c r="L151" t="inlineStr"/>
    </row>
    <row r="152">
      <c r="A152" t="n">
        <v>47</v>
      </c>
      <c r="B152" t="inlineStr"/>
      <c r="C152" t="inlineStr">
        <is>
          <t>Санкт-Петербург г, Косыгина пр-кт, 30к1 А</t>
        </is>
      </c>
      <c r="D152" t="n">
        <v>411.7</v>
      </c>
      <c r="E152" t="n">
        <v>315</v>
      </c>
      <c r="F152" t="n">
        <v>96.7</v>
      </c>
      <c r="G152" t="inlineStr">
        <is>
          <t>87 100 000</t>
        </is>
      </c>
      <c r="H152" t="inlineStr"/>
      <c r="I152" t="inlineStr">
        <is>
          <t>По адресу есть, но площадь другая</t>
        </is>
      </c>
      <c r="J152" t="inlineStr"/>
      <c r="K152">
        <f>HYPERLINK("https://nordwestinvest.ru/real-estates/prodaza-kfs-vingaraz-ozon-vb-4117-kvm","ссылка")</f>
        <v/>
      </c>
      <c r="L152" t="inlineStr"/>
    </row>
    <row r="153">
      <c r="A153" t="n">
        <v>48</v>
      </c>
      <c r="B153" t="inlineStr"/>
      <c r="C153" t="inlineStr">
        <is>
          <t>Санкт-Петербург г, Косыгина пр-кт, 30к1 А</t>
        </is>
      </c>
      <c r="D153" t="n">
        <v>6857</v>
      </c>
      <c r="E153" t="n">
        <v>315</v>
      </c>
      <c r="F153" t="n">
        <v>6542</v>
      </c>
      <c r="G153" t="inlineStr">
        <is>
          <t>1 117 000 000</t>
        </is>
      </c>
      <c r="H153" t="inlineStr"/>
      <c r="I153" t="inlineStr">
        <is>
          <t>По адресу есть, но площадь другая</t>
        </is>
      </c>
      <c r="J153" t="inlineStr"/>
      <c r="K153">
        <f>HYPERLINK("https://nordwestinvest.ru/real-estates/tc-zebra-na-arendnom-potoke","ссылка")</f>
        <v/>
      </c>
      <c r="L153" t="inlineStr"/>
    </row>
    <row r="154">
      <c r="A154" t="n">
        <v>184</v>
      </c>
      <c r="B154" t="inlineStr"/>
      <c r="C154" t="inlineStr">
        <is>
          <t>Санкт-Петербург г, Пискарёвский пр-кт, 10</t>
        </is>
      </c>
      <c r="D154" t="n">
        <v>165</v>
      </c>
      <c r="E154" t="n">
        <v>193</v>
      </c>
      <c r="F154" t="n">
        <v>28</v>
      </c>
      <c r="G154" t="inlineStr">
        <is>
          <t>33 000 000</t>
        </is>
      </c>
      <c r="H154" t="inlineStr"/>
      <c r="I154" t="inlineStr">
        <is>
          <t>По адресу есть, но площадь другая</t>
        </is>
      </c>
      <c r="J154" t="inlineStr"/>
      <c r="K154">
        <f>HYPERLINK("https://nordwestinvest.ru/real-estates/prodaza-vin-lab-165-m2","ссылка")</f>
        <v/>
      </c>
      <c r="L154" t="inlineStr"/>
    </row>
    <row r="155">
      <c r="A155" t="n">
        <v>371</v>
      </c>
      <c r="B155" t="inlineStr"/>
      <c r="C155" t="inlineStr">
        <is>
          <t>Санкт-Петербург г, Загородный пр-кт, 1</t>
        </is>
      </c>
      <c r="D155" t="n">
        <v>336</v>
      </c>
      <c r="E155" t="n">
        <v>187.2</v>
      </c>
      <c r="F155" t="n">
        <v>148.8</v>
      </c>
      <c r="G155" t="inlineStr">
        <is>
          <t>225 000 000</t>
        </is>
      </c>
      <c r="H155" t="inlineStr"/>
      <c r="I155" t="inlineStr">
        <is>
          <t>По адресу есть, но площадь другая</t>
        </is>
      </c>
      <c r="J155" t="inlineStr"/>
      <c r="K155">
        <f>HYPERLINK("https://nordwestinvest.ru/real-estates/prodaza-pomeshheniia-s-setevym-arendatorom-u-metro","ссылка")</f>
        <v/>
      </c>
      <c r="L155" t="inlineStr"/>
    </row>
    <row r="156">
      <c r="A156" t="n">
        <v>575</v>
      </c>
      <c r="B156" t="inlineStr"/>
      <c r="C156" t="inlineStr">
        <is>
          <t>Санкт-Петербург г, Луначарского пр-кт, 11 к2</t>
        </is>
      </c>
      <c r="D156" t="n">
        <v>982.6</v>
      </c>
      <c r="E156" t="n">
        <v>183</v>
      </c>
      <c r="F156" t="n">
        <v>799.6</v>
      </c>
      <c r="G156" t="inlineStr">
        <is>
          <t>159 950 000</t>
        </is>
      </c>
      <c r="H156" t="inlineStr">
        <is>
          <t>9 840 000</t>
        </is>
      </c>
      <c r="I156" t="inlineStr">
        <is>
          <t>Корпус/строение не совпало, объект в архиве</t>
        </is>
      </c>
      <c r="J156" t="inlineStr"/>
      <c r="K156">
        <f>HYPERLINK("https://nordwestinvest.ru/real-estates/prodaza-pomeshheniia-ploshhadiu-982-m2","ссылка")</f>
        <v/>
      </c>
      <c r="L156">
        <f>HYPERLINK("https://app.worldcafe.ru/object/12949","ссылка")</f>
        <v/>
      </c>
    </row>
    <row r="157">
      <c r="A157" t="n">
        <v>174</v>
      </c>
      <c r="B157" t="inlineStr"/>
      <c r="C157" t="inlineStr">
        <is>
          <t>Санкт-Петербург г, Энергетиков пр-кт, 4к3</t>
        </is>
      </c>
      <c r="D157" t="n">
        <v>143</v>
      </c>
      <c r="E157" t="n">
        <v>132</v>
      </c>
      <c r="F157" t="n">
        <v>11</v>
      </c>
      <c r="G157" t="inlineStr">
        <is>
          <t>21 450 000</t>
        </is>
      </c>
      <c r="H157" t="inlineStr">
        <is>
          <t>329 999</t>
        </is>
      </c>
      <c r="I157" t="inlineStr">
        <is>
          <t>Корпус/строение не совпало, объект на сайте, у нас другая сделка</t>
        </is>
      </c>
      <c r="J157" t="inlineStr"/>
      <c r="K157">
        <f>HYPERLINK("https://nordwestinvest.ru/real-estates/prodaza-pomeshheniia-na-trafike-143-m2-s-nds-1","ссылка")</f>
        <v/>
      </c>
      <c r="L157">
        <f>HYPERLINK("https://app.worldcafe.ru/object/18554","ссылка")</f>
        <v/>
      </c>
    </row>
    <row r="158">
      <c r="A158" t="n">
        <v>175</v>
      </c>
      <c r="B158" t="inlineStr"/>
      <c r="C158" t="inlineStr">
        <is>
          <t>Санкт-Петербург г, Энергетиков пр-кт, 4к3</t>
        </is>
      </c>
      <c r="D158" t="n">
        <v>160.1</v>
      </c>
      <c r="E158" t="n">
        <v>132</v>
      </c>
      <c r="F158" t="n">
        <v>28.1</v>
      </c>
      <c r="G158" t="inlineStr">
        <is>
          <t>40 025 000</t>
        </is>
      </c>
      <c r="H158" t="inlineStr">
        <is>
          <t>329 999</t>
        </is>
      </c>
      <c r="I158" t="inlineStr">
        <is>
          <t>Корпус/строение не совпало, объект на сайте, у нас другая сделка</t>
        </is>
      </c>
      <c r="J158" t="inlineStr"/>
      <c r="K158">
        <f>HYPERLINK("https://nordwestinvest.ru/real-estates/prodaza-pomeshheniia-na-trafike-1601-m2","ссылка")</f>
        <v/>
      </c>
      <c r="L158">
        <f>HYPERLINK("https://app.worldcafe.ru/object/18554","ссылка")</f>
        <v/>
      </c>
    </row>
    <row r="159">
      <c r="A159" t="n">
        <v>177</v>
      </c>
      <c r="B159" t="inlineStr"/>
      <c r="C159" t="inlineStr">
        <is>
          <t>Санкт-Петербург г, Энергетиков пр-кт, 4к3</t>
        </is>
      </c>
      <c r="D159" t="n">
        <v>152.6</v>
      </c>
      <c r="E159" t="n">
        <v>132</v>
      </c>
      <c r="F159" t="n">
        <v>20.6</v>
      </c>
      <c r="G159" t="inlineStr">
        <is>
          <t>38 150 000</t>
        </is>
      </c>
      <c r="H159" t="inlineStr">
        <is>
          <t>329 999</t>
        </is>
      </c>
      <c r="I159" t="inlineStr">
        <is>
          <t>Корпус/строение не совпало, объект на сайте, у нас другая сделка</t>
        </is>
      </c>
      <c r="J159" t="inlineStr"/>
      <c r="K159">
        <f>HYPERLINK("https://nordwestinvest.ru/real-estates/prodaza-pomeshheniia-na-trafike-1526-m2","ссылка")</f>
        <v/>
      </c>
      <c r="L159">
        <f>HYPERLINK("https://app.worldcafe.ru/object/18554","ссылка")</f>
        <v/>
      </c>
    </row>
    <row r="160">
      <c r="A160" t="n">
        <v>178</v>
      </c>
      <c r="B160" t="inlineStr"/>
      <c r="C160" t="inlineStr">
        <is>
          <t>Санкт-Петербург г, Энергетиков пр-кт, 4к3</t>
        </is>
      </c>
      <c r="D160" t="n">
        <v>171.9</v>
      </c>
      <c r="E160" t="n">
        <v>132</v>
      </c>
      <c r="F160" t="n">
        <v>39.9</v>
      </c>
      <c r="G160" t="inlineStr">
        <is>
          <t>42 975 000</t>
        </is>
      </c>
      <c r="H160" t="inlineStr">
        <is>
          <t>329 999</t>
        </is>
      </c>
      <c r="I160" t="inlineStr">
        <is>
          <t>Корпус/строение не совпало, объект на сайте, у нас другая сделка</t>
        </is>
      </c>
      <c r="J160" t="inlineStr"/>
      <c r="K160">
        <f>HYPERLINK("https://nordwestinvest.ru/real-estates/prodaza-pomeshheniia-na-trafike-1719-m2","ссылка")</f>
        <v/>
      </c>
      <c r="L160">
        <f>HYPERLINK("https://app.worldcafe.ru/object/18554","ссылка")</f>
        <v/>
      </c>
    </row>
    <row r="161">
      <c r="A161" t="n">
        <v>179</v>
      </c>
      <c r="B161" t="inlineStr"/>
      <c r="C161" t="inlineStr">
        <is>
          <t>Санкт-Петербург г, Энергетиков пр-кт, 4к3</t>
        </is>
      </c>
      <c r="D161" t="n">
        <v>324.5</v>
      </c>
      <c r="E161" t="n">
        <v>132</v>
      </c>
      <c r="F161" t="n">
        <v>192.5</v>
      </c>
      <c r="G161" t="inlineStr">
        <is>
          <t>81 125 000</t>
        </is>
      </c>
      <c r="H161" t="inlineStr">
        <is>
          <t>329 999</t>
        </is>
      </c>
      <c r="I161" t="inlineStr">
        <is>
          <t>Корпус/строение не совпало, объект на сайте, у нас другая сделка</t>
        </is>
      </c>
      <c r="J161" t="inlineStr"/>
      <c r="K161">
        <f>HYPERLINK("https://nordwestinvest.ru/real-estates/prodaza-pomeshheniia-na-trafike-3245-m2","ссылка")</f>
        <v/>
      </c>
      <c r="L161">
        <f>HYPERLINK("https://app.worldcafe.ru/object/18554","ссылка")</f>
        <v/>
      </c>
    </row>
    <row r="162">
      <c r="A162" t="n">
        <v>181</v>
      </c>
      <c r="B162" t="inlineStr"/>
      <c r="C162" t="inlineStr">
        <is>
          <t>Санкт-Петербург г, Энергетиков пр-кт, 4к3</t>
        </is>
      </c>
      <c r="D162" t="n">
        <v>322.5</v>
      </c>
      <c r="E162" t="n">
        <v>132</v>
      </c>
      <c r="F162" t="n">
        <v>190.5</v>
      </c>
      <c r="G162" t="inlineStr">
        <is>
          <t>80 625 000</t>
        </is>
      </c>
      <c r="H162" t="inlineStr">
        <is>
          <t>329 999</t>
        </is>
      </c>
      <c r="I162" t="inlineStr">
        <is>
          <t>Корпус/строение не совпало, объект на сайте, у нас другая сделка</t>
        </is>
      </c>
      <c r="J162" t="inlineStr"/>
      <c r="K162">
        <f>HYPERLINK("https://nordwestinvest.ru/real-estates/prodaza-kommerceskogo-pomeshheniia-3225-m2","ссылка")</f>
        <v/>
      </c>
      <c r="L162">
        <f>HYPERLINK("https://app.worldcafe.ru/object/18554","ссылка")</f>
        <v/>
      </c>
    </row>
    <row r="163">
      <c r="A163" t="n">
        <v>187</v>
      </c>
      <c r="B163" t="inlineStr"/>
      <c r="C163" t="inlineStr">
        <is>
          <t>Санкт-Петербург г, Энергетиков пр-кт, 4к3</t>
        </is>
      </c>
      <c r="D163" t="n">
        <v>184.8</v>
      </c>
      <c r="E163" t="n">
        <v>132</v>
      </c>
      <c r="F163" t="n">
        <v>52.8</v>
      </c>
      <c r="G163" t="inlineStr">
        <is>
          <t>46 200 000</t>
        </is>
      </c>
      <c r="H163" t="inlineStr">
        <is>
          <t>329 999</t>
        </is>
      </c>
      <c r="I163" t="inlineStr">
        <is>
          <t>Корпус/строение не совпало, объект на сайте, у нас другая сделка</t>
        </is>
      </c>
      <c r="J163" t="inlineStr"/>
      <c r="K163">
        <f>HYPERLINK("https://nordwestinvest.ru/real-estates/prodaza-pomeshheniia-1848-m2","ссылка")</f>
        <v/>
      </c>
      <c r="L163">
        <f>HYPERLINK("https://app.worldcafe.ru/object/18554","ссылка")</f>
        <v/>
      </c>
    </row>
    <row r="164">
      <c r="A164" t="n">
        <v>1</v>
      </c>
      <c r="B164" t="inlineStr"/>
      <c r="C164" t="inlineStr">
        <is>
          <t>Санкт-Петербург, -, -</t>
        </is>
      </c>
      <c r="D164" t="n">
        <v>55</v>
      </c>
      <c r="E164" t="inlineStr"/>
      <c r="F164" t="inlineStr"/>
      <c r="G164" t="inlineStr">
        <is>
          <t>8 500 000</t>
        </is>
      </c>
      <c r="H164" t="inlineStr"/>
      <c r="I164" t="inlineStr">
        <is>
          <t>Нет у нас</t>
        </is>
      </c>
      <c r="J164" t="inlineStr"/>
      <c r="K164">
        <f>HYPERLINK("https://nordwestinvest.ru/real-estates/prodaza-ellinga-v-iaxt-klube-baltiec","ссылка")</f>
        <v/>
      </c>
      <c r="L164" t="inlineStr"/>
    </row>
    <row r="165">
      <c r="A165" t="n">
        <v>4</v>
      </c>
      <c r="B165" t="inlineStr"/>
      <c r="C165" t="inlineStr">
        <is>
          <t>Санкт-Петербург г, Муринская дор, 4к1</t>
        </is>
      </c>
      <c r="D165" t="n">
        <v>229</v>
      </c>
      <c r="E165" t="inlineStr"/>
      <c r="F165" t="inlineStr"/>
      <c r="G165" t="inlineStr">
        <is>
          <t>92 500 000</t>
        </is>
      </c>
      <c r="H165" t="inlineStr"/>
      <c r="I165" t="inlineStr">
        <is>
          <t>Нет у нас</t>
        </is>
      </c>
      <c r="J165" t="inlineStr"/>
      <c r="K165">
        <f>HYPERLINK("https://nordwestinvest.ru/real-estates/pomeshhenie-s-magnitom-i-pvz-wb-v-novom-zk","ссылка")</f>
        <v/>
      </c>
      <c r="L165" t="inlineStr"/>
    </row>
    <row r="166">
      <c r="A166" t="n">
        <v>5</v>
      </c>
      <c r="B166" t="inlineStr"/>
      <c r="C166" t="inlineStr">
        <is>
          <t>Ленинградская обл, Кудрово г, Строителей пр-кт, 16</t>
        </is>
      </c>
      <c r="D166" t="n">
        <v>79.3</v>
      </c>
      <c r="E166" t="inlineStr"/>
      <c r="F166" t="inlineStr"/>
      <c r="G166" t="inlineStr">
        <is>
          <t>20 000 000</t>
        </is>
      </c>
      <c r="H166" t="inlineStr"/>
      <c r="I166" t="inlineStr">
        <is>
          <t>Нет у нас</t>
        </is>
      </c>
      <c r="J166" t="inlineStr"/>
      <c r="K166">
        <f>HYPERLINK("https://nordwestinvest.ru/real-estates/pomeshhenie-s-krasnym-i-belym-v-kudrovo","ссылка")</f>
        <v/>
      </c>
      <c r="L166" t="inlineStr"/>
    </row>
    <row r="167">
      <c r="A167" t="n">
        <v>6</v>
      </c>
      <c r="B167" t="inlineStr"/>
      <c r="C167" t="inlineStr">
        <is>
          <t>Санкт-Петербург г, Фёдора Котанова ул, 5к1стр1</t>
        </is>
      </c>
      <c r="D167" t="n">
        <v>104.7</v>
      </c>
      <c r="E167" t="inlineStr"/>
      <c r="F167" t="inlineStr"/>
      <c r="G167" t="inlineStr">
        <is>
          <t>51 400 000</t>
        </is>
      </c>
      <c r="H167" t="inlineStr"/>
      <c r="I167" t="inlineStr">
        <is>
          <t>Нет у нас</t>
        </is>
      </c>
      <c r="J167" t="inlineStr"/>
      <c r="K167">
        <f>HYPERLINK("https://nordwestinvest.ru/real-estates/prodaza-pomeshheniia-s-nds-s-arendatorom-1047-m2","ссылка")</f>
        <v/>
      </c>
      <c r="L167" t="inlineStr"/>
    </row>
    <row r="168">
      <c r="A168" t="n">
        <v>7</v>
      </c>
      <c r="B168" t="inlineStr"/>
      <c r="C168" t="inlineStr">
        <is>
          <t>Песочный п, Школьная ул, 80</t>
        </is>
      </c>
      <c r="D168" t="n">
        <v>85</v>
      </c>
      <c r="E168" t="inlineStr"/>
      <c r="F168" t="inlineStr"/>
      <c r="G168" t="inlineStr">
        <is>
          <t>24 000 000</t>
        </is>
      </c>
      <c r="H168" t="inlineStr"/>
      <c r="I168" t="inlineStr">
        <is>
          <t>Нет у нас</t>
        </is>
      </c>
      <c r="J168" t="inlineStr"/>
      <c r="K168">
        <f>HYPERLINK("https://nordwestinvest.ru/real-estates/pomeshhenie-s-wb-novogo-formata-v-zk","ссылка")</f>
        <v/>
      </c>
      <c r="L168" t="inlineStr"/>
    </row>
    <row r="169">
      <c r="A169" t="n">
        <v>8</v>
      </c>
      <c r="B169" t="inlineStr"/>
      <c r="C169" t="inlineStr">
        <is>
          <t>Ленинградская обл, Мистолово д, -, -</t>
        </is>
      </c>
      <c r="D169" t="n">
        <v>12027</v>
      </c>
      <c r="E169" t="inlineStr"/>
      <c r="F169" t="inlineStr"/>
      <c r="G169" t="inlineStr">
        <is>
          <t>120 000 000</t>
        </is>
      </c>
      <c r="H169" t="inlineStr"/>
      <c r="I169" t="inlineStr">
        <is>
          <t>Нет у нас</t>
        </is>
      </c>
      <c r="J169" t="inlineStr"/>
      <c r="K169">
        <f>HYPERLINK("https://nordwestinvest.ru/real-estates/prodaza-ucastka-pod-kommerciiu-12-ga","ссылка")</f>
        <v/>
      </c>
      <c r="L169" t="inlineStr"/>
    </row>
    <row r="170">
      <c r="A170" t="n">
        <v>10</v>
      </c>
      <c r="B170" t="inlineStr"/>
      <c r="C170" t="inlineStr">
        <is>
          <t>Стрельна п, Константина Тимошинина ул, 5</t>
        </is>
      </c>
      <c r="D170" t="n">
        <v>57.9</v>
      </c>
      <c r="E170" t="inlineStr"/>
      <c r="F170" t="inlineStr"/>
      <c r="G170" t="inlineStr">
        <is>
          <t>16 300 000</t>
        </is>
      </c>
      <c r="H170" t="inlineStr"/>
      <c r="I170" t="inlineStr">
        <is>
          <t>Нет у нас</t>
        </is>
      </c>
      <c r="J170" t="inlineStr"/>
      <c r="K170">
        <f>HYPERLINK("https://nordwestinvest.ru/real-estates/prodaza-pomeshheniia-v-strelna","ссылка")</f>
        <v/>
      </c>
      <c r="L170" t="inlineStr"/>
    </row>
    <row r="171">
      <c r="A171" t="n">
        <v>11</v>
      </c>
      <c r="B171" t="inlineStr"/>
      <c r="C171" t="inlineStr">
        <is>
          <t>Кронштадт г, Тулонская ал, 10стр1</t>
        </is>
      </c>
      <c r="D171" t="n">
        <v>64.90000000000001</v>
      </c>
      <c r="E171" t="inlineStr"/>
      <c r="F171" t="inlineStr"/>
      <c r="G171" t="inlineStr">
        <is>
          <t>22 000 000</t>
        </is>
      </c>
      <c r="H171" t="inlineStr"/>
      <c r="I171" t="inlineStr">
        <is>
          <t>Нет у нас</t>
        </is>
      </c>
      <c r="J171" t="inlineStr"/>
      <c r="K171">
        <f>HYPERLINK("https://nordwestinvest.ru/real-estates/prodaza-pomeshheniia-s-saverlend","ссылка")</f>
        <v/>
      </c>
      <c r="L171" t="inlineStr"/>
    </row>
    <row r="172">
      <c r="A172" t="n">
        <v>15</v>
      </c>
      <c r="B172" t="inlineStr"/>
      <c r="C172" t="inlineStr">
        <is>
          <t>Санкт-Петербург г, Парфёновская ул, -</t>
        </is>
      </c>
      <c r="D172" t="n">
        <v>7861</v>
      </c>
      <c r="E172" t="inlineStr"/>
      <c r="F172" t="inlineStr"/>
      <c r="G172" t="inlineStr">
        <is>
          <t>700 000 000</t>
        </is>
      </c>
      <c r="H172" t="inlineStr"/>
      <c r="I172" t="inlineStr">
        <is>
          <t>Нет у нас</t>
        </is>
      </c>
      <c r="J172" t="inlineStr"/>
      <c r="K172">
        <f>HYPERLINK("https://nordwestinvest.ru/real-estates/zemelnyi-ucastok-pod-ziluiu-zastroiku","ссылка")</f>
        <v/>
      </c>
      <c r="L172" t="inlineStr"/>
    </row>
    <row r="173">
      <c r="A173" t="n">
        <v>16</v>
      </c>
      <c r="B173" t="inlineStr"/>
      <c r="C173" t="inlineStr">
        <is>
          <t>Санкт-Петербург г, Малая Митрофаньевская ул, -</t>
        </is>
      </c>
      <c r="D173" t="n">
        <v>7233</v>
      </c>
      <c r="E173" t="inlineStr"/>
      <c r="F173" t="inlineStr"/>
      <c r="G173" t="inlineStr">
        <is>
          <t>700 000 000</t>
        </is>
      </c>
      <c r="H173" t="inlineStr"/>
      <c r="I173" t="inlineStr">
        <is>
          <t>Нет у нас</t>
        </is>
      </c>
      <c r="J173" t="inlineStr"/>
      <c r="K173">
        <f>HYPERLINK("https://nordwestinvest.ru/real-estates/zemelnyi-ucastok-pod-ziluiu-zastroiku-072-ga","ссылка")</f>
        <v/>
      </c>
      <c r="L173" t="inlineStr"/>
    </row>
    <row r="174">
      <c r="A174" t="n">
        <v>17</v>
      </c>
      <c r="B174" t="inlineStr"/>
      <c r="C174" t="inlineStr">
        <is>
          <t>Ленинградская обл, Всеволожск г, Всеволожский пр-кт, 61</t>
        </is>
      </c>
      <c r="D174" t="n">
        <v>1983</v>
      </c>
      <c r="E174" t="inlineStr"/>
      <c r="F174" t="inlineStr"/>
      <c r="G174" t="inlineStr">
        <is>
          <t>105 000 000</t>
        </is>
      </c>
      <c r="H174" t="inlineStr"/>
      <c r="I174" t="inlineStr">
        <is>
          <t>Нет у нас</t>
        </is>
      </c>
      <c r="J174" t="inlineStr"/>
      <c r="K174">
        <f>HYPERLINK("https://nordwestinvest.ru/real-estates/prodaza-tk-100-zapolniaemost","ссылка")</f>
        <v/>
      </c>
      <c r="L174" t="inlineStr"/>
    </row>
    <row r="175">
      <c r="A175" t="n">
        <v>19</v>
      </c>
      <c r="B175" t="inlineStr"/>
      <c r="C175" t="inlineStr">
        <is>
          <t>Ленинградская обл, Щеглово массив, -, -</t>
        </is>
      </c>
      <c r="D175" t="n">
        <v>353313</v>
      </c>
      <c r="E175" t="inlineStr"/>
      <c r="F175" t="inlineStr"/>
      <c r="G175" t="inlineStr">
        <is>
          <t>570 000 000</t>
        </is>
      </c>
      <c r="H175" t="inlineStr"/>
      <c r="I175" t="inlineStr">
        <is>
          <t>Нет у нас</t>
        </is>
      </c>
      <c r="J175" t="inlineStr"/>
      <c r="K175">
        <f>HYPERLINK("https://nordwestinvest.ru/real-estates/prodaza-zemelnyi-ucastkov-pod-ziluiu-zastroiku","ссылка")</f>
        <v/>
      </c>
      <c r="L175" t="inlineStr"/>
    </row>
    <row r="176">
      <c r="A176" t="n">
        <v>20</v>
      </c>
      <c r="B176" t="inlineStr"/>
      <c r="C176" t="inlineStr">
        <is>
          <t>Ленинградская обл, Фёдоровское гп, -, -</t>
        </is>
      </c>
      <c r="D176" t="n">
        <v>166853</v>
      </c>
      <c r="E176" t="inlineStr"/>
      <c r="F176" t="inlineStr"/>
      <c r="G176" t="inlineStr">
        <is>
          <t>250 000 000</t>
        </is>
      </c>
      <c r="H176" t="inlineStr"/>
      <c r="I176" t="inlineStr">
        <is>
          <t>Нет у нас</t>
        </is>
      </c>
      <c r="J176" t="inlineStr"/>
      <c r="K176">
        <f>HYPERLINK("https://nordwestinvest.ru/real-estates/prodaza-zemelnogo-ucastka-pod-ziluiu-zastroiku","ссылка")</f>
        <v/>
      </c>
      <c r="L176" t="inlineStr"/>
    </row>
    <row r="177">
      <c r="A177" t="n">
        <v>23</v>
      </c>
      <c r="B177" t="inlineStr"/>
      <c r="C177" t="inlineStr">
        <is>
          <t>Ленинградская обл, Орехово п. ж/д ст., Главная ул, 50/1</t>
        </is>
      </c>
      <c r="D177" t="n">
        <v>688.3</v>
      </c>
      <c r="E177" t="inlineStr"/>
      <c r="F177" t="inlineStr"/>
      <c r="G177" t="inlineStr">
        <is>
          <t>165 000 000</t>
        </is>
      </c>
      <c r="H177" t="inlineStr"/>
      <c r="I177" t="inlineStr">
        <is>
          <t>Нет у нас</t>
        </is>
      </c>
      <c r="J177" t="inlineStr"/>
      <c r="K177">
        <f>HYPERLINK("https://nordwestinvest.ru/real-estates/prodaza-osz-s-piaterockoi-zu","ссылка")</f>
        <v/>
      </c>
      <c r="L177" t="inlineStr"/>
    </row>
    <row r="178">
      <c r="A178" t="n">
        <v>25</v>
      </c>
      <c r="B178" t="inlineStr"/>
      <c r="C178" t="inlineStr">
        <is>
          <t>Шушары п, Нины Петровой ул, 8к1</t>
        </is>
      </c>
      <c r="D178" t="n">
        <v>152</v>
      </c>
      <c r="E178" t="inlineStr"/>
      <c r="F178" t="inlineStr"/>
      <c r="G178" t="inlineStr">
        <is>
          <t>48 600 000</t>
        </is>
      </c>
      <c r="H178" t="inlineStr"/>
      <c r="I178" t="inlineStr">
        <is>
          <t>Нет у нас</t>
        </is>
      </c>
      <c r="J178" t="inlineStr"/>
      <c r="K178">
        <f>HYPERLINK("https://nordwestinvest.ru/real-estates/pomeshhenie-s-ulybkoi-radugi","ссылка")</f>
        <v/>
      </c>
      <c r="L178" t="inlineStr"/>
    </row>
    <row r="179">
      <c r="A179" t="n">
        <v>29</v>
      </c>
      <c r="B179" t="inlineStr"/>
      <c r="C179" t="inlineStr">
        <is>
          <t>Санкт-Петербург г, Южное ш, 57к2 А</t>
        </is>
      </c>
      <c r="D179" t="n">
        <v>84.59999999999999</v>
      </c>
      <c r="E179" t="inlineStr"/>
      <c r="F179" t="inlineStr"/>
      <c r="G179" t="inlineStr">
        <is>
          <t>29 800 000</t>
        </is>
      </c>
      <c r="H179" t="inlineStr"/>
      <c r="I179" t="inlineStr">
        <is>
          <t>Нет у нас</t>
        </is>
      </c>
      <c r="J179" t="inlineStr"/>
      <c r="K179">
        <f>HYPERLINK("https://nordwestinvest.ru/real-estates/pomeshhenie-s-krasnoe-i-beloe-846-m2-v-zk","ссылка")</f>
        <v/>
      </c>
      <c r="L179" t="inlineStr"/>
    </row>
    <row r="180">
      <c r="A180" t="n">
        <v>31</v>
      </c>
      <c r="B180" t="inlineStr"/>
      <c r="C180" t="inlineStr">
        <is>
          <t>Санкт-Петербург г, Реки Фонтанки наб, 89</t>
        </is>
      </c>
      <c r="D180" t="n">
        <v>88.59999999999999</v>
      </c>
      <c r="E180" t="inlineStr"/>
      <c r="F180" t="inlineStr"/>
      <c r="G180" t="inlineStr">
        <is>
          <t>12 500 000</t>
        </is>
      </c>
      <c r="H180" t="inlineStr"/>
      <c r="I180" t="inlineStr">
        <is>
          <t>Нет у нас</t>
        </is>
      </c>
      <c r="J180" t="inlineStr"/>
      <c r="K180">
        <f>HYPERLINK("https://nordwestinvest.ru/real-estates/pomeshhenie-s-arendatorom-klub-nastolnyx-igr","ссылка")</f>
        <v/>
      </c>
      <c r="L180" t="inlineStr"/>
    </row>
    <row r="181">
      <c r="A181" t="n">
        <v>32</v>
      </c>
      <c r="B181" t="inlineStr"/>
      <c r="C181" t="inlineStr">
        <is>
          <t>Санкт-Петербург г, Демьяна Бедного ул, 28к1</t>
        </is>
      </c>
      <c r="D181" t="n">
        <v>156</v>
      </c>
      <c r="E181" t="inlineStr"/>
      <c r="F181" t="inlineStr"/>
      <c r="G181" t="inlineStr">
        <is>
          <t>47 000 000</t>
        </is>
      </c>
      <c r="H181" t="inlineStr"/>
      <c r="I181" t="inlineStr">
        <is>
          <t>Нет у нас</t>
        </is>
      </c>
      <c r="J181" t="inlineStr"/>
      <c r="K181">
        <f>HYPERLINK("https://nordwestinvest.ru/real-estates/prodaza-pomeshheniia-s-arendatorami156m2","ссылка")</f>
        <v/>
      </c>
      <c r="L181" t="inlineStr"/>
    </row>
    <row r="182">
      <c r="A182" t="n">
        <v>34</v>
      </c>
      <c r="B182" t="inlineStr"/>
      <c r="C182" t="inlineStr">
        <is>
          <t>Санкт-Петербург г, Демьяна Бедного ул, 28к1 А</t>
        </is>
      </c>
      <c r="D182" t="n">
        <v>125.4</v>
      </c>
      <c r="E182" t="inlineStr"/>
      <c r="F182" t="inlineStr"/>
      <c r="G182" t="inlineStr">
        <is>
          <t>36 000 000</t>
        </is>
      </c>
      <c r="H182" t="inlineStr"/>
      <c r="I182" t="inlineStr">
        <is>
          <t>Нет у нас</t>
        </is>
      </c>
      <c r="J182" t="inlineStr"/>
      <c r="K182">
        <f>HYPERLINK("https://nordwestinvest.ru/real-estates/prodaza-pomeshheniia-s-arendatorami-1254-m2","ссылка")</f>
        <v/>
      </c>
      <c r="L182" t="inlineStr"/>
    </row>
    <row r="183">
      <c r="A183" t="n">
        <v>35</v>
      </c>
      <c r="B183" t="inlineStr"/>
      <c r="C183" t="inlineStr">
        <is>
          <t>Санкт-Петербург г, Благодатная ул, 35 А</t>
        </is>
      </c>
      <c r="D183" t="n">
        <v>91</v>
      </c>
      <c r="E183" t="inlineStr"/>
      <c r="F183" t="inlineStr"/>
      <c r="G183" t="inlineStr">
        <is>
          <t>29 000 000</t>
        </is>
      </c>
      <c r="H183" t="inlineStr"/>
      <c r="I183" t="inlineStr">
        <is>
          <t>Нет у нас</t>
        </is>
      </c>
      <c r="J183" t="inlineStr"/>
      <c r="K183">
        <f>HYPERLINK("https://nordwestinvest.ru/real-estates/prodaza-pomeshheniia-s-arendatorami-vitriny-trafik-1","ссылка")</f>
        <v/>
      </c>
      <c r="L183" t="inlineStr"/>
    </row>
    <row r="184">
      <c r="A184" t="n">
        <v>37</v>
      </c>
      <c r="B184" t="inlineStr"/>
      <c r="C184" t="inlineStr">
        <is>
          <t>Санкт-Петербург г, Обуховской Обороны пр-кт, 243 А</t>
        </is>
      </c>
      <c r="D184" t="n">
        <v>112</v>
      </c>
      <c r="E184" t="inlineStr"/>
      <c r="F184" t="inlineStr"/>
      <c r="G184" t="inlineStr">
        <is>
          <t>27 000 000</t>
        </is>
      </c>
      <c r="H184" t="inlineStr"/>
      <c r="I184" t="inlineStr">
        <is>
          <t>Нет у нас</t>
        </is>
      </c>
      <c r="J184" t="inlineStr"/>
      <c r="K184">
        <f>HYPERLINK("https://nordwestinvest.ru/real-estates/pomeshhenie-s-wildberries-112-m2","ссылка")</f>
        <v/>
      </c>
      <c r="L184" t="inlineStr"/>
    </row>
    <row r="185">
      <c r="A185" t="n">
        <v>38</v>
      </c>
      <c r="B185" t="inlineStr"/>
      <c r="C185" t="inlineStr">
        <is>
          <t>Санкт-Петербург г, Дунайский пр-кт, 34/16 А</t>
        </is>
      </c>
      <c r="D185" t="n">
        <v>110.5</v>
      </c>
      <c r="E185" t="inlineStr"/>
      <c r="F185" t="inlineStr"/>
      <c r="G185" t="inlineStr">
        <is>
          <t>25 000 000</t>
        </is>
      </c>
      <c r="H185" t="inlineStr"/>
      <c r="I185" t="inlineStr">
        <is>
          <t>Нет у нас</t>
        </is>
      </c>
      <c r="J185" t="inlineStr"/>
      <c r="K185">
        <f>HYPERLINK("https://nordwestinvest.ru/real-estates/pomeshhenie-s-iandeks-market-parikmaxerskaia","ссылка")</f>
        <v/>
      </c>
      <c r="L185" t="inlineStr"/>
    </row>
    <row r="186">
      <c r="A186" t="n">
        <v>39</v>
      </c>
      <c r="B186" t="inlineStr"/>
      <c r="C186" t="inlineStr">
        <is>
          <t>Санкт-Петербург г, Светлановский пр-кт, 109</t>
        </is>
      </c>
      <c r="D186" t="n">
        <v>84.5</v>
      </c>
      <c r="E186" t="inlineStr"/>
      <c r="F186" t="inlineStr"/>
      <c r="G186" t="inlineStr">
        <is>
          <t>29 000 000</t>
        </is>
      </c>
      <c r="H186" t="inlineStr"/>
      <c r="I186" t="inlineStr">
        <is>
          <t>Нет у нас</t>
        </is>
      </c>
      <c r="J186" t="inlineStr"/>
      <c r="K186">
        <f>HYPERLINK("https://nordwestinvest.ru/real-estates/prodaza-pomeshheniia-s-wildberries-845-m2","ссылка")</f>
        <v/>
      </c>
      <c r="L186" t="inlineStr"/>
    </row>
    <row r="187">
      <c r="A187" t="n">
        <v>45</v>
      </c>
      <c r="B187" t="inlineStr"/>
      <c r="C187" t="inlineStr">
        <is>
          <t>Санкт-Петербург г, Гражданский пр-кт, 88к3</t>
        </is>
      </c>
      <c r="D187" t="n">
        <v>95.7</v>
      </c>
      <c r="E187" t="inlineStr"/>
      <c r="F187" t="inlineStr"/>
      <c r="G187" t="inlineStr">
        <is>
          <t>24 882 000</t>
        </is>
      </c>
      <c r="H187" t="inlineStr"/>
      <c r="I187" t="inlineStr">
        <is>
          <t>Нет у нас</t>
        </is>
      </c>
      <c r="J187" t="inlineStr"/>
      <c r="K187">
        <f>HYPERLINK("https://nordwestinvest.ru/real-estates/prodaza-ofisa-riadom-s-metro-akademiceskaia-957m2","ссылка")</f>
        <v/>
      </c>
      <c r="L187" t="inlineStr"/>
    </row>
    <row r="188">
      <c r="A188" t="n">
        <v>50</v>
      </c>
      <c r="B188" t="inlineStr"/>
      <c r="C188" t="inlineStr">
        <is>
          <t>Санкт-Петербург г, Маршала Жукова пр-кт, 28к1</t>
        </is>
      </c>
      <c r="D188" t="n">
        <v>72.5</v>
      </c>
      <c r="E188" t="inlineStr"/>
      <c r="F188" t="inlineStr"/>
      <c r="G188" t="inlineStr">
        <is>
          <t>36 500 000</t>
        </is>
      </c>
      <c r="H188" t="inlineStr"/>
      <c r="I188" t="inlineStr">
        <is>
          <t>Нет у нас</t>
        </is>
      </c>
      <c r="J188" t="inlineStr"/>
      <c r="K188">
        <f>HYPERLINK("https://nordwestinvest.ru/real-estates/prodaza-pomeshheniia-c-setevoi-pekarnei-s-nds-1","ссылка")</f>
        <v/>
      </c>
      <c r="L188" t="inlineStr"/>
    </row>
    <row r="189">
      <c r="A189" t="n">
        <v>52</v>
      </c>
      <c r="B189" t="inlineStr"/>
      <c r="C189" t="inlineStr">
        <is>
          <t>Санкт-Петербург г, Народная ул, 39 Б</t>
        </is>
      </c>
      <c r="D189" t="n">
        <v>1140</v>
      </c>
      <c r="E189" t="inlineStr"/>
      <c r="F189" t="inlineStr"/>
      <c r="G189" t="inlineStr">
        <is>
          <t>357 000 000</t>
        </is>
      </c>
      <c r="H189" t="inlineStr"/>
      <c r="I189" t="inlineStr">
        <is>
          <t>Нет у нас</t>
        </is>
      </c>
      <c r="J189" t="inlineStr"/>
      <c r="K189">
        <f>HYPERLINK("https://nordwestinvest.ru/real-estates/prodaza-1140m-arendator-piaterocka-okupaemost-9let","ссылка")</f>
        <v/>
      </c>
      <c r="L189" t="inlineStr"/>
    </row>
    <row r="190">
      <c r="A190" t="n">
        <v>55</v>
      </c>
      <c r="B190" t="inlineStr"/>
      <c r="C190" t="inlineStr">
        <is>
          <t>Санкт-Петербург г, Пейзажная ул, 28к1стр1</t>
        </is>
      </c>
      <c r="D190" t="n">
        <v>643</v>
      </c>
      <c r="E190" t="inlineStr"/>
      <c r="F190" t="inlineStr"/>
      <c r="G190" t="inlineStr">
        <is>
          <t>170 000 000</t>
        </is>
      </c>
      <c r="H190" t="inlineStr"/>
      <c r="I190" t="inlineStr">
        <is>
          <t>Нет у нас</t>
        </is>
      </c>
      <c r="J190" t="inlineStr"/>
      <c r="K190">
        <f>HYPERLINK("https://nordwestinvest.ru/real-estates/prodaza-parkinga-na-peizaznoi-2","ссылка")</f>
        <v/>
      </c>
      <c r="L190" t="inlineStr"/>
    </row>
    <row r="191">
      <c r="A191" t="n">
        <v>56</v>
      </c>
      <c r="B191" t="inlineStr"/>
      <c r="C191" t="inlineStr">
        <is>
          <t>Ленинградская обл, посёлок Пески, -, -</t>
        </is>
      </c>
      <c r="D191" t="n">
        <v>10000</v>
      </c>
      <c r="E191" t="inlineStr"/>
      <c r="F191" t="inlineStr"/>
      <c r="G191" t="inlineStr">
        <is>
          <t>50 000 000</t>
        </is>
      </c>
      <c r="H191" t="inlineStr"/>
      <c r="I191" t="inlineStr">
        <is>
          <t>Нет у нас</t>
        </is>
      </c>
      <c r="J191" t="inlineStr"/>
      <c r="K191">
        <f>HYPERLINK("https://nordwestinvest.ru/real-estates/prodaza-zu-1-ga","ссылка")</f>
        <v/>
      </c>
      <c r="L191" t="inlineStr"/>
    </row>
    <row r="192">
      <c r="A192" t="n">
        <v>58</v>
      </c>
      <c r="B192" t="inlineStr"/>
      <c r="C192" t="inlineStr">
        <is>
          <t>Санкт-Петербург, Ново-кировское шоссе, -</t>
        </is>
      </c>
      <c r="D192" t="n">
        <v>20000</v>
      </c>
      <c r="E192" t="inlineStr"/>
      <c r="F192" t="inlineStr"/>
      <c r="G192" t="inlineStr">
        <is>
          <t>100 000 000</t>
        </is>
      </c>
      <c r="H192" t="inlineStr"/>
      <c r="I192" t="inlineStr">
        <is>
          <t>Нет у нас</t>
        </is>
      </c>
      <c r="J192" t="inlineStr"/>
      <c r="K192">
        <f>HYPERLINK("https://nordwestinvest.ru/real-estates/prodaza-vydelennyx-2-ga-promnaznaceniia","ссылка")</f>
        <v/>
      </c>
      <c r="L192" t="inlineStr"/>
    </row>
    <row r="193">
      <c r="A193" t="n">
        <v>59</v>
      </c>
      <c r="B193" t="inlineStr"/>
      <c r="C193" t="inlineStr">
        <is>
          <t>Санкт-Петербург г, 1-й Предпортовый проезд, 15стр1</t>
        </is>
      </c>
      <c r="D193" t="n">
        <v>149</v>
      </c>
      <c r="E193" t="inlineStr"/>
      <c r="F193" t="inlineStr"/>
      <c r="G193" t="inlineStr">
        <is>
          <t>43 200 000</t>
        </is>
      </c>
      <c r="H193" t="inlineStr"/>
      <c r="I193" t="inlineStr">
        <is>
          <t>Нет у нас</t>
        </is>
      </c>
      <c r="J193" t="inlineStr"/>
      <c r="K193">
        <f>HYPERLINK("https://nordwestinvest.ru/real-estates/prodaza-psn-14967m2-1","ссылка")</f>
        <v/>
      </c>
      <c r="L193" t="inlineStr"/>
    </row>
    <row r="194">
      <c r="A194" t="n">
        <v>60</v>
      </c>
      <c r="B194" t="inlineStr"/>
      <c r="C194" t="inlineStr">
        <is>
          <t>Санкт-Петербург г, Уманский пер, 71</t>
        </is>
      </c>
      <c r="D194" t="n">
        <v>7314</v>
      </c>
      <c r="E194" t="inlineStr"/>
      <c r="F194" t="inlineStr"/>
      <c r="G194" t="inlineStr">
        <is>
          <t>65 000 000</t>
        </is>
      </c>
      <c r="H194" t="inlineStr"/>
      <c r="I194" t="inlineStr">
        <is>
          <t>Нет у нас</t>
        </is>
      </c>
      <c r="J194" t="inlineStr"/>
      <c r="K194">
        <f>HYPERLINK("https://nordwestinvest.ru/real-estates/zemelnyi-ucastok-ppomnaznaceniia-7314-m2","ссылка")</f>
        <v/>
      </c>
      <c r="L194" t="inlineStr"/>
    </row>
    <row r="195">
      <c r="A195" t="n">
        <v>61</v>
      </c>
      <c r="B195" t="inlineStr"/>
      <c r="C195" t="inlineStr">
        <is>
          <t>Ленинградская обл, Токсово гп, Ленинградское ш, -</t>
        </is>
      </c>
      <c r="D195" t="n">
        <v>1500</v>
      </c>
      <c r="E195" t="inlineStr"/>
      <c r="F195" t="inlineStr"/>
      <c r="G195" t="inlineStr">
        <is>
          <t>150 000 000</t>
        </is>
      </c>
      <c r="H195" t="inlineStr"/>
      <c r="I195" t="inlineStr">
        <is>
          <t>Нет у нас</t>
        </is>
      </c>
      <c r="J195" t="inlineStr"/>
      <c r="K195">
        <f>HYPERLINK("https://nordwestinvest.ru/real-estates/prodaza-skladskogo-zdaniia-1500-m2-1","ссылка")</f>
        <v/>
      </c>
      <c r="L195" t="inlineStr"/>
    </row>
    <row r="196">
      <c r="A196" t="n">
        <v>63</v>
      </c>
      <c r="B196" t="inlineStr"/>
      <c r="C196" t="inlineStr">
        <is>
          <t>Ленинградская обл, Аннино п, 10-й Пятилетки ул, 2А</t>
        </is>
      </c>
      <c r="D196" t="n">
        <v>83.3</v>
      </c>
      <c r="E196" t="inlineStr"/>
      <c r="F196" t="inlineStr"/>
      <c r="G196" t="inlineStr">
        <is>
          <t>11 000 000</t>
        </is>
      </c>
      <c r="H196" t="inlineStr"/>
      <c r="I196" t="inlineStr">
        <is>
          <t>Нет у нас</t>
        </is>
      </c>
      <c r="J196" t="inlineStr"/>
      <c r="K196">
        <f>HYPERLINK("https://nordwestinvest.ru/real-estates/prodaza-osz-s-arendatorom-okupaemost-99-let","ссылка")</f>
        <v/>
      </c>
      <c r="L196" t="inlineStr"/>
    </row>
    <row r="197">
      <c r="A197" t="n">
        <v>65</v>
      </c>
      <c r="B197" t="inlineStr"/>
      <c r="C197" t="inlineStr">
        <is>
          <t>Ленинградская обл, Дружная Горка гп, Садовая ул, 5</t>
        </is>
      </c>
      <c r="D197" t="n">
        <v>1700</v>
      </c>
      <c r="E197" t="inlineStr"/>
      <c r="F197" t="inlineStr"/>
      <c r="G197" t="inlineStr">
        <is>
          <t>15 000 000</t>
        </is>
      </c>
      <c r="H197" t="inlineStr"/>
      <c r="I197" t="inlineStr">
        <is>
          <t>Нет у нас</t>
        </is>
      </c>
      <c r="J197" t="inlineStr"/>
      <c r="K197">
        <f>HYPERLINK("https://nordwestinvest.ru/real-estates/prodaza-ucastka-pod-magazin-17-sotok","ссылка")</f>
        <v/>
      </c>
      <c r="L197" t="inlineStr"/>
    </row>
    <row r="198">
      <c r="A198" t="n">
        <v>66</v>
      </c>
      <c r="B198" t="inlineStr"/>
      <c r="C198" t="inlineStr">
        <is>
          <t>Ленинградская обл, Лупполово д, -, -</t>
        </is>
      </c>
      <c r="D198" t="n">
        <v>1600</v>
      </c>
      <c r="E198" t="inlineStr"/>
      <c r="F198" t="inlineStr"/>
      <c r="G198" t="inlineStr">
        <is>
          <t>28 000 000</t>
        </is>
      </c>
      <c r="H198" t="inlineStr"/>
      <c r="I198" t="inlineStr">
        <is>
          <t>Нет у нас</t>
        </is>
      </c>
      <c r="J198" t="inlineStr"/>
      <c r="K198">
        <f>HYPERLINK("https://nordwestinvest.ru/real-estates/prodaza-proekta-magazina-na-svoem-zu-1","ссылка")</f>
        <v/>
      </c>
      <c r="L198" t="inlineStr"/>
    </row>
    <row r="199">
      <c r="A199" t="n">
        <v>67</v>
      </c>
      <c r="B199" t="inlineStr"/>
      <c r="C199" t="inlineStr">
        <is>
          <t>Санкт-Петербург г, Лиговский пр-кт, 240литераАБ</t>
        </is>
      </c>
      <c r="D199" t="n">
        <v>100</v>
      </c>
      <c r="E199" t="inlineStr"/>
      <c r="F199" t="inlineStr"/>
      <c r="G199" t="inlineStr">
        <is>
          <t>280 000</t>
        </is>
      </c>
      <c r="H199" t="inlineStr"/>
      <c r="I199" t="inlineStr">
        <is>
          <t>Нет у нас</t>
        </is>
      </c>
      <c r="J199" t="inlineStr"/>
      <c r="K199">
        <f>HYPERLINK("https://nordwestinvest.ru/real-estates/uglovoe-pomeshhenie-naprotiv-skoly-i-detsada-859m2-1","ссылка")</f>
        <v/>
      </c>
      <c r="L199" t="inlineStr"/>
    </row>
    <row r="200">
      <c r="A200" t="n">
        <v>69</v>
      </c>
      <c r="B200" t="inlineStr"/>
      <c r="C200" t="inlineStr">
        <is>
          <t>Санкт-Петербург г, 7-я В.О. линия, 30</t>
        </is>
      </c>
      <c r="D200" t="n">
        <v>189.3</v>
      </c>
      <c r="E200" t="inlineStr"/>
      <c r="F200" t="inlineStr"/>
      <c r="G200" t="inlineStr">
        <is>
          <t>98 000 000</t>
        </is>
      </c>
      <c r="H200" t="inlineStr"/>
      <c r="I200" t="inlineStr">
        <is>
          <t>Нет у нас</t>
        </is>
      </c>
      <c r="J200" t="inlineStr"/>
      <c r="K200">
        <f>HYPERLINK("https://nordwestinvest.ru/real-estates/prodaza-torgovogo-pomeshheniia-vblizi-metro","ссылка")</f>
        <v/>
      </c>
      <c r="L200" t="inlineStr"/>
    </row>
    <row r="201">
      <c r="A201" t="n">
        <v>70</v>
      </c>
      <c r="B201" t="inlineStr"/>
      <c r="C201" t="inlineStr">
        <is>
          <t>Санкт-Петербург г, Седова ул, 47 А</t>
        </is>
      </c>
      <c r="D201" t="n">
        <v>6858</v>
      </c>
      <c r="E201" t="inlineStr"/>
      <c r="F201" t="inlineStr"/>
      <c r="G201" t="inlineStr">
        <is>
          <t>270 000 000</t>
        </is>
      </c>
      <c r="H201" t="inlineStr"/>
      <c r="I201" t="inlineStr">
        <is>
          <t>Нет у нас</t>
        </is>
      </c>
      <c r="J201" t="inlineStr"/>
      <c r="K201">
        <f>HYPERLINK("https://nordwestinvest.ru/real-estates/prodaza-osz-6858m2-2","ссылка")</f>
        <v/>
      </c>
      <c r="L201" t="inlineStr"/>
    </row>
    <row r="202">
      <c r="A202" t="n">
        <v>71</v>
      </c>
      <c r="B202" t="inlineStr"/>
      <c r="C202" t="inlineStr">
        <is>
          <t>Ленинградская обл, Лупполово д, -, -</t>
        </is>
      </c>
      <c r="D202" t="n">
        <v>1600</v>
      </c>
      <c r="E202" t="inlineStr"/>
      <c r="F202" t="inlineStr"/>
      <c r="G202" t="inlineStr">
        <is>
          <t>28 000 000</t>
        </is>
      </c>
      <c r="H202" t="inlineStr"/>
      <c r="I202" t="inlineStr">
        <is>
          <t>Нет у нас</t>
        </is>
      </c>
      <c r="J202" t="inlineStr"/>
      <c r="K202">
        <f>HYPERLINK("https://nordwestinvest.ru/real-estates/prodaza-proekta-magazina-na-svoem-zu","ссылка")</f>
        <v/>
      </c>
      <c r="L202" t="inlineStr"/>
    </row>
    <row r="203">
      <c r="A203" t="n">
        <v>73</v>
      </c>
      <c r="B203" t="inlineStr"/>
      <c r="C203" t="inlineStr">
        <is>
          <t>Санкт-Петербург г, Северный пр-кт, 107</t>
        </is>
      </c>
      <c r="D203" t="n">
        <v>48.8</v>
      </c>
      <c r="E203" t="inlineStr"/>
      <c r="F203" t="inlineStr"/>
      <c r="G203" t="inlineStr">
        <is>
          <t>13 700 000</t>
        </is>
      </c>
      <c r="H203" t="inlineStr"/>
      <c r="I203" t="inlineStr">
        <is>
          <t>Нет у нас</t>
        </is>
      </c>
      <c r="J203" t="inlineStr"/>
      <c r="K203">
        <f>HYPERLINK("https://nordwestinvest.ru/real-estates/prodaza-pomeshheniia-s-remontom","ссылка")</f>
        <v/>
      </c>
      <c r="L203" t="inlineStr"/>
    </row>
    <row r="204">
      <c r="A204" t="n">
        <v>76</v>
      </c>
      <c r="B204" t="inlineStr"/>
      <c r="C204" t="inlineStr">
        <is>
          <t>Санкт-Петербург г, Морской Пехоты ул, 26к2</t>
        </is>
      </c>
      <c r="D204" t="n">
        <v>72.5</v>
      </c>
      <c r="E204" t="inlineStr"/>
      <c r="F204" t="inlineStr"/>
      <c r="G204" t="inlineStr">
        <is>
          <t>36 500 000</t>
        </is>
      </c>
      <c r="H204" t="inlineStr"/>
      <c r="I204" t="inlineStr">
        <is>
          <t>Нет у нас</t>
        </is>
      </c>
      <c r="J204" t="inlineStr"/>
      <c r="K204">
        <f>HYPERLINK("https://nordwestinvest.ru/real-estates/prodaza-pomeshheniia-c-setevoi-pekarnei-s-nds","ссылка")</f>
        <v/>
      </c>
      <c r="L204" t="inlineStr"/>
    </row>
    <row r="205">
      <c r="A205" t="n">
        <v>77</v>
      </c>
      <c r="B205" t="inlineStr"/>
      <c r="C205" t="inlineStr">
        <is>
          <t>Санкт-Петербург г, Науки пр-кт, 36</t>
        </is>
      </c>
      <c r="D205" t="n">
        <v>134.5</v>
      </c>
      <c r="E205" t="inlineStr"/>
      <c r="F205" t="inlineStr"/>
      <c r="G205" t="inlineStr">
        <is>
          <t>26 000 000</t>
        </is>
      </c>
      <c r="H205" t="inlineStr"/>
      <c r="I205" t="inlineStr">
        <is>
          <t>Нет у нас</t>
        </is>
      </c>
      <c r="J205" t="inlineStr"/>
      <c r="K205">
        <f>HYPERLINK("https://nordwestinvest.ru/real-estates/prodaza-2-x-etazei-na-pr-nauki-1","ссылка")</f>
        <v/>
      </c>
      <c r="L205" t="inlineStr"/>
    </row>
    <row r="206">
      <c r="A206" t="n">
        <v>78</v>
      </c>
      <c r="B206" t="inlineStr"/>
      <c r="C206" t="inlineStr">
        <is>
          <t>Санкт-Петербург г, Петровская коса, 1к1 Р</t>
        </is>
      </c>
      <c r="D206" t="n">
        <v>466</v>
      </c>
      <c r="E206" t="inlineStr"/>
      <c r="F206" t="inlineStr"/>
      <c r="G206" t="inlineStr">
        <is>
          <t>128 000 000</t>
        </is>
      </c>
      <c r="H206" t="inlineStr"/>
      <c r="I206" t="inlineStr">
        <is>
          <t>Нет у нас</t>
        </is>
      </c>
      <c r="J206" t="inlineStr"/>
      <c r="K206">
        <f>HYPERLINK("https://nordwestinvest.ru/real-estates/prodaza-ofisnogo-bloka-466-m2petrovskii-ostrov","ссылка")</f>
        <v/>
      </c>
      <c r="L206" t="inlineStr"/>
    </row>
    <row r="207">
      <c r="A207" t="n">
        <v>81</v>
      </c>
      <c r="B207" t="inlineStr"/>
      <c r="C207" t="inlineStr">
        <is>
          <t>Ленинградская обл, Кудрово г, Центральная ул, 11</t>
        </is>
      </c>
      <c r="D207" t="n">
        <v>2200</v>
      </c>
      <c r="E207" t="inlineStr"/>
      <c r="F207" t="inlineStr"/>
      <c r="G207" t="inlineStr">
        <is>
          <t>35 000 000</t>
        </is>
      </c>
      <c r="H207" t="inlineStr"/>
      <c r="I207" t="inlineStr">
        <is>
          <t>Нет у нас</t>
        </is>
      </c>
      <c r="J207" t="inlineStr"/>
      <c r="K207">
        <f>HYPERLINK("https://nordwestinvest.ru/real-estates/prodaza-zu-pod-medcentr-22-sotki","ссылка")</f>
        <v/>
      </c>
      <c r="L207" t="inlineStr"/>
    </row>
    <row r="208">
      <c r="A208" t="n">
        <v>82</v>
      </c>
      <c r="B208" t="inlineStr"/>
      <c r="C208" t="inlineStr">
        <is>
          <t>Санкт-Петербург г, Кожевенная линия, 42</t>
        </is>
      </c>
      <c r="D208" t="n">
        <v>330</v>
      </c>
      <c r="E208" t="inlineStr"/>
      <c r="F208" t="inlineStr"/>
      <c r="G208" t="inlineStr">
        <is>
          <t>99 000 000</t>
        </is>
      </c>
      <c r="H208" t="inlineStr"/>
      <c r="I208" t="inlineStr">
        <is>
          <t>Нет у нас</t>
        </is>
      </c>
      <c r="J208" t="inlineStr"/>
      <c r="K208">
        <f>HYPERLINK("https://nordwestinvest.ru/real-estates/pomeshhenie-pod-restoran-v-novom-otele-330m2-1","ссылка")</f>
        <v/>
      </c>
      <c r="L208" t="inlineStr"/>
    </row>
    <row r="209">
      <c r="A209" t="n">
        <v>83</v>
      </c>
      <c r="B209" t="inlineStr"/>
      <c r="C209" t="inlineStr">
        <is>
          <t>Санкт-Петербург г, Вознесенский пр-кт, 49</t>
        </is>
      </c>
      <c r="D209" t="n">
        <v>141.7</v>
      </c>
      <c r="E209" t="inlineStr"/>
      <c r="F209" t="inlineStr"/>
      <c r="G209" t="inlineStr">
        <is>
          <t>13 800 000</t>
        </is>
      </c>
      <c r="H209" t="inlineStr"/>
      <c r="I209" t="inlineStr">
        <is>
          <t>Нет у нас</t>
        </is>
      </c>
      <c r="J209" t="inlineStr"/>
      <c r="K209">
        <f>HYPERLINK("https://nordwestinvest.ru/real-estates/prodaza-pomeshheniia-v-centre-goroda-3","ссылка")</f>
        <v/>
      </c>
      <c r="L209" t="inlineStr"/>
    </row>
    <row r="210">
      <c r="A210" t="n">
        <v>84</v>
      </c>
      <c r="B210" t="inlineStr"/>
      <c r="C210" t="inlineStr">
        <is>
          <t>Ленинградская обл, Токсово гп, Ленинградское ш, -</t>
        </is>
      </c>
      <c r="D210" t="n">
        <v>3000</v>
      </c>
      <c r="E210" t="inlineStr"/>
      <c r="F210" t="inlineStr"/>
      <c r="G210" t="inlineStr">
        <is>
          <t>300 000 000</t>
        </is>
      </c>
      <c r="H210" t="inlineStr"/>
      <c r="I210" t="inlineStr">
        <is>
          <t>Нет у нас</t>
        </is>
      </c>
      <c r="J210" t="inlineStr"/>
      <c r="K210">
        <f>HYPERLINK("https://nordwestinvest.ru/real-estates/prodaza-2-x-skladskix-zdanii-1","ссылка")</f>
        <v/>
      </c>
      <c r="L210" t="inlineStr"/>
    </row>
    <row r="211">
      <c r="A211" t="n">
        <v>85</v>
      </c>
      <c r="B211" t="inlineStr"/>
      <c r="C211" t="inlineStr">
        <is>
          <t>Новгородская обл, автодорога Москва-Санкт-Петербург тер, 423-й км, -</t>
        </is>
      </c>
      <c r="D211" t="n">
        <v>1499</v>
      </c>
      <c r="E211" t="inlineStr"/>
      <c r="F211" t="inlineStr"/>
      <c r="G211" t="inlineStr">
        <is>
          <t>250 000 000</t>
        </is>
      </c>
      <c r="H211" t="inlineStr"/>
      <c r="I211" t="inlineStr">
        <is>
          <t>Нет у нас</t>
        </is>
      </c>
      <c r="J211" t="inlineStr"/>
      <c r="K211">
        <f>HYPERLINK("https://nordwestinvest.ru/real-estates/prodaza-sto-na-ucastke-11-ga-i-5-ga-s-nds","ссылка")</f>
        <v/>
      </c>
      <c r="L211" t="inlineStr"/>
    </row>
    <row r="212">
      <c r="A212" t="n">
        <v>86</v>
      </c>
      <c r="B212" t="inlineStr"/>
      <c r="C212" t="inlineStr">
        <is>
          <t>Ленинградская обл, деревня Заостровье, улица Труда, 14</t>
        </is>
      </c>
      <c r="D212" t="n">
        <v>400</v>
      </c>
      <c r="E212" t="inlineStr"/>
      <c r="F212" t="inlineStr"/>
      <c r="G212" t="inlineStr">
        <is>
          <t>63 500 000</t>
        </is>
      </c>
      <c r="H212" t="inlineStr"/>
      <c r="I212" t="inlineStr">
        <is>
          <t>Нет у нас</t>
        </is>
      </c>
      <c r="J212" t="inlineStr"/>
      <c r="K212">
        <f>HYPERLINK("https://nordwestinvest.ru/real-estates/prodaza-gab-s-magnitomzu-555-m2","ссылка")</f>
        <v/>
      </c>
      <c r="L212" t="inlineStr"/>
    </row>
    <row r="213">
      <c r="A213" t="n">
        <v>88</v>
      </c>
      <c r="B213" t="inlineStr"/>
      <c r="C213" t="inlineStr">
        <is>
          <t>Санкт-Петербург г, Плесецкая ул, 4стр1</t>
        </is>
      </c>
      <c r="D213" t="n">
        <v>108.6</v>
      </c>
      <c r="E213" t="inlineStr"/>
      <c r="F213" t="inlineStr"/>
      <c r="G213" t="inlineStr">
        <is>
          <t>30 600 000</t>
        </is>
      </c>
      <c r="H213" t="inlineStr"/>
      <c r="I213" t="inlineStr">
        <is>
          <t>Нет у нас</t>
        </is>
      </c>
      <c r="J213" t="inlineStr"/>
      <c r="K213">
        <f>HYPERLINK("https://nordwestinvest.ru/real-estates/prodaza-gab-v-elitnom-zk-ariosto-1086m2","ссылка")</f>
        <v/>
      </c>
      <c r="L213" t="inlineStr"/>
    </row>
    <row r="214">
      <c r="A214" t="n">
        <v>90</v>
      </c>
      <c r="B214" t="inlineStr"/>
      <c r="C214" t="inlineStr">
        <is>
          <t>Ленинградская обл, Выборг г, Ленина пр-кт, 10</t>
        </is>
      </c>
      <c r="D214" t="n">
        <v>478</v>
      </c>
      <c r="E214" t="inlineStr"/>
      <c r="F214" t="inlineStr"/>
      <c r="G214" t="inlineStr">
        <is>
          <t>65 000 000</t>
        </is>
      </c>
      <c r="H214" t="inlineStr"/>
      <c r="I214" t="inlineStr">
        <is>
          <t>Нет у нас</t>
        </is>
      </c>
      <c r="J214" t="inlineStr"/>
      <c r="K214">
        <f>HYPERLINK("https://nordwestinvest.ru/real-estates/investproekt-pod-apartamenty-v-centre-vyborga-1","ссылка")</f>
        <v/>
      </c>
      <c r="L214" t="inlineStr"/>
    </row>
    <row r="215">
      <c r="A215" t="n">
        <v>91</v>
      </c>
      <c r="B215" t="inlineStr"/>
      <c r="C215" t="inlineStr">
        <is>
          <t>Ленинградская обл, Тосно г, Серова ул, 31</t>
        </is>
      </c>
      <c r="D215" t="n">
        <v>564</v>
      </c>
      <c r="E215" t="inlineStr"/>
      <c r="F215" t="inlineStr"/>
      <c r="G215" t="inlineStr">
        <is>
          <t>53 000 000</t>
        </is>
      </c>
      <c r="H215" t="inlineStr"/>
      <c r="I215" t="inlineStr">
        <is>
          <t>Нет у нас</t>
        </is>
      </c>
      <c r="J215" t="inlineStr"/>
      <c r="K215">
        <f>HYPERLINK("https://nordwestinvest.ru/real-estates/prodaza-osz-s-arendatorom-magnit","ссылка")</f>
        <v/>
      </c>
      <c r="L215" t="inlineStr"/>
    </row>
    <row r="216">
      <c r="A216" t="n">
        <v>92</v>
      </c>
      <c r="B216" t="inlineStr"/>
      <c r="C216" t="inlineStr">
        <is>
          <t>Санкт-Петербург г, Русановская ул, 22</t>
        </is>
      </c>
      <c r="D216" t="n">
        <v>1361.8</v>
      </c>
      <c r="E216" t="inlineStr"/>
      <c r="F216" t="inlineStr"/>
      <c r="G216" t="inlineStr">
        <is>
          <t>425 000 000</t>
        </is>
      </c>
      <c r="H216" t="inlineStr"/>
      <c r="I216" t="inlineStr">
        <is>
          <t>Нет у нас</t>
        </is>
      </c>
      <c r="J216" t="inlineStr"/>
      <c r="K216">
        <f>HYPERLINK("https://nordwestinvest.ru/real-estates/prodaza-pomeshheniia-s-gab-1361-m2","ссылка")</f>
        <v/>
      </c>
      <c r="L216" t="inlineStr"/>
    </row>
    <row r="217">
      <c r="A217" t="n">
        <v>94</v>
      </c>
      <c r="B217" t="inlineStr"/>
      <c r="C217" t="inlineStr">
        <is>
          <t>Ленинградская обл, Янино-1 гп, Голландская ул, 9</t>
        </is>
      </c>
      <c r="D217" t="n">
        <v>97.90000000000001</v>
      </c>
      <c r="E217" t="inlineStr"/>
      <c r="F217" t="inlineStr"/>
      <c r="G217" t="inlineStr">
        <is>
          <t>28 000 000</t>
        </is>
      </c>
      <c r="H217" t="inlineStr"/>
      <c r="I217" t="inlineStr">
        <is>
          <t>Нет у нас</t>
        </is>
      </c>
      <c r="J217" t="inlineStr"/>
      <c r="K217">
        <f>HYPERLINK("https://nordwestinvest.ru/real-estates/prodaza-dver-v-dver-s-piaterockoi-979m2-1","ссылка")</f>
        <v/>
      </c>
      <c r="L217" t="inlineStr"/>
    </row>
    <row r="218">
      <c r="A218" t="n">
        <v>95</v>
      </c>
      <c r="B218" t="inlineStr"/>
      <c r="C218" t="inlineStr">
        <is>
          <t>Ленинградская обл, Всеволожск г, Операторов ул, -</t>
        </is>
      </c>
      <c r="D218" t="n">
        <v>20000</v>
      </c>
      <c r="E218" t="inlineStr"/>
      <c r="F218" t="inlineStr"/>
      <c r="G218" t="inlineStr">
        <is>
          <t>60 000 000</t>
        </is>
      </c>
      <c r="H218" t="inlineStr"/>
      <c r="I218" t="inlineStr">
        <is>
          <t>Нет у нас</t>
        </is>
      </c>
      <c r="J218" t="inlineStr"/>
      <c r="K218">
        <f>HYPERLINK("https://nordwestinvest.ru/real-estates/prodaza-zemelnogo-ucastka-2-ga-1","ссылка")</f>
        <v/>
      </c>
      <c r="L218" t="inlineStr"/>
    </row>
    <row r="219">
      <c r="A219" t="n">
        <v>96</v>
      </c>
      <c r="B219" t="inlineStr"/>
      <c r="C219" t="inlineStr">
        <is>
          <t>Ленинградская обл, Всеволожск г, Операторов ул, -</t>
        </is>
      </c>
      <c r="D219" t="n">
        <v>976</v>
      </c>
      <c r="E219" t="inlineStr"/>
      <c r="F219" t="inlineStr"/>
      <c r="G219" t="inlineStr">
        <is>
          <t>60 000 000</t>
        </is>
      </c>
      <c r="H219" t="inlineStr"/>
      <c r="I219" t="inlineStr">
        <is>
          <t>Нет у нас</t>
        </is>
      </c>
      <c r="J219" t="inlineStr"/>
      <c r="K219">
        <f>HYPERLINK("https://nordwestinvest.ru/real-estates/prodaza-sklada-s-zu-2-ga-1","ссылка")</f>
        <v/>
      </c>
      <c r="L219" t="inlineStr"/>
    </row>
    <row r="220">
      <c r="A220" t="n">
        <v>97</v>
      </c>
      <c r="B220" t="inlineStr"/>
      <c r="C220" t="inlineStr">
        <is>
          <t>Санкт-Петербург г, Народного Ополчения пр-кт, 9</t>
        </is>
      </c>
      <c r="D220" t="n">
        <v>1302</v>
      </c>
      <c r="E220" t="inlineStr"/>
      <c r="F220" t="inlineStr"/>
      <c r="G220" t="inlineStr">
        <is>
          <t>19 000 000</t>
        </is>
      </c>
      <c r="H220" t="inlineStr"/>
      <c r="I220" t="inlineStr">
        <is>
          <t>Нет у нас</t>
        </is>
      </c>
      <c r="J220" t="inlineStr"/>
      <c r="K220">
        <f>HYPERLINK("https://nordwestinvest.ru/real-estates/prodaza-zu-pod-stroitelstvo-magazina","ссылка")</f>
        <v/>
      </c>
      <c r="L220" t="inlineStr"/>
    </row>
    <row r="221">
      <c r="A221" t="n">
        <v>98</v>
      </c>
      <c r="B221" t="inlineStr"/>
      <c r="C221" t="inlineStr">
        <is>
          <t>Ленинградская обл, Фёдоровское гп, Инженерная ул, 2</t>
        </is>
      </c>
      <c r="D221" t="n">
        <v>740</v>
      </c>
      <c r="E221" t="inlineStr"/>
      <c r="F221" t="inlineStr"/>
      <c r="G221" t="inlineStr">
        <is>
          <t>36 500 000</t>
        </is>
      </c>
      <c r="H221" t="inlineStr"/>
      <c r="I221" t="inlineStr">
        <is>
          <t>Нет у нас</t>
        </is>
      </c>
      <c r="J221" t="inlineStr"/>
      <c r="K221">
        <f>HYPERLINK("https://nordwestinvest.ru/real-estates/prodaza-sklad-740-m2-zu-22-sotki-s-arendatorom","ссылка")</f>
        <v/>
      </c>
      <c r="L221" t="inlineStr"/>
    </row>
    <row r="222">
      <c r="A222" t="n">
        <v>99</v>
      </c>
      <c r="B222" t="inlineStr"/>
      <c r="C222" t="inlineStr">
        <is>
          <t>Ленинградская обл, Производственная зона-1 тер, Политехническая ул, 13</t>
        </is>
      </c>
      <c r="D222" t="n">
        <v>1132</v>
      </c>
      <c r="E222" t="inlineStr"/>
      <c r="F222" t="inlineStr"/>
      <c r="G222" t="inlineStr">
        <is>
          <t>48 000 000</t>
        </is>
      </c>
      <c r="H222" t="inlineStr"/>
      <c r="I222" t="inlineStr">
        <is>
          <t>Нет у нас</t>
        </is>
      </c>
      <c r="J222" t="inlineStr"/>
      <c r="K222">
        <f>HYPERLINK("https://nordwestinvest.ru/real-estates/prodaza-teplogo-skladskogo-pomeshheniia","ссылка")</f>
        <v/>
      </c>
      <c r="L222" t="inlineStr"/>
    </row>
    <row r="223">
      <c r="A223" t="n">
        <v>100</v>
      </c>
      <c r="B223" t="inlineStr"/>
      <c r="C223" t="inlineStr">
        <is>
          <t>Санкт-Петербург г, Новочеркасский пр-кт, 29/10 А</t>
        </is>
      </c>
      <c r="D223" t="n">
        <v>540</v>
      </c>
      <c r="E223" t="inlineStr"/>
      <c r="F223" t="inlineStr"/>
      <c r="G223" t="inlineStr">
        <is>
          <t>42 000 000</t>
        </is>
      </c>
      <c r="H223" t="inlineStr"/>
      <c r="I223" t="inlineStr">
        <is>
          <t>Нет у нас</t>
        </is>
      </c>
      <c r="J223" t="inlineStr"/>
      <c r="K223">
        <f>HYPERLINK("https://nordwestinvest.ru/real-estates/prodaza-540-m2-na-1-linii-2","ссылка")</f>
        <v/>
      </c>
      <c r="L223" t="inlineStr"/>
    </row>
    <row r="224">
      <c r="A224" t="n">
        <v>101</v>
      </c>
      <c r="B224" t="inlineStr"/>
      <c r="C224" t="inlineStr">
        <is>
          <t>Санкт-Петербург г, Революции ш, 69 А</t>
        </is>
      </c>
      <c r="D224" t="n">
        <v>210</v>
      </c>
      <c r="E224" t="inlineStr"/>
      <c r="F224" t="inlineStr"/>
      <c r="G224" t="inlineStr">
        <is>
          <t>31 500 000</t>
        </is>
      </c>
      <c r="H224" t="inlineStr"/>
      <c r="I224" t="inlineStr">
        <is>
          <t>Нет у нас</t>
        </is>
      </c>
      <c r="J224" t="inlineStr"/>
      <c r="K224">
        <f>HYPERLINK("https://nordwestinvest.ru/real-estates/prodaza-210-m2-s-arendatorom","ссылка")</f>
        <v/>
      </c>
      <c r="L224" t="inlineStr"/>
    </row>
    <row r="225">
      <c r="A225" t="n">
        <v>103</v>
      </c>
      <c r="B225" t="inlineStr"/>
      <c r="C225" t="inlineStr">
        <is>
          <t>Санкт-Петербург г, Большой П.С. пр-кт, 31 А</t>
        </is>
      </c>
      <c r="D225" t="n">
        <v>200</v>
      </c>
      <c r="E225" t="inlineStr"/>
      <c r="F225" t="inlineStr"/>
      <c r="G225" t="inlineStr">
        <is>
          <t>34 500 000</t>
        </is>
      </c>
      <c r="H225" t="inlineStr"/>
      <c r="I225" t="inlineStr">
        <is>
          <t>Нет у нас</t>
        </is>
      </c>
      <c r="J225" t="inlineStr"/>
      <c r="K225">
        <f>HYPERLINK("https://nordwestinvest.ru/real-estates/prodaza-200-m2-s-arendatorom-posle-remonta-1","ссылка")</f>
        <v/>
      </c>
      <c r="L225" t="inlineStr"/>
    </row>
    <row r="226">
      <c r="A226" t="n">
        <v>104</v>
      </c>
      <c r="B226" t="inlineStr"/>
      <c r="C226" t="inlineStr">
        <is>
          <t>Санкт-Петербург г, Революции ш, 69 А</t>
        </is>
      </c>
      <c r="D226" t="n">
        <v>256.6</v>
      </c>
      <c r="E226" t="inlineStr"/>
      <c r="F226" t="inlineStr"/>
      <c r="G226" t="inlineStr">
        <is>
          <t>38 490 000</t>
        </is>
      </c>
      <c r="H226" t="inlineStr"/>
      <c r="I226" t="inlineStr">
        <is>
          <t>Нет у нас</t>
        </is>
      </c>
      <c r="J226" t="inlineStr"/>
      <c r="K226">
        <f>HYPERLINK("https://nordwestinvest.ru/real-estates/prodaza-256-m2-na-1-etaze-s-arendatorom","ссылка")</f>
        <v/>
      </c>
      <c r="L226" t="inlineStr"/>
    </row>
    <row r="227">
      <c r="A227" t="n">
        <v>105</v>
      </c>
      <c r="B227" t="inlineStr"/>
      <c r="C227" t="inlineStr">
        <is>
          <t>Санкт-Петербург г, Революции ш, 69 А</t>
        </is>
      </c>
      <c r="D227" t="n">
        <v>191</v>
      </c>
      <c r="E227" t="inlineStr"/>
      <c r="F227" t="inlineStr"/>
      <c r="G227" t="inlineStr">
        <is>
          <t>28 770 000</t>
        </is>
      </c>
      <c r="H227" t="inlineStr"/>
      <c r="I227" t="inlineStr">
        <is>
          <t>Нет у нас</t>
        </is>
      </c>
      <c r="J227" t="inlineStr"/>
      <c r="K227">
        <f>HYPERLINK("https://nordwestinvest.ru/real-estates/prodaza-191-m2-na-1-etaze-pod-torgovliu-1","ссылка")</f>
        <v/>
      </c>
      <c r="L227" t="inlineStr"/>
    </row>
    <row r="228">
      <c r="A228" t="n">
        <v>106</v>
      </c>
      <c r="B228" t="inlineStr"/>
      <c r="C228" t="inlineStr">
        <is>
          <t>Белоостров п, Новое ш, 45 К</t>
        </is>
      </c>
      <c r="D228" t="n">
        <v>1850</v>
      </c>
      <c r="E228" t="inlineStr"/>
      <c r="F228" t="inlineStr"/>
      <c r="G228" t="inlineStr">
        <is>
          <t>95 000 000</t>
        </is>
      </c>
      <c r="H228" t="inlineStr"/>
      <c r="I228" t="inlineStr">
        <is>
          <t>Нет у нас</t>
        </is>
      </c>
      <c r="J228" t="inlineStr"/>
      <c r="K228">
        <f>HYPERLINK("https://nordwestinvest.ru/real-estates/prodaz-osz-830-m2-s-zu-14200-m2-2","ссылка")</f>
        <v/>
      </c>
      <c r="L228" t="inlineStr"/>
    </row>
    <row r="229">
      <c r="A229" t="n">
        <v>107</v>
      </c>
      <c r="B229" t="inlineStr"/>
      <c r="C229" t="inlineStr">
        <is>
          <t>Ленинградская обл, Фёдоровское гп, 2-й Архитектурный проезд, уч 10</t>
        </is>
      </c>
      <c r="D229" t="n">
        <v>780</v>
      </c>
      <c r="E229" t="inlineStr"/>
      <c r="F229" t="inlineStr"/>
      <c r="G229" t="inlineStr">
        <is>
          <t>48 000 000</t>
        </is>
      </c>
      <c r="H229" t="inlineStr"/>
      <c r="I229" t="inlineStr">
        <is>
          <t>Нет у нас</t>
        </is>
      </c>
      <c r="J229" t="inlineStr"/>
      <c r="K229">
        <f>HYPERLINK("https://nordwestinvest.ru/real-estates/prodaza-skladskogo-zdaniia-pgt-fedorovskoe-2","ссылка")</f>
        <v/>
      </c>
      <c r="L229" t="inlineStr"/>
    </row>
    <row r="230">
      <c r="A230" t="n">
        <v>110</v>
      </c>
      <c r="B230" t="inlineStr"/>
      <c r="C230" t="inlineStr">
        <is>
          <t>Ленинградская обл, Всеволожск г, Колтушское ш, 44к1</t>
        </is>
      </c>
      <c r="D230" t="n">
        <v>176</v>
      </c>
      <c r="E230" t="inlineStr"/>
      <c r="F230" t="inlineStr"/>
      <c r="G230" t="inlineStr">
        <is>
          <t>80 000 000</t>
        </is>
      </c>
      <c r="H230" t="inlineStr"/>
      <c r="I230" t="inlineStr">
        <is>
          <t>Нет у нас</t>
        </is>
      </c>
      <c r="J230" t="inlineStr"/>
      <c r="K230">
        <f>HYPERLINK("https://nordwestinvest.ru/real-estates/prodaza-pomeshheniia-s-medicinskim-centrom","ссылка")</f>
        <v/>
      </c>
      <c r="L230" t="inlineStr"/>
    </row>
    <row r="231">
      <c r="A231" t="n">
        <v>111</v>
      </c>
      <c r="B231" t="inlineStr"/>
      <c r="C231" t="inlineStr">
        <is>
          <t>Ленинградская обл, Всеволожск г, Колтушское ш, 44к1</t>
        </is>
      </c>
      <c r="D231" t="n">
        <v>266</v>
      </c>
      <c r="E231" t="inlineStr"/>
      <c r="F231" t="inlineStr"/>
      <c r="G231" t="inlineStr">
        <is>
          <t>90 000 000</t>
        </is>
      </c>
      <c r="H231" t="inlineStr"/>
      <c r="I231" t="inlineStr">
        <is>
          <t>Нет у нас</t>
        </is>
      </c>
      <c r="J231" t="inlineStr"/>
      <c r="K231">
        <f>HYPERLINK("https://nordwestinvest.ru/real-estates/prodaza-susi-bara-i-med-centra-okupaemost-6-let-1","ссылка")</f>
        <v/>
      </c>
      <c r="L231" t="inlineStr"/>
    </row>
    <row r="232">
      <c r="A232" t="n">
        <v>112</v>
      </c>
      <c r="B232" t="inlineStr"/>
      <c r="C232" t="inlineStr">
        <is>
          <t>Ленинградская обл, Сланцы г, Свердлова ул, 1/8</t>
        </is>
      </c>
      <c r="D232" t="n">
        <v>586</v>
      </c>
      <c r="E232" t="inlineStr"/>
      <c r="F232" t="inlineStr"/>
      <c r="G232" t="inlineStr">
        <is>
          <t>20 000 000</t>
        </is>
      </c>
      <c r="H232" t="inlineStr"/>
      <c r="I232" t="inlineStr">
        <is>
          <t>Нет у нас</t>
        </is>
      </c>
      <c r="J232" t="inlineStr"/>
      <c r="K232">
        <f>HYPERLINK("https://nordwestinvest.ru/real-estates/prodaza-pomeshheniia-ves-etaz-v-slancax-2","ссылка")</f>
        <v/>
      </c>
      <c r="L232" t="inlineStr"/>
    </row>
    <row r="233">
      <c r="A233" t="n">
        <v>114</v>
      </c>
      <c r="B233" t="inlineStr"/>
      <c r="C233" t="inlineStr">
        <is>
          <t>Шушары п, Старорусский пр-кт, 6 А</t>
        </is>
      </c>
      <c r="D233" t="n">
        <v>169.2</v>
      </c>
      <c r="E233" t="inlineStr"/>
      <c r="F233" t="inlineStr"/>
      <c r="G233" t="inlineStr">
        <is>
          <t>32 000 000</t>
        </is>
      </c>
      <c r="H233" t="inlineStr"/>
      <c r="I233" t="inlineStr">
        <is>
          <t>Нет у нас</t>
        </is>
      </c>
      <c r="J233" t="inlineStr"/>
      <c r="K233">
        <f>HYPERLINK("https://nordwestinvest.ru/real-estates/prodaza-pomeshheniia-svobodnogo-naznaceniia-170-kvm","ссылка")</f>
        <v/>
      </c>
      <c r="L233" t="inlineStr"/>
    </row>
    <row r="234">
      <c r="A234" t="n">
        <v>115</v>
      </c>
      <c r="B234" t="inlineStr"/>
      <c r="C234" t="inlineStr">
        <is>
          <t>Санкт-Петербург г, Пейзажная ул, 28к1стр1</t>
        </is>
      </c>
      <c r="D234" t="n">
        <v>5636.2</v>
      </c>
      <c r="E234" t="inlineStr"/>
      <c r="F234" t="inlineStr"/>
      <c r="G234" t="inlineStr">
        <is>
          <t>290 000 000</t>
        </is>
      </c>
      <c r="H234" t="inlineStr"/>
      <c r="I234" t="inlineStr">
        <is>
          <t>Нет у нас</t>
        </is>
      </c>
      <c r="J234" t="inlineStr"/>
      <c r="K234">
        <f>HYPERLINK("https://nordwestinvest.ru/real-estates/prodaza-parkinga-na-peizaznoi-1","ссылка")</f>
        <v/>
      </c>
      <c r="L234" t="inlineStr"/>
    </row>
    <row r="235">
      <c r="A235" t="n">
        <v>116</v>
      </c>
      <c r="B235" t="inlineStr"/>
      <c r="C235" t="inlineStr">
        <is>
          <t>Санкт-Петербург г, Чудновского ул, 6к4б</t>
        </is>
      </c>
      <c r="D235" t="n">
        <v>1360</v>
      </c>
      <c r="E235" t="inlineStr"/>
      <c r="F235" t="inlineStr"/>
      <c r="G235" t="inlineStr">
        <is>
          <t>220 000 000</t>
        </is>
      </c>
      <c r="H235" t="inlineStr"/>
      <c r="I235" t="inlineStr">
        <is>
          <t>Нет у нас</t>
        </is>
      </c>
      <c r="J235" t="inlineStr"/>
      <c r="K235">
        <f>HYPERLINK("https://nordwestinvest.ru/real-estates/zdanie-s-arendatorami-magnit-i-ozon-fres","ссылка")</f>
        <v/>
      </c>
      <c r="L235" t="inlineStr"/>
    </row>
    <row r="236">
      <c r="A236" t="n">
        <v>117</v>
      </c>
      <c r="B236" t="inlineStr"/>
      <c r="C236" t="inlineStr">
        <is>
          <t>Санкт-Петербург г, Фёдора Котанова ул, 5к1стр1</t>
        </is>
      </c>
      <c r="D236" t="n">
        <v>204.8</v>
      </c>
      <c r="E236" t="inlineStr"/>
      <c r="F236" t="inlineStr"/>
      <c r="G236" t="inlineStr">
        <is>
          <t>92 160 000</t>
        </is>
      </c>
      <c r="H236" t="inlineStr"/>
      <c r="I236" t="inlineStr">
        <is>
          <t>Нет у нас</t>
        </is>
      </c>
      <c r="J236" t="inlineStr"/>
      <c r="K236">
        <f>HYPERLINK("https://nordwestinvest.ru/real-estates/prodaza-pomeshheniia-s-nds-2048m2-1","ссылка")</f>
        <v/>
      </c>
      <c r="L236" t="inlineStr"/>
    </row>
    <row r="237">
      <c r="A237" t="n">
        <v>120</v>
      </c>
      <c r="B237" t="inlineStr"/>
      <c r="C237" t="inlineStr">
        <is>
          <t>Санкт-Петербург г, Фёдора Котанова ул, 5к1стр1</t>
        </is>
      </c>
      <c r="D237" t="n">
        <v>91.5</v>
      </c>
      <c r="E237" t="inlineStr"/>
      <c r="F237" t="inlineStr"/>
      <c r="G237" t="inlineStr">
        <is>
          <t>43 000 000</t>
        </is>
      </c>
      <c r="H237" t="inlineStr"/>
      <c r="I237" t="inlineStr">
        <is>
          <t>Нет у нас</t>
        </is>
      </c>
      <c r="J237" t="inlineStr"/>
      <c r="K237">
        <f>HYPERLINK("https://nordwestinvest.ru/real-estates/prodaza-s-nds-s-arendatorom-vb-915-m2","ссылка")</f>
        <v/>
      </c>
      <c r="L237" t="inlineStr"/>
    </row>
    <row r="238">
      <c r="A238" t="n">
        <v>121</v>
      </c>
      <c r="B238" t="inlineStr"/>
      <c r="C238" t="inlineStr">
        <is>
          <t>Ленинградская обл, Сертолово рп, Съезд с пешеходным переходом, 4</t>
        </is>
      </c>
      <c r="D238" t="n">
        <v>706</v>
      </c>
      <c r="E238" t="inlineStr"/>
      <c r="F238" t="inlineStr"/>
      <c r="G238" t="inlineStr">
        <is>
          <t>40 000 000</t>
        </is>
      </c>
      <c r="H238" t="inlineStr"/>
      <c r="I238" t="inlineStr">
        <is>
          <t>Нет у нас</t>
        </is>
      </c>
      <c r="J238" t="inlineStr"/>
      <c r="K238">
        <f>HYPERLINK("https://nordwestinvest.ru/real-estates/prodaza-zdaniia-s-arendatorami-i-zemuc","ссылка")</f>
        <v/>
      </c>
      <c r="L238" t="inlineStr"/>
    </row>
    <row r="239">
      <c r="A239" t="n">
        <v>122</v>
      </c>
      <c r="B239" t="inlineStr"/>
      <c r="C239" t="inlineStr">
        <is>
          <t>Санкт-Петербург г, Бабушкина ул, 1</t>
        </is>
      </c>
      <c r="D239" t="n">
        <v>6900</v>
      </c>
      <c r="E239" t="inlineStr"/>
      <c r="F239" t="inlineStr"/>
      <c r="G239" t="inlineStr">
        <is>
          <t>300 000 000</t>
        </is>
      </c>
      <c r="H239" t="inlineStr"/>
      <c r="I239" t="inlineStr">
        <is>
          <t>Нет у нас</t>
        </is>
      </c>
      <c r="J239" t="inlineStr"/>
      <c r="K239">
        <f>HYPERLINK("https://nordwestinvest.ru/real-estates/prodaza-osz-6900-m2-1","ссылка")</f>
        <v/>
      </c>
      <c r="L239" t="inlineStr"/>
    </row>
    <row r="240">
      <c r="A240" t="n">
        <v>125</v>
      </c>
      <c r="B240" t="inlineStr"/>
      <c r="C240" t="inlineStr">
        <is>
          <t>Шушары п, Старорусский пр-кт, 6 А</t>
        </is>
      </c>
      <c r="D240" t="n">
        <v>169.2</v>
      </c>
      <c r="E240" t="inlineStr"/>
      <c r="F240" t="inlineStr"/>
      <c r="G240" t="inlineStr">
        <is>
          <t>32 000 000</t>
        </is>
      </c>
      <c r="H240" t="inlineStr"/>
      <c r="I240" t="inlineStr">
        <is>
          <t>Нет у нас</t>
        </is>
      </c>
      <c r="J240" t="inlineStr"/>
      <c r="K240">
        <f>HYPERLINK("https://nordwestinvest.ru/real-estates/prodaza-pomeshheniia-svobodnogo-naznaceniia-170-kvm-3","ссылка")</f>
        <v/>
      </c>
      <c r="L240" t="inlineStr"/>
    </row>
    <row r="241">
      <c r="A241" t="n">
        <v>127</v>
      </c>
      <c r="B241" t="inlineStr"/>
      <c r="C241" t="inlineStr">
        <is>
          <t>Санкт-Петербург г, Фёдора Котанова ул, 5к1стр1</t>
        </is>
      </c>
      <c r="D241" t="n">
        <v>108.7</v>
      </c>
      <c r="E241" t="inlineStr"/>
      <c r="F241" t="inlineStr"/>
      <c r="G241" t="inlineStr">
        <is>
          <t>53 000 000</t>
        </is>
      </c>
      <c r="H241" t="inlineStr"/>
      <c r="I241" t="inlineStr">
        <is>
          <t>Нет у нас</t>
        </is>
      </c>
      <c r="J241" t="inlineStr"/>
      <c r="K241">
        <f>HYPERLINK("https://nordwestinvest.ru/real-estates/prodaza-s-nds-s-arendatorom-vkusvill-1087m2","ссылка")</f>
        <v/>
      </c>
      <c r="L241" t="inlineStr"/>
    </row>
    <row r="242">
      <c r="A242" t="n">
        <v>128</v>
      </c>
      <c r="B242" t="inlineStr"/>
      <c r="C242" t="inlineStr">
        <is>
          <t>Санкт-Петербург г, Гражданский пр-кт, 9 А</t>
        </is>
      </c>
      <c r="D242" t="n">
        <v>234</v>
      </c>
      <c r="E242" t="inlineStr"/>
      <c r="F242" t="inlineStr"/>
      <c r="G242" t="inlineStr">
        <is>
          <t>65 000 000</t>
        </is>
      </c>
      <c r="H242" t="inlineStr"/>
      <c r="I242" t="inlineStr">
        <is>
          <t>Нет у нас</t>
        </is>
      </c>
      <c r="J242" t="inlineStr"/>
      <c r="K242">
        <f>HYPERLINK("https://nordwestinvest.ru/real-estates/prodaza-s-arendatorami-234-kvm-4","ссылка")</f>
        <v/>
      </c>
      <c r="L242" t="inlineStr"/>
    </row>
    <row r="243">
      <c r="A243" t="n">
        <v>129</v>
      </c>
      <c r="B243" t="inlineStr"/>
      <c r="C243" t="inlineStr">
        <is>
          <t>Санкт-Петербург г, Рентгена ул, 25стр1</t>
        </is>
      </c>
      <c r="D243" t="n">
        <v>326.8</v>
      </c>
      <c r="E243" t="inlineStr"/>
      <c r="F243" t="inlineStr"/>
      <c r="G243" t="inlineStr">
        <is>
          <t>104 000 000</t>
        </is>
      </c>
      <c r="H243" t="inlineStr"/>
      <c r="I243" t="inlineStr">
        <is>
          <t>Нет у нас</t>
        </is>
      </c>
      <c r="J243" t="inlineStr"/>
      <c r="K243">
        <f>HYPERLINK("https://nordwestinvest.ru/real-estates/prodaza-pomeshheniia-v-elitnom-zk-3268m2","ссылка")</f>
        <v/>
      </c>
      <c r="L243" t="inlineStr"/>
    </row>
    <row r="244">
      <c r="A244" t="n">
        <v>131</v>
      </c>
      <c r="B244" t="inlineStr"/>
      <c r="C244" t="inlineStr">
        <is>
          <t>Санкт-Петербург, Пулковское шоссе, 109к4</t>
        </is>
      </c>
      <c r="D244" t="n">
        <v>30.2</v>
      </c>
      <c r="E244" t="inlineStr"/>
      <c r="F244" t="inlineStr"/>
      <c r="G244" t="inlineStr">
        <is>
          <t>13 000 000</t>
        </is>
      </c>
      <c r="H244" t="inlineStr"/>
      <c r="I244" t="inlineStr">
        <is>
          <t>Нет у нас</t>
        </is>
      </c>
      <c r="J244" t="inlineStr"/>
      <c r="K244">
        <f>HYPERLINK("https://nordwestinvest.ru/real-estates/prodaza","ссылка")</f>
        <v/>
      </c>
      <c r="L244" t="inlineStr"/>
    </row>
    <row r="245">
      <c r="A245" t="n">
        <v>132</v>
      </c>
      <c r="B245" t="inlineStr"/>
      <c r="C245" t="inlineStr">
        <is>
          <t>Санкт-Петербург г, Петровская коса, 1к1 Р</t>
        </is>
      </c>
      <c r="D245" t="n">
        <v>411</v>
      </c>
      <c r="E245" t="inlineStr"/>
      <c r="F245" t="inlineStr"/>
      <c r="G245" t="inlineStr">
        <is>
          <t>112 894 000</t>
        </is>
      </c>
      <c r="H245" t="inlineStr"/>
      <c r="I245" t="inlineStr">
        <is>
          <t>Нет у нас</t>
        </is>
      </c>
      <c r="J245" t="inlineStr"/>
      <c r="K245">
        <f>HYPERLINK("https://nordwestinvest.ru/real-estates/prodaza-ofisnogo-bloka-411-m2petrovskii-ostrov","ссылка")</f>
        <v/>
      </c>
      <c r="L245" t="inlineStr"/>
    </row>
    <row r="246">
      <c r="A246" t="n">
        <v>134</v>
      </c>
      <c r="B246" t="inlineStr"/>
      <c r="C246" t="inlineStr">
        <is>
          <t>Ленинградская обл, Елизаветино п, Гатчинское ш, 15</t>
        </is>
      </c>
      <c r="D246" t="n">
        <v>2000</v>
      </c>
      <c r="E246" t="inlineStr"/>
      <c r="F246" t="inlineStr"/>
      <c r="G246" t="inlineStr">
        <is>
          <t>17 000 000</t>
        </is>
      </c>
      <c r="H246" t="inlineStr"/>
      <c r="I246" t="inlineStr">
        <is>
          <t>Нет у нас</t>
        </is>
      </c>
      <c r="J246" t="inlineStr"/>
      <c r="K246">
        <f>HYPERLINK("https://nordwestinvest.ru/real-estates/prodaza-zu-pod-stroitelstvo-magazina-vernyi-1","ссылка")</f>
        <v/>
      </c>
      <c r="L246" t="inlineStr"/>
    </row>
    <row r="247">
      <c r="A247" t="n">
        <v>135</v>
      </c>
      <c r="B247" t="inlineStr"/>
      <c r="C247" t="inlineStr">
        <is>
          <t>Санкт-Петербург г, Пискарёвский пр-кт, 6стр1</t>
        </is>
      </c>
      <c r="D247" t="n">
        <v>1912</v>
      </c>
      <c r="E247" t="inlineStr"/>
      <c r="F247" t="inlineStr"/>
      <c r="G247" t="inlineStr">
        <is>
          <t>265 000 000</t>
        </is>
      </c>
      <c r="H247" t="inlineStr"/>
      <c r="I247" t="inlineStr">
        <is>
          <t>Нет у нас</t>
        </is>
      </c>
      <c r="J247" t="inlineStr"/>
      <c r="K247">
        <f>HYPERLINK("https://nordwestinvest.ru/real-estates/prodaza-zdaniia-okupaemost-8-let-2","ссылка")</f>
        <v/>
      </c>
      <c r="L247" t="inlineStr"/>
    </row>
    <row r="248">
      <c r="A248" t="n">
        <v>136</v>
      </c>
      <c r="B248" t="inlineStr"/>
      <c r="C248" t="inlineStr">
        <is>
          <t>Ленинградская обл, коттеджный посёлок Дольское, -, -</t>
        </is>
      </c>
      <c r="D248" t="n">
        <v>480</v>
      </c>
      <c r="E248" t="inlineStr"/>
      <c r="F248" t="inlineStr"/>
      <c r="G248" t="inlineStr">
        <is>
          <t>60 000 000</t>
        </is>
      </c>
      <c r="H248" t="inlineStr"/>
      <c r="I248" t="inlineStr">
        <is>
          <t>Нет у нас</t>
        </is>
      </c>
      <c r="J248" t="inlineStr"/>
      <c r="K248">
        <f>HYPERLINK("https://nordwestinvest.ru/real-estates/prodam-zagorodnye-doma-s-pliazem","ссылка")</f>
        <v/>
      </c>
      <c r="L248" t="inlineStr"/>
    </row>
    <row r="249">
      <c r="A249" t="n">
        <v>137</v>
      </c>
      <c r="B249" t="inlineStr"/>
      <c r="C249" t="inlineStr">
        <is>
          <t>Санкт-Петербург г, Демьяна Бедного ул, 18к1</t>
        </is>
      </c>
      <c r="D249" t="n">
        <v>790.2</v>
      </c>
      <c r="E249" t="inlineStr"/>
      <c r="F249" t="inlineStr"/>
      <c r="G249" t="inlineStr">
        <is>
          <t>86 922 000</t>
        </is>
      </c>
      <c r="H249" t="inlineStr"/>
      <c r="I249" t="inlineStr">
        <is>
          <t>Нет у нас</t>
        </is>
      </c>
      <c r="J249" t="inlineStr"/>
      <c r="K249">
        <f>HYPERLINK("https://nordwestinvest.ru/real-estates/prodaza-pomeshheniia-7902","ссылка")</f>
        <v/>
      </c>
      <c r="L249" t="inlineStr"/>
    </row>
    <row r="250">
      <c r="A250" t="n">
        <v>138</v>
      </c>
      <c r="B250" t="inlineStr"/>
      <c r="C250" t="inlineStr">
        <is>
          <t>Санкт-Петербург г, Демьяна Бедного ул, 18к1</t>
        </is>
      </c>
      <c r="D250" t="n">
        <v>1143</v>
      </c>
      <c r="E250" t="inlineStr"/>
      <c r="F250" t="inlineStr"/>
      <c r="G250" t="inlineStr">
        <is>
          <t>125 785 000</t>
        </is>
      </c>
      <c r="H250" t="inlineStr"/>
      <c r="I250" t="inlineStr">
        <is>
          <t>Нет у нас</t>
        </is>
      </c>
      <c r="J250" t="inlineStr"/>
      <c r="K250">
        <f>HYPERLINK("https://nordwestinvest.ru/real-estates/prodaza-pomeshheniia-2","ссылка")</f>
        <v/>
      </c>
      <c r="L250" t="inlineStr"/>
    </row>
    <row r="251">
      <c r="A251" t="n">
        <v>139</v>
      </c>
      <c r="B251" t="inlineStr"/>
      <c r="C251" t="inlineStr">
        <is>
          <t>Ленинградская обл, Аннолово д, Центральная ул, 32</t>
        </is>
      </c>
      <c r="D251" t="n">
        <v>22000</v>
      </c>
      <c r="E251" t="inlineStr"/>
      <c r="F251" t="inlineStr"/>
      <c r="G251" t="inlineStr">
        <is>
          <t>65 000 000</t>
        </is>
      </c>
      <c r="H251" t="inlineStr"/>
      <c r="I251" t="inlineStr">
        <is>
          <t>Нет у нас</t>
        </is>
      </c>
      <c r="J251" t="inlineStr"/>
      <c r="K251">
        <f>HYPERLINK("https://nordwestinvest.ru/real-estates/prodaza-zemelnogo-ucastka-s-3-skladami-22-ga-1","ссылка")</f>
        <v/>
      </c>
      <c r="L251" t="inlineStr"/>
    </row>
    <row r="252">
      <c r="A252" t="n">
        <v>140</v>
      </c>
      <c r="B252" t="inlineStr"/>
      <c r="C252" t="inlineStr">
        <is>
          <t>Ленинградская обл, Новоселье гп, Красносельское тер. ТСН, 18</t>
        </is>
      </c>
      <c r="D252" t="n">
        <v>6977.1</v>
      </c>
      <c r="E252" t="inlineStr"/>
      <c r="F252" t="inlineStr"/>
      <c r="G252" t="inlineStr">
        <is>
          <t>250 000 000</t>
        </is>
      </c>
      <c r="H252" t="inlineStr"/>
      <c r="I252" t="inlineStr">
        <is>
          <t>Нет у нас</t>
        </is>
      </c>
      <c r="J252" t="inlineStr"/>
      <c r="K252">
        <f>HYPERLINK("https://nordwestinvest.ru/real-estates/prodaza-avtostoianki-s-arendatorom-perekrestok-2","ссылка")</f>
        <v/>
      </c>
      <c r="L252" t="inlineStr"/>
    </row>
    <row r="253">
      <c r="A253" t="n">
        <v>142</v>
      </c>
      <c r="B253" t="inlineStr"/>
      <c r="C253" t="inlineStr">
        <is>
          <t>Ленинградская обл, Новоселье гп, Красносельское тер. ТСН, 18</t>
        </is>
      </c>
      <c r="D253" t="n">
        <v>6977.1</v>
      </c>
      <c r="E253" t="inlineStr"/>
      <c r="F253" t="inlineStr"/>
      <c r="G253" t="inlineStr">
        <is>
          <t>250 000 000</t>
        </is>
      </c>
      <c r="H253" t="inlineStr"/>
      <c r="I253" t="inlineStr">
        <is>
          <t>Нет у нас</t>
        </is>
      </c>
      <c r="J253" t="inlineStr"/>
      <c r="K253">
        <f>HYPERLINK("https://nordwestinvest.ru/real-estates/prodaza-avtostoianki-s-arendatorom-perekrestok","ссылка")</f>
        <v/>
      </c>
      <c r="L253" t="inlineStr"/>
    </row>
    <row r="254">
      <c r="A254" t="n">
        <v>143</v>
      </c>
      <c r="B254" t="inlineStr"/>
      <c r="C254" t="inlineStr">
        <is>
          <t>Санкт-Петербург г, Кораблестроителей ул, 33</t>
        </is>
      </c>
      <c r="D254" t="n">
        <v>939.8</v>
      </c>
      <c r="E254" t="inlineStr"/>
      <c r="F254" t="inlineStr"/>
      <c r="G254" t="inlineStr">
        <is>
          <t>150 000 000</t>
        </is>
      </c>
      <c r="H254" t="inlineStr"/>
      <c r="I254" t="inlineStr">
        <is>
          <t>Нет у нас</t>
        </is>
      </c>
      <c r="J254" t="inlineStr"/>
      <c r="K254">
        <f>HYPERLINK("https://nordwestinvest.ru/real-estates/prodaza-pomeshheniia","ссылка")</f>
        <v/>
      </c>
      <c r="L254" t="inlineStr"/>
    </row>
    <row r="255">
      <c r="A255" t="n">
        <v>144</v>
      </c>
      <c r="B255" t="inlineStr"/>
      <c r="C255" t="inlineStr">
        <is>
          <t>Карелия Респ, Вятиккя п, Приладожская ул, 3</t>
        </is>
      </c>
      <c r="D255" t="n">
        <v>35700</v>
      </c>
      <c r="E255" t="inlineStr"/>
      <c r="F255" t="inlineStr"/>
      <c r="G255" t="inlineStr">
        <is>
          <t>9 000 000</t>
        </is>
      </c>
      <c r="H255" t="inlineStr"/>
      <c r="I255" t="inlineStr">
        <is>
          <t>Нет у нас</t>
        </is>
      </c>
      <c r="J255" t="inlineStr"/>
      <c r="K255">
        <f>HYPERLINK("https://nordwestinvest.ru/real-estates/prodaza-zemelnogo-ucastka-357-ga-v-karelii","ссылка")</f>
        <v/>
      </c>
      <c r="L255" t="inlineStr"/>
    </row>
    <row r="256">
      <c r="A256" t="n">
        <v>146</v>
      </c>
      <c r="B256" t="inlineStr"/>
      <c r="C256" t="inlineStr">
        <is>
          <t>Шушары п, Старорусский пр-кт, 6 А</t>
        </is>
      </c>
      <c r="D256" t="n">
        <v>169.2</v>
      </c>
      <c r="E256" t="inlineStr"/>
      <c r="F256" t="inlineStr"/>
      <c r="G256" t="inlineStr">
        <is>
          <t>32 000 000</t>
        </is>
      </c>
      <c r="H256" t="inlineStr"/>
      <c r="I256" t="inlineStr">
        <is>
          <t>Нет у нас</t>
        </is>
      </c>
      <c r="J256" t="inlineStr"/>
      <c r="K256">
        <f>HYPERLINK("https://nordwestinvest.ru/real-estates/prodaza-pomeshheniia-svobodnogo-naznaceniia-170-kvm-2","ссылка")</f>
        <v/>
      </c>
      <c r="L256" t="inlineStr"/>
    </row>
    <row r="257">
      <c r="A257" t="n">
        <v>147</v>
      </c>
      <c r="B257" t="inlineStr"/>
      <c r="C257" t="inlineStr">
        <is>
          <t>Санкт-Петербург г, Энергетиков пр-кт, 2к1 стр 1</t>
        </is>
      </c>
      <c r="D257" t="n">
        <v>89</v>
      </c>
      <c r="E257" t="inlineStr"/>
      <c r="F257" t="inlineStr"/>
      <c r="G257" t="inlineStr">
        <is>
          <t>24 000 000</t>
        </is>
      </c>
      <c r="H257" t="inlineStr"/>
      <c r="I257" t="inlineStr">
        <is>
          <t>Нет у нас</t>
        </is>
      </c>
      <c r="J257" t="inlineStr"/>
      <c r="K257">
        <f>HYPERLINK("https://nordwestinvest.ru/real-estates/prodaza-pomeshheniia-s-panoramnymi-oknami-s-nds","ссылка")</f>
        <v/>
      </c>
      <c r="L257" t="inlineStr"/>
    </row>
    <row r="258">
      <c r="A258" t="n">
        <v>149</v>
      </c>
      <c r="B258" t="inlineStr"/>
      <c r="C258" t="inlineStr">
        <is>
          <t>Ленинградская обл, Большая Ивановка д, Песочная ул, 54</t>
        </is>
      </c>
      <c r="D258" t="n">
        <v>2048</v>
      </c>
      <c r="E258" t="inlineStr"/>
      <c r="F258" t="inlineStr"/>
      <c r="G258" t="inlineStr">
        <is>
          <t>20 000 000</t>
        </is>
      </c>
      <c r="H258" t="inlineStr"/>
      <c r="I258" t="inlineStr">
        <is>
          <t>Нет у нас</t>
        </is>
      </c>
      <c r="J258" t="inlineStr"/>
      <c r="K258">
        <f>HYPERLINK("https://nordwestinvest.ru/real-estates/prodaza-zu-s-proektom-stroitelstva-magnita","ссылка")</f>
        <v/>
      </c>
      <c r="L258" t="inlineStr"/>
    </row>
    <row r="259">
      <c r="A259" t="n">
        <v>151</v>
      </c>
      <c r="B259" t="inlineStr"/>
      <c r="C259" t="inlineStr">
        <is>
          <t>Ленинградская обл, Виллози гп, -, -</t>
        </is>
      </c>
      <c r="D259" t="n">
        <v>1500</v>
      </c>
      <c r="E259" t="inlineStr"/>
      <c r="F259" t="inlineStr"/>
      <c r="G259" t="inlineStr">
        <is>
          <t>127 500 000</t>
        </is>
      </c>
      <c r="H259" t="inlineStr"/>
      <c r="I259" t="inlineStr">
        <is>
          <t>Нет у нас</t>
        </is>
      </c>
      <c r="J259" t="inlineStr"/>
      <c r="K259">
        <f>HYPERLINK("https://nordwestinvest.ru/real-estates/prodaza-sklada-riadom-s-aeroportom-1500m2","ссылка")</f>
        <v/>
      </c>
      <c r="L259" t="inlineStr"/>
    </row>
    <row r="260">
      <c r="A260" t="n">
        <v>152</v>
      </c>
      <c r="B260" t="inlineStr"/>
      <c r="C260" t="inlineStr">
        <is>
          <t>Ленинградская обл, Шпаньково д, Коммунальная ул, 3а</t>
        </is>
      </c>
      <c r="D260" t="n">
        <v>2000</v>
      </c>
      <c r="E260" t="inlineStr"/>
      <c r="F260" t="inlineStr"/>
      <c r="G260" t="inlineStr">
        <is>
          <t>17 000 000</t>
        </is>
      </c>
      <c r="H260" t="inlineStr"/>
      <c r="I260" t="inlineStr">
        <is>
          <t>Нет у нас</t>
        </is>
      </c>
      <c r="J260" t="inlineStr"/>
      <c r="K260">
        <f>HYPERLINK("https://nordwestinvest.ru/real-estates/prodaza-zu-pod-stroitelstvo-magazina-vernyi","ссылка")</f>
        <v/>
      </c>
      <c r="L260" t="inlineStr"/>
    </row>
    <row r="261">
      <c r="A261" t="n">
        <v>153</v>
      </c>
      <c r="B261" t="inlineStr"/>
      <c r="C261" t="inlineStr">
        <is>
          <t>Ленинградская обл, Тихвинка д, Солнечная ул, 27</t>
        </is>
      </c>
      <c r="D261" t="n">
        <v>2048</v>
      </c>
      <c r="E261" t="inlineStr"/>
      <c r="F261" t="inlineStr"/>
      <c r="G261" t="inlineStr">
        <is>
          <t>21 400 000</t>
        </is>
      </c>
      <c r="H261" t="inlineStr"/>
      <c r="I261" t="inlineStr">
        <is>
          <t>Нет у нас</t>
        </is>
      </c>
      <c r="J261" t="inlineStr"/>
      <c r="K261">
        <f>HYPERLINK("https://nordwestinvest.ru/real-estates/prodaza-zu-pod-stroitelstvo-magazina-magnit","ссылка")</f>
        <v/>
      </c>
      <c r="L261" t="inlineStr"/>
    </row>
    <row r="262">
      <c r="A262" t="n">
        <v>154</v>
      </c>
      <c r="B262" t="inlineStr"/>
      <c r="C262" t="inlineStr">
        <is>
          <t>Ленинградская обл, Нижние Осельки д, -, -</t>
        </is>
      </c>
      <c r="D262" t="n">
        <v>176750</v>
      </c>
      <c r="E262" t="inlineStr"/>
      <c r="F262" t="inlineStr"/>
      <c r="G262" t="inlineStr">
        <is>
          <t>159 075 000</t>
        </is>
      </c>
      <c r="H262" t="inlineStr"/>
      <c r="I262" t="inlineStr">
        <is>
          <t>Нет у нас</t>
        </is>
      </c>
      <c r="J262" t="inlineStr"/>
      <c r="K262">
        <f>HYPERLINK("https://nordwestinvest.ru/real-estates/prodaza-zu-pod-ziloi-poselok","ссылка")</f>
        <v/>
      </c>
      <c r="L262" t="inlineStr"/>
    </row>
    <row r="263">
      <c r="A263" t="n">
        <v>155</v>
      </c>
      <c r="B263" t="inlineStr"/>
      <c r="C263" t="inlineStr">
        <is>
          <t>Санкт-Петербург г, Индустриальный пр-кт, 76</t>
        </is>
      </c>
      <c r="D263" t="n">
        <v>420</v>
      </c>
      <c r="E263" t="inlineStr"/>
      <c r="F263" t="inlineStr"/>
      <c r="G263" t="inlineStr">
        <is>
          <t>88 200 000</t>
        </is>
      </c>
      <c r="H263" t="inlineStr"/>
      <c r="I263" t="inlineStr">
        <is>
          <t>Нет у нас</t>
        </is>
      </c>
      <c r="J263" t="inlineStr"/>
      <c r="K263">
        <f>HYPERLINK("https://nordwestinvest.ru/real-estates/prodaza-sovremennogo-skladskogo-bloka-420-m2","ссылка")</f>
        <v/>
      </c>
      <c r="L263" t="inlineStr"/>
    </row>
    <row r="264">
      <c r="A264" t="n">
        <v>156</v>
      </c>
      <c r="B264" t="inlineStr"/>
      <c r="C264" t="inlineStr">
        <is>
          <t>Санкт-Петербург г, Индустриальный пр-кт, 76</t>
        </is>
      </c>
      <c r="D264" t="n">
        <v>840</v>
      </c>
      <c r="E264" t="inlineStr"/>
      <c r="F264" t="inlineStr"/>
      <c r="G264" t="inlineStr">
        <is>
          <t>176 400 000</t>
        </is>
      </c>
      <c r="H264" t="inlineStr"/>
      <c r="I264" t="inlineStr">
        <is>
          <t>Нет у нас</t>
        </is>
      </c>
      <c r="J264" t="inlineStr"/>
      <c r="K264">
        <f>HYPERLINK("https://nordwestinvest.ru/real-estates/prodaza-sovremennogo-skladskogo-bloka-840-m2","ссылка")</f>
        <v/>
      </c>
      <c r="L264" t="inlineStr"/>
    </row>
    <row r="265">
      <c r="A265" t="n">
        <v>157</v>
      </c>
      <c r="B265" t="inlineStr"/>
      <c r="C265" t="inlineStr">
        <is>
          <t>Ленинградская обл, Аннино п, Садовая ул, -</t>
        </is>
      </c>
      <c r="D265" t="n">
        <v>2160</v>
      </c>
      <c r="E265" t="inlineStr"/>
      <c r="F265" t="inlineStr"/>
      <c r="G265" t="inlineStr">
        <is>
          <t>150 000 000</t>
        </is>
      </c>
      <c r="H265" t="inlineStr"/>
      <c r="I265" t="inlineStr">
        <is>
          <t>Нет у нас</t>
        </is>
      </c>
      <c r="J265" t="inlineStr"/>
      <c r="K265">
        <f>HYPERLINK("https://nordwestinvest.ru/real-estates/prodaza-dvux-skladov-s-zu-05-ga-v-anino-1","ссылка")</f>
        <v/>
      </c>
      <c r="L265" t="inlineStr"/>
    </row>
    <row r="266">
      <c r="A266" t="n">
        <v>158</v>
      </c>
      <c r="B266" t="inlineStr"/>
      <c r="C266" t="inlineStr">
        <is>
          <t>Ленинградская обл, Аннино п, Садовая ул, -</t>
        </is>
      </c>
      <c r="D266" t="n">
        <v>1080</v>
      </c>
      <c r="E266" t="inlineStr"/>
      <c r="F266" t="inlineStr"/>
      <c r="G266" t="inlineStr">
        <is>
          <t>80 000 000</t>
        </is>
      </c>
      <c r="H266" t="inlineStr"/>
      <c r="I266" t="inlineStr">
        <is>
          <t>Нет у нас</t>
        </is>
      </c>
      <c r="J266" t="inlineStr"/>
      <c r="K266">
        <f>HYPERLINK("https://nordwestinvest.ru/real-estates/prodaza-sklada-s-zu-025-ga-v-anino-1","ссылка")</f>
        <v/>
      </c>
      <c r="L266" t="inlineStr"/>
    </row>
    <row r="267">
      <c r="A267" t="n">
        <v>159</v>
      </c>
      <c r="B267" t="inlineStr"/>
      <c r="C267" t="inlineStr">
        <is>
          <t>Санкт-Петербург, проспект Будённого, 17</t>
        </is>
      </c>
      <c r="D267" t="n">
        <v>22</v>
      </c>
      <c r="E267" t="inlineStr"/>
      <c r="F267" t="inlineStr"/>
      <c r="G267" t="inlineStr">
        <is>
          <t>20 500 000</t>
        </is>
      </c>
      <c r="H267" t="inlineStr"/>
      <c r="I267" t="inlineStr">
        <is>
          <t>Нет у нас</t>
        </is>
      </c>
      <c r="J267" t="inlineStr"/>
      <c r="K267">
        <f>HYPERLINK("https://nordwestinvest.ru/real-estates/prodaza-pomeshheniia-s-arendatorom-bilain","ссылка")</f>
        <v/>
      </c>
      <c r="L267" t="inlineStr"/>
    </row>
    <row r="268">
      <c r="A268" t="n">
        <v>160</v>
      </c>
      <c r="B268" t="inlineStr"/>
      <c r="C268" t="inlineStr">
        <is>
          <t>Санкт-Петербург г, Обводного канала наб, 118а Х</t>
        </is>
      </c>
      <c r="D268" t="n">
        <v>7200</v>
      </c>
      <c r="E268" t="inlineStr"/>
      <c r="F268" t="inlineStr"/>
      <c r="G268" t="inlineStr">
        <is>
          <t>750 000 000</t>
        </is>
      </c>
      <c r="H268" t="inlineStr"/>
      <c r="I268" t="inlineStr">
        <is>
          <t>Нет у нас</t>
        </is>
      </c>
      <c r="J268" t="inlineStr"/>
      <c r="K268">
        <f>HYPERLINK("https://nordwestinvest.ru/real-estates/prodaza-bc-s-arendatorami-2","ссылка")</f>
        <v/>
      </c>
      <c r="L268" t="inlineStr"/>
    </row>
    <row r="269">
      <c r="A269" t="n">
        <v>161</v>
      </c>
      <c r="B269" t="inlineStr"/>
      <c r="C269" t="inlineStr">
        <is>
          <t>Санкт-Петербург г, Дунайский пр-кт, 27к2</t>
        </is>
      </c>
      <c r="D269" t="n">
        <v>2105</v>
      </c>
      <c r="E269" t="inlineStr"/>
      <c r="F269" t="inlineStr"/>
      <c r="G269" t="inlineStr">
        <is>
          <t>130 000 000</t>
        </is>
      </c>
      <c r="H269" t="inlineStr"/>
      <c r="I269" t="inlineStr">
        <is>
          <t>Нет у нас</t>
        </is>
      </c>
      <c r="J269" t="inlineStr"/>
      <c r="K269">
        <f>HYPERLINK("https://nordwestinvest.ru/real-estates/prodaza-zemelnogo-ucastka-211-sot-1","ссылка")</f>
        <v/>
      </c>
      <c r="L269" t="inlineStr"/>
    </row>
    <row r="270">
      <c r="A270" t="n">
        <v>162</v>
      </c>
      <c r="B270" t="inlineStr"/>
      <c r="C270" t="inlineStr">
        <is>
          <t>Санкт-Петербург г, Прилукская ул, 35 А</t>
        </is>
      </c>
      <c r="D270" t="n">
        <v>97.90000000000001</v>
      </c>
      <c r="E270" t="inlineStr"/>
      <c r="F270" t="inlineStr"/>
      <c r="G270" t="inlineStr">
        <is>
          <t>16 000 000</t>
        </is>
      </c>
      <c r="H270" t="inlineStr"/>
      <c r="I270" t="inlineStr">
        <is>
          <t>Нет у нас</t>
        </is>
      </c>
      <c r="J270" t="inlineStr"/>
      <c r="K270">
        <f>HYPERLINK("https://nordwestinvest.ru/real-estates/prodaza-gab-wildberries-srocnaia-prodaza-979m2","ссылка")</f>
        <v/>
      </c>
      <c r="L270" t="inlineStr"/>
    </row>
    <row r="271">
      <c r="A271" t="n">
        <v>163</v>
      </c>
      <c r="B271" t="inlineStr"/>
      <c r="C271" t="inlineStr">
        <is>
          <t>Ленинградская обл, Верхние Осельки д, Ленинградская ул, 17</t>
        </is>
      </c>
      <c r="D271" t="n">
        <v>1310</v>
      </c>
      <c r="E271" t="inlineStr"/>
      <c r="F271" t="inlineStr"/>
      <c r="G271" t="inlineStr">
        <is>
          <t>7 750 000</t>
        </is>
      </c>
      <c r="H271" t="inlineStr"/>
      <c r="I271" t="inlineStr">
        <is>
          <t>Нет у нас</t>
        </is>
      </c>
      <c r="J271" t="inlineStr"/>
      <c r="K271">
        <f>HYPERLINK("https://nordwestinvest.ru/real-estates/prodaza-ucastka-pod-stroitelstvo","ссылка")</f>
        <v/>
      </c>
      <c r="L271" t="inlineStr"/>
    </row>
    <row r="272">
      <c r="A272" t="n">
        <v>164</v>
      </c>
      <c r="B272" t="inlineStr"/>
      <c r="C272" t="inlineStr">
        <is>
          <t>Санкт-Петербург г, Макарова наб, 16/2</t>
        </is>
      </c>
      <c r="D272" t="n">
        <v>394.9</v>
      </c>
      <c r="E272" t="inlineStr"/>
      <c r="F272" t="inlineStr"/>
      <c r="G272" t="inlineStr">
        <is>
          <t>190 000 000</t>
        </is>
      </c>
      <c r="H272" t="inlineStr"/>
      <c r="I272" t="inlineStr">
        <is>
          <t>Нет у нас</t>
        </is>
      </c>
      <c r="J272" t="inlineStr"/>
      <c r="K272">
        <f>HYPERLINK("https://nordwestinvest.ru/real-estates/vidovoe-pomeshhenie-3949-m2-v-dome-iakovlevyx-1","ссылка")</f>
        <v/>
      </c>
      <c r="L272" t="inlineStr"/>
    </row>
    <row r="273">
      <c r="A273" t="n">
        <v>166</v>
      </c>
      <c r="B273" t="inlineStr"/>
      <c r="C273" t="inlineStr">
        <is>
          <t>Ленинградская обл, Новое Девяткино д, Главная ул, 54</t>
        </is>
      </c>
      <c r="D273" t="n">
        <v>700</v>
      </c>
      <c r="E273" t="inlineStr"/>
      <c r="F273" t="inlineStr"/>
      <c r="G273" t="inlineStr">
        <is>
          <t>18 000 000</t>
        </is>
      </c>
      <c r="H273" t="inlineStr"/>
      <c r="I273" t="inlineStr">
        <is>
          <t>Нет у нас</t>
        </is>
      </c>
      <c r="J273" t="inlineStr"/>
      <c r="K273">
        <f>HYPERLINK("https://nordwestinvest.ru/real-estates/prodaza-v-novoe-deviatkino","ссылка")</f>
        <v/>
      </c>
      <c r="L273" t="inlineStr"/>
    </row>
    <row r="274">
      <c r="A274" t="n">
        <v>167</v>
      </c>
      <c r="B274" t="inlineStr"/>
      <c r="C274" t="inlineStr">
        <is>
          <t>г Санкт-Петербург, 1-я Никитинская ул, 16</t>
        </is>
      </c>
      <c r="D274" t="n">
        <v>4999</v>
      </c>
      <c r="E274" t="inlineStr"/>
      <c r="F274" t="inlineStr"/>
      <c r="G274" t="inlineStr">
        <is>
          <t>840 000 000</t>
        </is>
      </c>
      <c r="H274" t="inlineStr"/>
      <c r="I274" t="inlineStr">
        <is>
          <t>Нет у нас</t>
        </is>
      </c>
      <c r="J274" t="inlineStr"/>
      <c r="K274">
        <f>HYPERLINK("https://nordwestinvest.ru/real-estates/prodaza-zdaniia-svobodnogo-naznaceniia-4999-m2-3","ссылка")</f>
        <v/>
      </c>
      <c r="L274" t="inlineStr"/>
    </row>
    <row r="275">
      <c r="A275" t="n">
        <v>170</v>
      </c>
      <c r="B275" t="inlineStr"/>
      <c r="C275" t="inlineStr">
        <is>
          <t>Ленинградская обл, Аннино п, территория Промышленной зоны Пигелево, 9</t>
        </is>
      </c>
      <c r="D275" t="n">
        <v>583.4</v>
      </c>
      <c r="E275" t="inlineStr"/>
      <c r="F275" t="inlineStr"/>
      <c r="G275" t="inlineStr">
        <is>
          <t>32 000 000</t>
        </is>
      </c>
      <c r="H275" t="inlineStr"/>
      <c r="I275" t="inlineStr">
        <is>
          <t>Нет у нас</t>
        </is>
      </c>
      <c r="J275" t="inlineStr"/>
      <c r="K275">
        <f>HYPERLINK("https://nordwestinvest.ru/real-estates/sklad-5834-m2-s-kommunikaciiami-8m-150-kvt-zu","ссылка")</f>
        <v/>
      </c>
      <c r="L275" t="inlineStr"/>
    </row>
    <row r="276">
      <c r="A276" t="n">
        <v>171</v>
      </c>
      <c r="B276" t="inlineStr"/>
      <c r="C276" t="inlineStr">
        <is>
          <t>Санкт-Петербург г, Зотовский пр-кт, 9</t>
        </is>
      </c>
      <c r="D276" t="n">
        <v>420</v>
      </c>
      <c r="E276" t="inlineStr"/>
      <c r="F276" t="inlineStr"/>
      <c r="G276" t="inlineStr">
        <is>
          <t>105 000 000</t>
        </is>
      </c>
      <c r="H276" t="inlineStr"/>
      <c r="I276" t="inlineStr">
        <is>
          <t>Нет у нас</t>
        </is>
      </c>
      <c r="J276" t="inlineStr"/>
      <c r="K276">
        <f>HYPERLINK("https://nordwestinvest.ru/real-estates/prodaza-sklada-420m2","ссылка")</f>
        <v/>
      </c>
      <c r="L276" t="inlineStr"/>
    </row>
    <row r="277">
      <c r="A277" t="n">
        <v>172</v>
      </c>
      <c r="B277" t="inlineStr"/>
      <c r="C277" t="inlineStr">
        <is>
          <t>Санкт-Петербург г, 2-я Советская ул, 10Б</t>
        </is>
      </c>
      <c r="D277" t="n">
        <v>157</v>
      </c>
      <c r="E277" t="inlineStr"/>
      <c r="F277" t="inlineStr"/>
      <c r="G277" t="inlineStr">
        <is>
          <t>49 000 000</t>
        </is>
      </c>
      <c r="H277" t="inlineStr"/>
      <c r="I277" t="inlineStr">
        <is>
          <t>Нет у нас</t>
        </is>
      </c>
      <c r="J277" t="inlineStr"/>
      <c r="K277">
        <f>HYPERLINK("https://nordwestinvest.ru/real-estates/centr-goroda-psn-liuboi-vid-deiatelnosti-147-m2","ссылка")</f>
        <v/>
      </c>
      <c r="L277" t="inlineStr"/>
    </row>
    <row r="278">
      <c r="A278" t="n">
        <v>176</v>
      </c>
      <c r="B278" t="inlineStr"/>
      <c r="C278" t="inlineStr">
        <is>
          <t>Санкт-Петербург г, Шафировский пр-кт, 28</t>
        </is>
      </c>
      <c r="D278" t="n">
        <v>520</v>
      </c>
      <c r="E278" t="inlineStr"/>
      <c r="F278" t="inlineStr"/>
      <c r="G278" t="inlineStr">
        <is>
          <t>15 500 000</t>
        </is>
      </c>
      <c r="H278" t="inlineStr"/>
      <c r="I278" t="inlineStr">
        <is>
          <t>Нет у нас</t>
        </is>
      </c>
      <c r="J278" t="inlineStr"/>
      <c r="K278">
        <f>HYPERLINK("https://nordwestinvest.ru/real-estates/prodaza-gotovogo-avtoservisnogo-biznesa-520-m2-1","ссылка")</f>
        <v/>
      </c>
      <c r="L278" t="inlineStr"/>
    </row>
    <row r="279">
      <c r="A279" t="n">
        <v>180</v>
      </c>
      <c r="B279" t="inlineStr"/>
      <c r="C279" t="inlineStr">
        <is>
          <t>Санкт-Петербург г, Стачек пр-кт, 81к2стр1</t>
        </is>
      </c>
      <c r="D279" t="n">
        <v>865</v>
      </c>
      <c r="E279" t="inlineStr"/>
      <c r="F279" t="inlineStr"/>
      <c r="G279" t="inlineStr">
        <is>
          <t>160 000 000</t>
        </is>
      </c>
      <c r="H279" t="inlineStr"/>
      <c r="I279" t="inlineStr">
        <is>
          <t>Нет у нас</t>
        </is>
      </c>
      <c r="J279" t="inlineStr"/>
      <c r="K279">
        <f>HYPERLINK("https://nordwestinvest.ru/real-estates/zdanie-s-arendatorami-okupaemost-9-let","ссылка")</f>
        <v/>
      </c>
      <c r="L279" t="inlineStr"/>
    </row>
    <row r="280">
      <c r="A280" t="n">
        <v>182</v>
      </c>
      <c r="B280" t="inlineStr"/>
      <c r="C280" t="inlineStr">
        <is>
          <t>Ленинградская обл, Всеволожск г, Плоткина ул, 16</t>
        </is>
      </c>
      <c r="D280" t="n">
        <v>31.2</v>
      </c>
      <c r="E280" t="inlineStr"/>
      <c r="F280" t="inlineStr"/>
      <c r="G280" t="inlineStr">
        <is>
          <t>6 200 000</t>
        </is>
      </c>
      <c r="H280" t="inlineStr"/>
      <c r="I280" t="inlineStr">
        <is>
          <t>Нет у нас</t>
        </is>
      </c>
      <c r="J280" t="inlineStr"/>
      <c r="K280">
        <f>HYPERLINK("https://nordwestinvest.ru/real-estates/pomeshhenie-v-osz-gustonaselennom-raione-312-m2","ссылка")</f>
        <v/>
      </c>
      <c r="L280" t="inlineStr"/>
    </row>
    <row r="281">
      <c r="A281" t="n">
        <v>185</v>
      </c>
      <c r="B281" t="inlineStr"/>
      <c r="C281" t="inlineStr">
        <is>
          <t>Ленинградская обл, Куровицы д, Вырицкий пр-кт, 165</t>
        </is>
      </c>
      <c r="D281" t="n">
        <v>818.7</v>
      </c>
      <c r="E281" t="inlineStr"/>
      <c r="F281" t="inlineStr"/>
      <c r="G281" t="inlineStr">
        <is>
          <t>100 000 000</t>
        </is>
      </c>
      <c r="H281" t="inlineStr"/>
      <c r="I281" t="inlineStr">
        <is>
          <t>Нет у нас</t>
        </is>
      </c>
      <c r="J281" t="inlineStr"/>
      <c r="K281">
        <f>HYPERLINK("https://nordwestinvest.ru/real-estates/prodaza-sklada-s-zu-d-kurovicy","ссылка")</f>
        <v/>
      </c>
      <c r="L281" t="inlineStr"/>
    </row>
    <row r="282">
      <c r="A282" t="n">
        <v>186</v>
      </c>
      <c r="B282" t="inlineStr"/>
      <c r="C282" t="inlineStr">
        <is>
          <t>Санкт-Петербург г, Веры Слуцкой ул, 46/2</t>
        </is>
      </c>
      <c r="D282" t="n">
        <v>1100</v>
      </c>
      <c r="E282" t="inlineStr"/>
      <c r="F282" t="inlineStr"/>
      <c r="G282" t="inlineStr">
        <is>
          <t>97 000 000</t>
        </is>
      </c>
      <c r="H282" t="inlineStr"/>
      <c r="I282" t="inlineStr">
        <is>
          <t>Нет у нас</t>
        </is>
      </c>
      <c r="J282" t="inlineStr"/>
      <c r="K282">
        <f>HYPERLINK("https://nordwestinvest.ru/real-estates/prodaza-zdaniia-1100-m2","ссылка")</f>
        <v/>
      </c>
      <c r="L282" t="inlineStr"/>
    </row>
    <row r="283">
      <c r="A283" t="n">
        <v>188</v>
      </c>
      <c r="B283" t="inlineStr"/>
      <c r="C283" t="inlineStr">
        <is>
          <t>Ленинградская обл, Корневские Гривки тер. ТСН, -, -</t>
        </is>
      </c>
      <c r="D283" t="n">
        <v>170172</v>
      </c>
      <c r="E283" t="inlineStr"/>
      <c r="F283" t="inlineStr"/>
      <c r="G283" t="inlineStr">
        <is>
          <t>165 000 000</t>
        </is>
      </c>
      <c r="H283" t="inlineStr"/>
      <c r="I283" t="inlineStr">
        <is>
          <t>Нет у нас</t>
        </is>
      </c>
      <c r="J283" t="inlineStr"/>
      <c r="K283">
        <f>HYPERLINK("https://nordwestinvest.ru/real-estates/prodaza-zu-tsn-kornevskie-grivki-17-ga","ссылка")</f>
        <v/>
      </c>
      <c r="L283" t="inlineStr"/>
    </row>
    <row r="284">
      <c r="A284" t="n">
        <v>189</v>
      </c>
      <c r="B284" t="inlineStr"/>
      <c r="C284" t="inlineStr">
        <is>
          <t>Санкт-Петербург г, Дачный пр-кт, 11 А</t>
        </is>
      </c>
      <c r="D284" t="n">
        <v>165</v>
      </c>
      <c r="E284" t="inlineStr"/>
      <c r="F284" t="inlineStr"/>
      <c r="G284" t="inlineStr">
        <is>
          <t>33 000 000</t>
        </is>
      </c>
      <c r="H284" t="inlineStr"/>
      <c r="I284" t="inlineStr">
        <is>
          <t>Нет у нас</t>
        </is>
      </c>
      <c r="J284" t="inlineStr"/>
      <c r="K284">
        <f>HYPERLINK("https://nordwestinvest.ru/real-estates/prodaza-v-zilom-massive-s-arendatorami","ссылка")</f>
        <v/>
      </c>
      <c r="L284" t="inlineStr"/>
    </row>
    <row r="285">
      <c r="A285" t="n">
        <v>190</v>
      </c>
      <c r="B285" t="inlineStr"/>
      <c r="C285" t="inlineStr">
        <is>
          <t>Ленинградская обл, Аннино п, Садовая ул, 52к2</t>
        </is>
      </c>
      <c r="D285" t="n">
        <v>950</v>
      </c>
      <c r="E285" t="inlineStr"/>
      <c r="F285" t="inlineStr"/>
      <c r="G285" t="inlineStr">
        <is>
          <t>68 000 000</t>
        </is>
      </c>
      <c r="H285" t="inlineStr"/>
      <c r="I285" t="inlineStr">
        <is>
          <t>Нет у нас</t>
        </is>
      </c>
      <c r="J285" t="inlineStr"/>
      <c r="K285">
        <f>HYPERLINK("https://nordwestinvest.ru/real-estates/sklad-950-m2-s-kpan-balkoi-32-tzu","ссылка")</f>
        <v/>
      </c>
      <c r="L285" t="inlineStr"/>
    </row>
    <row r="286">
      <c r="A286" t="n">
        <v>191</v>
      </c>
      <c r="B286" t="inlineStr"/>
      <c r="C286" t="inlineStr">
        <is>
          <t>Санкт-Петербург г, Ленина пр-кт, 58</t>
        </is>
      </c>
      <c r="D286" t="n">
        <v>555</v>
      </c>
      <c r="E286" t="inlineStr"/>
      <c r="F286" t="inlineStr"/>
      <c r="G286" t="inlineStr">
        <is>
          <t>75 000 000</t>
        </is>
      </c>
      <c r="H286" t="inlineStr"/>
      <c r="I286" t="inlineStr">
        <is>
          <t>Нет у нас</t>
        </is>
      </c>
      <c r="J286" t="inlineStr"/>
      <c r="K286">
        <f>HYPERLINK("https://nordwestinvest.ru/real-estates/prodaza-gab-s-magnitomzu","ссылка")</f>
        <v/>
      </c>
      <c r="L286" t="inlineStr"/>
    </row>
    <row r="287">
      <c r="A287" t="n">
        <v>192</v>
      </c>
      <c r="B287" t="inlineStr"/>
      <c r="C287" t="inlineStr">
        <is>
          <t>Ленинградская обл, деревня Заостровье, улица Труда, 14</t>
        </is>
      </c>
      <c r="D287" t="n">
        <v>555</v>
      </c>
      <c r="E287" t="inlineStr"/>
      <c r="F287" t="inlineStr"/>
      <c r="G287" t="inlineStr">
        <is>
          <t>75 000 000</t>
        </is>
      </c>
      <c r="H287" t="inlineStr"/>
      <c r="I287" t="inlineStr">
        <is>
          <t>Нет у нас</t>
        </is>
      </c>
      <c r="J287" t="inlineStr"/>
      <c r="K287">
        <f>HYPERLINK("https://nordwestinvest.ru/real-estates/prodaza-gab-s-magnitomzu-1","ссылка")</f>
        <v/>
      </c>
      <c r="L287" t="inlineStr"/>
    </row>
    <row r="288">
      <c r="A288" t="n">
        <v>195</v>
      </c>
      <c r="B288" t="inlineStr"/>
      <c r="C288" t="inlineStr">
        <is>
          <t>Ленинградская обл, Выборг г, Ленина пр-кт, 10</t>
        </is>
      </c>
      <c r="D288" t="n">
        <v>478</v>
      </c>
      <c r="E288" t="inlineStr"/>
      <c r="F288" t="inlineStr"/>
      <c r="G288" t="inlineStr">
        <is>
          <t>47 000 000</t>
        </is>
      </c>
      <c r="H288" t="inlineStr"/>
      <c r="I288" t="inlineStr">
        <is>
          <t>Нет у нас</t>
        </is>
      </c>
      <c r="J288" t="inlineStr"/>
      <c r="K288">
        <f>HYPERLINK("https://nordwestinvest.ru/real-estates/investproekt-pod-apartamenty-v-centre-vyborga","ссылка")</f>
        <v/>
      </c>
      <c r="L288" t="inlineStr"/>
    </row>
    <row r="289">
      <c r="A289" t="n">
        <v>196</v>
      </c>
      <c r="B289" t="inlineStr"/>
      <c r="C289" t="inlineStr">
        <is>
          <t>Ленинградская обл, Луга г, Свободы ул, 14</t>
        </is>
      </c>
      <c r="D289" t="n">
        <v>412</v>
      </c>
      <c r="E289" t="inlineStr"/>
      <c r="F289" t="inlineStr"/>
      <c r="G289" t="inlineStr">
        <is>
          <t>36 000 000</t>
        </is>
      </c>
      <c r="H289" t="inlineStr"/>
      <c r="I289" t="inlineStr">
        <is>
          <t>Нет у нас</t>
        </is>
      </c>
      <c r="J289" t="inlineStr"/>
      <c r="K289">
        <f>HYPERLINK("https://nordwestinvest.ru/real-estates/investicionnyi-proekt-monetkazu-412-kvm-1","ссылка")</f>
        <v/>
      </c>
      <c r="L289" t="inlineStr"/>
    </row>
    <row r="290">
      <c r="A290" t="n">
        <v>197</v>
      </c>
      <c r="B290" t="inlineStr"/>
      <c r="C290" t="inlineStr">
        <is>
          <t>Ленинградская обл, Производственно-административная зона Порзолово тер, -, -</t>
        </is>
      </c>
      <c r="D290" t="n">
        <v>6230</v>
      </c>
      <c r="E290" t="inlineStr"/>
      <c r="F290" t="inlineStr"/>
      <c r="G290" t="inlineStr">
        <is>
          <t>15 575 000</t>
        </is>
      </c>
      <c r="H290" t="inlineStr"/>
      <c r="I290" t="inlineStr">
        <is>
          <t>Нет у нас</t>
        </is>
      </c>
      <c r="J290" t="inlineStr"/>
      <c r="K290">
        <f>HYPERLINK("https://nordwestinvest.ru/real-estates/prodaza-ucastka-prom-naznaceniia-porzolovo-1","ссылка")</f>
        <v/>
      </c>
      <c r="L290" t="inlineStr"/>
    </row>
    <row r="291">
      <c r="A291" t="n">
        <v>198</v>
      </c>
      <c r="B291" t="inlineStr"/>
      <c r="C291" t="inlineStr">
        <is>
          <t>Ленинградская обл, Производственно-административная зона Порзолово тер, -, -</t>
        </is>
      </c>
      <c r="D291" t="n">
        <v>6000</v>
      </c>
      <c r="E291" t="inlineStr"/>
      <c r="F291" t="inlineStr"/>
      <c r="G291" t="inlineStr">
        <is>
          <t>24 000 000</t>
        </is>
      </c>
      <c r="H291" t="inlineStr"/>
      <c r="I291" t="inlineStr">
        <is>
          <t>Нет у нас</t>
        </is>
      </c>
      <c r="J291" t="inlineStr"/>
      <c r="K291">
        <f>HYPERLINK("https://nordwestinvest.ru/real-estates/prodaza-ucastka-prom-naznaceniia-porzolovo-60-sot-1","ссылка")</f>
        <v/>
      </c>
      <c r="L291" t="inlineStr"/>
    </row>
    <row r="292">
      <c r="A292" t="n">
        <v>199</v>
      </c>
      <c r="B292" t="inlineStr"/>
      <c r="C292" t="inlineStr">
        <is>
          <t>Ленинградская обл, Производственно-административная зона Порзолово тер, -, -</t>
        </is>
      </c>
      <c r="D292" t="n">
        <v>8967</v>
      </c>
      <c r="E292" t="inlineStr"/>
      <c r="F292" t="inlineStr"/>
      <c r="G292" t="inlineStr">
        <is>
          <t>31 384 500</t>
        </is>
      </c>
      <c r="H292" t="inlineStr"/>
      <c r="I292" t="inlineStr">
        <is>
          <t>Нет у нас</t>
        </is>
      </c>
      <c r="J292" t="inlineStr"/>
      <c r="K292">
        <f>HYPERLINK("https://nordwestinvest.ru/real-estates/prodaza-ucastka-prom-naznaceniia-porzolovo-89-sotok","ссылка")</f>
        <v/>
      </c>
      <c r="L292" t="inlineStr"/>
    </row>
    <row r="293">
      <c r="A293" t="n">
        <v>200</v>
      </c>
      <c r="B293" t="inlineStr"/>
      <c r="C293" t="inlineStr">
        <is>
          <t>Ленинградская обл, Всеволожск г, Дорога Жизни ш, 12</t>
        </is>
      </c>
      <c r="D293" t="n">
        <v>8250</v>
      </c>
      <c r="E293" t="inlineStr"/>
      <c r="F293" t="inlineStr"/>
      <c r="G293" t="inlineStr">
        <is>
          <t>200 000 000</t>
        </is>
      </c>
      <c r="H293" t="inlineStr"/>
      <c r="I293" t="inlineStr">
        <is>
          <t>Нет у нас</t>
        </is>
      </c>
      <c r="J293" t="inlineStr"/>
      <c r="K293">
        <f>HYPERLINK("https://nordwestinvest.ru/real-estates/prodaza-ucastka-pod-stroitelstvo-tk","ссылка")</f>
        <v/>
      </c>
      <c r="L293" t="inlineStr"/>
    </row>
    <row r="294">
      <c r="A294" t="n">
        <v>201</v>
      </c>
      <c r="B294" t="inlineStr"/>
      <c r="C294" t="inlineStr">
        <is>
          <t>Ленинградская обл, Коваши д, -, -</t>
        </is>
      </c>
      <c r="D294" t="n">
        <v>69000</v>
      </c>
      <c r="E294" t="inlineStr"/>
      <c r="F294" t="inlineStr"/>
      <c r="G294" t="inlineStr">
        <is>
          <t>250 000 000</t>
        </is>
      </c>
      <c r="H294" t="inlineStr"/>
      <c r="I294" t="inlineStr">
        <is>
          <t>Нет у нас</t>
        </is>
      </c>
      <c r="J294" t="inlineStr"/>
      <c r="K294">
        <f>HYPERLINK("https://nordwestinvest.ru/real-estates/prodaza-zu-pod-zastroiku-taunxausov","ссылка")</f>
        <v/>
      </c>
      <c r="L294" t="inlineStr"/>
    </row>
    <row r="295">
      <c r="A295" t="n">
        <v>203</v>
      </c>
      <c r="B295" t="inlineStr"/>
      <c r="C295" t="inlineStr">
        <is>
          <t>Шушары п, Витебский пр-кт, -</t>
        </is>
      </c>
      <c r="D295" t="n">
        <v>20000</v>
      </c>
      <c r="E295" t="inlineStr"/>
      <c r="F295" t="inlineStr"/>
      <c r="G295" t="inlineStr">
        <is>
          <t>130 000 000</t>
        </is>
      </c>
      <c r="H295" t="inlineStr"/>
      <c r="I295" t="inlineStr">
        <is>
          <t>Нет у нас</t>
        </is>
      </c>
      <c r="J295" t="inlineStr"/>
      <c r="K295">
        <f>HYPERLINK("https://nordwestinvest.ru/real-estates/prodaza-ucastka-pod-kommerciiu-v-susarax","ссылка")</f>
        <v/>
      </c>
      <c r="L295" t="inlineStr"/>
    </row>
    <row r="296">
      <c r="A296" t="n">
        <v>204</v>
      </c>
      <c r="B296" t="inlineStr"/>
      <c r="C296" t="inlineStr">
        <is>
          <t>Санкт-Петербург г, Среднеохтинский пр-кт, 1к1</t>
        </is>
      </c>
      <c r="D296" t="n">
        <v>394.6</v>
      </c>
      <c r="E296" t="inlineStr"/>
      <c r="F296" t="inlineStr"/>
      <c r="G296" t="inlineStr">
        <is>
          <t>92 250 000</t>
        </is>
      </c>
      <c r="H296" t="inlineStr"/>
      <c r="I296" t="inlineStr">
        <is>
          <t>Нет у нас</t>
        </is>
      </c>
      <c r="J296" t="inlineStr"/>
      <c r="K296">
        <f>HYPERLINK("https://nordwestinvest.ru/real-estates/pomeshhenie-s-krupnymi-setevymi-arendatorami","ссылка")</f>
        <v/>
      </c>
      <c r="L296" t="inlineStr"/>
    </row>
    <row r="297">
      <c r="A297" t="n">
        <v>205</v>
      </c>
      <c r="B297" t="inlineStr"/>
      <c r="C297" t="inlineStr">
        <is>
          <t>Репино п, -, -</t>
        </is>
      </c>
      <c r="D297" t="n">
        <v>20000</v>
      </c>
      <c r="E297" t="inlineStr"/>
      <c r="F297" t="inlineStr"/>
      <c r="G297" t="inlineStr">
        <is>
          <t>155 000 000</t>
        </is>
      </c>
      <c r="H297" t="inlineStr"/>
      <c r="I297" t="inlineStr">
        <is>
          <t>Нет у нас</t>
        </is>
      </c>
      <c r="J297" t="inlineStr"/>
      <c r="K297">
        <f>HYPERLINK("https://nordwestinvest.ru/real-estates/prodaza-2-ga-lesa-v-repino","ссылка")</f>
        <v/>
      </c>
      <c r="L297" t="inlineStr"/>
    </row>
    <row r="298">
      <c r="A298" t="n">
        <v>207</v>
      </c>
      <c r="B298" t="inlineStr"/>
      <c r="C298" t="inlineStr">
        <is>
          <t>Ленинградская обл, Массив Скотное тер, -, -</t>
        </is>
      </c>
      <c r="D298" t="n">
        <v>12060</v>
      </c>
      <c r="E298" t="inlineStr"/>
      <c r="F298" t="inlineStr"/>
      <c r="G298" t="inlineStr">
        <is>
          <t>90 000 000</t>
        </is>
      </c>
      <c r="H298" t="inlineStr"/>
      <c r="I298" t="inlineStr">
        <is>
          <t>Нет у нас</t>
        </is>
      </c>
      <c r="J298" t="inlineStr"/>
      <c r="K298">
        <f>HYPERLINK("https://nordwestinvest.ru/real-estates/prodaza-dvux-ucastkov-pod-kommerciiu","ссылка")</f>
        <v/>
      </c>
      <c r="L298" t="inlineStr"/>
    </row>
    <row r="299">
      <c r="A299" t="n">
        <v>208</v>
      </c>
      <c r="B299" t="inlineStr"/>
      <c r="C299" t="inlineStr">
        <is>
          <t>Ленинградская обл, имени Морозова гп, Рабочего Батальона ул, 16к2</t>
        </is>
      </c>
      <c r="D299" t="n">
        <v>6800</v>
      </c>
      <c r="E299" t="inlineStr"/>
      <c r="F299" t="inlineStr"/>
      <c r="G299" t="inlineStr">
        <is>
          <t>150 000 000</t>
        </is>
      </c>
      <c r="H299" t="inlineStr"/>
      <c r="I299" t="inlineStr">
        <is>
          <t>Нет у нас</t>
        </is>
      </c>
      <c r="J299" t="inlineStr"/>
      <c r="K299">
        <f>HYPERLINK("https://nordwestinvest.ru/real-estates/prodaza-promyslennogo-zdaniia-zu","ссылка")</f>
        <v/>
      </c>
      <c r="L299" t="inlineStr"/>
    </row>
    <row r="300">
      <c r="A300" t="n">
        <v>209</v>
      </c>
      <c r="B300" t="inlineStr"/>
      <c r="C300" t="inlineStr">
        <is>
          <t>Санкт-Петербург г, Ветеранов пр-кт, 168 А</t>
        </is>
      </c>
      <c r="D300" t="n">
        <v>577</v>
      </c>
      <c r="E300" t="inlineStr"/>
      <c r="F300" t="inlineStr"/>
      <c r="G300" t="inlineStr">
        <is>
          <t>200 000 000</t>
        </is>
      </c>
      <c r="H300" t="inlineStr"/>
      <c r="I300" t="inlineStr">
        <is>
          <t>Нет у нас</t>
        </is>
      </c>
      <c r="J300" t="inlineStr"/>
      <c r="K300">
        <f>HYPERLINK("https://nordwestinvest.ru/real-estates/pomeshhenie-ploshhadiu-577-m2-s-arendatorami-2","ссылка")</f>
        <v/>
      </c>
      <c r="L300" t="inlineStr"/>
    </row>
    <row r="301">
      <c r="A301" t="n">
        <v>210</v>
      </c>
      <c r="B301" t="inlineStr"/>
      <c r="C301" t="inlineStr">
        <is>
          <t>Санкт-Петербург г, Тюшина ул, 9/7 А</t>
        </is>
      </c>
      <c r="D301" t="n">
        <v>3419</v>
      </c>
      <c r="E301" t="inlineStr"/>
      <c r="F301" t="inlineStr"/>
      <c r="G301" t="inlineStr">
        <is>
          <t>800 000 000</t>
        </is>
      </c>
      <c r="H301" t="inlineStr"/>
      <c r="I301" t="inlineStr">
        <is>
          <t>Нет у нас</t>
        </is>
      </c>
      <c r="J301" t="inlineStr"/>
      <c r="K301">
        <f>HYPERLINK("https://nordwestinvest.ru/real-estates/prodaza-zdaniia-vozle-ligovskogo-pr-kta","ссылка")</f>
        <v/>
      </c>
      <c r="L301" t="inlineStr"/>
    </row>
    <row r="302">
      <c r="A302" t="n">
        <v>211</v>
      </c>
      <c r="B302" t="inlineStr"/>
      <c r="C302" t="inlineStr">
        <is>
          <t>Ленинградская обл, Новогорелово п, Коммунаров ул, 191</t>
        </is>
      </c>
      <c r="D302" t="n">
        <v>1052</v>
      </c>
      <c r="E302" t="inlineStr"/>
      <c r="F302" t="inlineStr"/>
      <c r="G302" t="inlineStr">
        <is>
          <t>157 795 500</t>
        </is>
      </c>
      <c r="H302" t="inlineStr"/>
      <c r="I302" t="inlineStr">
        <is>
          <t>Нет у нас</t>
        </is>
      </c>
      <c r="J302" t="inlineStr"/>
      <c r="K302">
        <f>HYPERLINK("https://nordwestinvest.ru/real-estates/prodaza-parkinga-3","ссылка")</f>
        <v/>
      </c>
      <c r="L302" t="inlineStr"/>
    </row>
    <row r="303">
      <c r="A303" t="n">
        <v>213</v>
      </c>
      <c r="B303" t="inlineStr"/>
      <c r="C303" t="inlineStr">
        <is>
          <t>Ленинградская обл, Новоселье гп, Красносельское тер. ТСН, 18</t>
        </is>
      </c>
      <c r="D303" t="n">
        <v>6977.1</v>
      </c>
      <c r="E303" t="inlineStr"/>
      <c r="F303" t="inlineStr"/>
      <c r="G303" t="inlineStr">
        <is>
          <t>250 000 000</t>
        </is>
      </c>
      <c r="H303" t="inlineStr"/>
      <c r="I303" t="inlineStr">
        <is>
          <t>Нет у нас</t>
        </is>
      </c>
      <c r="J303" t="inlineStr"/>
      <c r="K303">
        <f>HYPERLINK("https://nordwestinvest.ru/real-estates/prodaza-avtostoianki-s-arendatorom-perekrestok-1","ссылка")</f>
        <v/>
      </c>
      <c r="L303" t="inlineStr"/>
    </row>
    <row r="304">
      <c r="A304" t="n">
        <v>215</v>
      </c>
      <c r="B304" t="inlineStr"/>
      <c r="C304" t="inlineStr">
        <is>
          <t>Санкт-Петербург г, Опочинина ул, 2</t>
        </is>
      </c>
      <c r="D304" t="n">
        <v>327.2</v>
      </c>
      <c r="E304" t="inlineStr"/>
      <c r="F304" t="inlineStr"/>
      <c r="G304" t="inlineStr">
        <is>
          <t>99 000 000</t>
        </is>
      </c>
      <c r="H304" t="inlineStr"/>
      <c r="I304" t="inlineStr">
        <is>
          <t>Нет у нас</t>
        </is>
      </c>
      <c r="J304" t="inlineStr"/>
      <c r="K304">
        <f>HYPERLINK("https://nordwestinvest.ru/real-estates/pomeshhenie-pod-restoran-v-novom-otele-1","ссылка")</f>
        <v/>
      </c>
      <c r="L304" t="inlineStr"/>
    </row>
    <row r="305">
      <c r="A305" t="n">
        <v>216</v>
      </c>
      <c r="B305" t="inlineStr"/>
      <c r="C305" t="inlineStr">
        <is>
          <t>Санкт-Петербург г, Обуховской Обороны пр-кт, 295 Б</t>
        </is>
      </c>
      <c r="D305" t="n">
        <v>10374.2</v>
      </c>
      <c r="E305" t="inlineStr"/>
      <c r="F305" t="inlineStr"/>
      <c r="G305" t="inlineStr">
        <is>
          <t>733 882 000</t>
        </is>
      </c>
      <c r="H305" t="inlineStr"/>
      <c r="I305" t="inlineStr">
        <is>
          <t>Нет у нас</t>
        </is>
      </c>
      <c r="J305" t="inlineStr"/>
      <c r="K305">
        <f>HYPERLINK("https://nordwestinvest.ru/real-estates/prodaza-imushhestvennogo-kompleksa-zdanii-s-zu","ссылка")</f>
        <v/>
      </c>
      <c r="L305" t="inlineStr"/>
    </row>
    <row r="306">
      <c r="A306" t="n">
        <v>217</v>
      </c>
      <c r="B306" t="inlineStr"/>
      <c r="C306" t="inlineStr">
        <is>
          <t>Санкт-Петербург г, Большевиков пр-кт, 54к1</t>
        </is>
      </c>
      <c r="D306" t="n">
        <v>5402</v>
      </c>
      <c r="E306" t="inlineStr"/>
      <c r="F306" t="inlineStr"/>
      <c r="G306" t="inlineStr">
        <is>
          <t>400 000 000</t>
        </is>
      </c>
      <c r="H306" t="inlineStr"/>
      <c r="I306" t="inlineStr">
        <is>
          <t>Нет у нас</t>
        </is>
      </c>
      <c r="J306" t="inlineStr"/>
      <c r="K306">
        <f>HYPERLINK("https://nordwestinvest.ru/real-estates/prodaza-gostinicy-belye-noci-v-nevskom-r-ne","ссылка")</f>
        <v/>
      </c>
      <c r="L306" t="inlineStr"/>
    </row>
    <row r="307">
      <c r="A307" t="n">
        <v>219</v>
      </c>
      <c r="B307" t="inlineStr"/>
      <c r="C307" t="inlineStr">
        <is>
          <t>Санкт-Петербург г, Рентгена ул, 25стр1</t>
        </is>
      </c>
      <c r="D307" t="n">
        <v>326</v>
      </c>
      <c r="E307" t="inlineStr"/>
      <c r="F307" t="inlineStr"/>
      <c r="G307" t="inlineStr">
        <is>
          <t>115 000 000</t>
        </is>
      </c>
      <c r="H307" t="inlineStr"/>
      <c r="I307" t="inlineStr">
        <is>
          <t>Нет у нас</t>
        </is>
      </c>
      <c r="J307" t="inlineStr"/>
      <c r="K307">
        <f>HYPERLINK("https://nordwestinvest.ru/real-estates/prodaza-ofisnogo-pomeshheniia-326-m2-1","ссылка")</f>
        <v/>
      </c>
      <c r="L307" t="inlineStr"/>
    </row>
    <row r="308">
      <c r="A308" t="n">
        <v>221</v>
      </c>
      <c r="B308" t="inlineStr"/>
      <c r="C308" t="inlineStr">
        <is>
          <t>Санкт-Петербург г, Петровская коса, 1к1 Р</t>
        </is>
      </c>
      <c r="D308" t="n">
        <v>444.5</v>
      </c>
      <c r="E308" t="inlineStr"/>
      <c r="F308" t="inlineStr"/>
      <c r="G308" t="inlineStr">
        <is>
          <t>133 350 000</t>
        </is>
      </c>
      <c r="H308" t="inlineStr"/>
      <c r="I308" t="inlineStr">
        <is>
          <t>Нет у нас</t>
        </is>
      </c>
      <c r="J308" t="inlineStr"/>
      <c r="K308">
        <f>HYPERLINK("https://nordwestinvest.ru/real-estates/prodaza-ofisnogo-bloka-4445-m2petrovskii-ostrov","ссылка")</f>
        <v/>
      </c>
      <c r="L308" t="inlineStr"/>
    </row>
    <row r="309">
      <c r="A309" t="n">
        <v>222</v>
      </c>
      <c r="B309" t="inlineStr"/>
      <c r="C309" t="inlineStr">
        <is>
          <t>Санкт-Петербург г, Гражданский пр-кт, 9 А</t>
        </is>
      </c>
      <c r="D309" t="n">
        <v>234</v>
      </c>
      <c r="E309" t="inlineStr"/>
      <c r="F309" t="inlineStr"/>
      <c r="G309" t="inlineStr">
        <is>
          <t>65 000 000</t>
        </is>
      </c>
      <c r="H309" t="inlineStr"/>
      <c r="I309" t="inlineStr">
        <is>
          <t>Нет у нас</t>
        </is>
      </c>
      <c r="J309" t="inlineStr"/>
      <c r="K309">
        <f>HYPERLINK("https://nordwestinvest.ru/real-estates/prodaza-s-arendatorami-234-kvm","ссылка")</f>
        <v/>
      </c>
      <c r="L309" t="inlineStr"/>
    </row>
    <row r="310">
      <c r="A310" t="n">
        <v>225</v>
      </c>
      <c r="B310" t="inlineStr"/>
      <c r="C310" t="inlineStr">
        <is>
          <t>Ленинградская обл, Мга гп, Железнодорожная ул, -</t>
        </is>
      </c>
      <c r="D310" t="n">
        <v>6000</v>
      </c>
      <c r="E310" t="inlineStr"/>
      <c r="F310" t="inlineStr"/>
      <c r="G310" t="inlineStr">
        <is>
          <t>15 000 000</t>
        </is>
      </c>
      <c r="H310" t="inlineStr"/>
      <c r="I310" t="inlineStr">
        <is>
          <t>Нет у нас</t>
        </is>
      </c>
      <c r="J310" t="inlineStr"/>
      <c r="K310">
        <f>HYPERLINK("https://nordwestinvest.ru/real-estates/prodaza-zu-s-torgovym-centrom-p-mga-kirovskii-r-n","ссылка")</f>
        <v/>
      </c>
      <c r="L310" t="inlineStr"/>
    </row>
    <row r="311">
      <c r="A311" t="n">
        <v>226</v>
      </c>
      <c r="B311" t="inlineStr"/>
      <c r="C311" t="inlineStr">
        <is>
          <t>Ленинградская обл, Первомайское п, Загородная ул, -</t>
        </is>
      </c>
      <c r="D311" t="n">
        <v>4865</v>
      </c>
      <c r="E311" t="inlineStr"/>
      <c r="F311" t="inlineStr"/>
      <c r="G311" t="inlineStr">
        <is>
          <t>15 000 000</t>
        </is>
      </c>
      <c r="H311" t="inlineStr"/>
      <c r="I311" t="inlineStr">
        <is>
          <t>Нет у нас</t>
        </is>
      </c>
      <c r="J311" t="inlineStr"/>
      <c r="K311">
        <f>HYPERLINK("https://nordwestinvest.ru/real-estates/prodaza-zemelnogo-ucastka-pod-magazin-1","ссылка")</f>
        <v/>
      </c>
      <c r="L311" t="inlineStr"/>
    </row>
    <row r="312">
      <c r="A312" t="n">
        <v>227</v>
      </c>
      <c r="B312" t="inlineStr"/>
      <c r="C312" t="inlineStr">
        <is>
          <t>Ленинградская обл, Первомайское п, Загородная ул, -</t>
        </is>
      </c>
      <c r="D312" t="n">
        <v>10049</v>
      </c>
      <c r="E312" t="inlineStr"/>
      <c r="F312" t="inlineStr"/>
      <c r="G312" t="inlineStr">
        <is>
          <t>25 000 000</t>
        </is>
      </c>
      <c r="H312" t="inlineStr"/>
      <c r="I312" t="inlineStr">
        <is>
          <t>Нет у нас</t>
        </is>
      </c>
      <c r="J312" t="inlineStr"/>
      <c r="K312">
        <f>HYPERLINK("https://nordwestinvest.ru/real-estates/prodaza-zemelnogo-ucastka-pod-magazin","ссылка")</f>
        <v/>
      </c>
      <c r="L312" t="inlineStr"/>
    </row>
    <row r="313">
      <c r="A313" t="n">
        <v>229</v>
      </c>
      <c r="B313" t="inlineStr"/>
      <c r="C313" t="inlineStr">
        <is>
          <t>Ленинградская обл, Новое Девяткино д, Школьная ул, -</t>
        </is>
      </c>
      <c r="D313" t="n">
        <v>1306</v>
      </c>
      <c r="E313" t="inlineStr"/>
      <c r="F313" t="inlineStr"/>
      <c r="G313" t="inlineStr">
        <is>
          <t>21 000 000</t>
        </is>
      </c>
      <c r="H313" t="inlineStr"/>
      <c r="I313" t="inlineStr">
        <is>
          <t>Нет у нас</t>
        </is>
      </c>
      <c r="J313" t="inlineStr"/>
      <c r="K313">
        <f>HYPERLINK("https://nordwestinvest.ru/real-estates/prodaza-zu-v-novoe-deviatkino-2","ссылка")</f>
        <v/>
      </c>
      <c r="L313" t="inlineStr"/>
    </row>
    <row r="314">
      <c r="A314" t="n">
        <v>230</v>
      </c>
      <c r="B314" t="inlineStr"/>
      <c r="C314" t="inlineStr">
        <is>
          <t>Ленинградская обл, Новоселье гп, Красносельское тер. ТСН, 18</t>
        </is>
      </c>
      <c r="D314" t="n">
        <v>1456.3</v>
      </c>
      <c r="E314" t="inlineStr"/>
      <c r="F314" t="inlineStr"/>
      <c r="G314" t="inlineStr">
        <is>
          <t>180 000 000</t>
        </is>
      </c>
      <c r="H314" t="inlineStr"/>
      <c r="I314" t="inlineStr">
        <is>
          <t>Нет у нас</t>
        </is>
      </c>
      <c r="J314" t="inlineStr"/>
      <c r="K314">
        <f>HYPERLINK("https://nordwestinvest.ru/real-estates/prodaza-pomeshheniia-s-arendatorom-perekrestok-1456-m-2","ссылка")</f>
        <v/>
      </c>
      <c r="L314" t="inlineStr"/>
    </row>
    <row r="315">
      <c r="A315" t="n">
        <v>231</v>
      </c>
      <c r="B315" t="inlineStr"/>
      <c r="C315" t="inlineStr">
        <is>
          <t>Ленинградская обл, Рябово п, Центральное ш, 17</t>
        </is>
      </c>
      <c r="D315" t="n">
        <v>486</v>
      </c>
      <c r="E315" t="inlineStr"/>
      <c r="F315" t="inlineStr"/>
      <c r="G315" t="inlineStr">
        <is>
          <t>60 000 000</t>
        </is>
      </c>
      <c r="H315" t="inlineStr"/>
      <c r="I315" t="inlineStr">
        <is>
          <t>Нет у нас</t>
        </is>
      </c>
      <c r="J315" t="inlineStr"/>
      <c r="K315">
        <f>HYPERLINK("https://nordwestinvest.ru/real-estates/prodaza-zdaniia-s-magnitom-p-riabovo","ссылка")</f>
        <v/>
      </c>
      <c r="L315" t="inlineStr"/>
    </row>
    <row r="316">
      <c r="A316" t="n">
        <v>232</v>
      </c>
      <c r="B316" t="inlineStr"/>
      <c r="C316" t="inlineStr">
        <is>
          <t>Ленинградская обл, Производственно-административная зона Порзолово тер, -, -</t>
        </is>
      </c>
      <c r="D316" t="n">
        <v>6000</v>
      </c>
      <c r="E316" t="inlineStr"/>
      <c r="F316" t="inlineStr"/>
      <c r="G316" t="inlineStr">
        <is>
          <t>24 000 000</t>
        </is>
      </c>
      <c r="H316" t="inlineStr"/>
      <c r="I316" t="inlineStr">
        <is>
          <t>Нет у нас</t>
        </is>
      </c>
      <c r="J316" t="inlineStr"/>
      <c r="K316">
        <f>HYPERLINK("https://nordwestinvest.ru/real-estates/prodaza-ucastka-prom-naznaceniia-porzolovo-60-sot","ссылка")</f>
        <v/>
      </c>
      <c r="L316" t="inlineStr"/>
    </row>
    <row r="317">
      <c r="A317" t="n">
        <v>233</v>
      </c>
      <c r="B317" t="inlineStr"/>
      <c r="C317" t="inlineStr">
        <is>
          <t>Ленинградская обл, Производственно-административная зона Порзолово тер, -, -</t>
        </is>
      </c>
      <c r="D317" t="n">
        <v>6641</v>
      </c>
      <c r="E317" t="inlineStr"/>
      <c r="F317" t="inlineStr"/>
      <c r="G317" t="inlineStr">
        <is>
          <t>26 564 000</t>
        </is>
      </c>
      <c r="H317" t="inlineStr"/>
      <c r="I317" t="inlineStr">
        <is>
          <t>Нет у нас</t>
        </is>
      </c>
      <c r="J317" t="inlineStr"/>
      <c r="K317">
        <f>HYPERLINK("https://nordwestinvest.ru/real-estates/prodaza-ucastka-prom-naznaceniia-porzolovo-66-sot","ссылка")</f>
        <v/>
      </c>
      <c r="L317" t="inlineStr"/>
    </row>
    <row r="318">
      <c r="A318" t="n">
        <v>234</v>
      </c>
      <c r="B318" t="inlineStr"/>
      <c r="C318" t="inlineStr">
        <is>
          <t>Ленинградская обл, Производственно-административная зона Порзолово тер, -, -</t>
        </is>
      </c>
      <c r="D318" t="n">
        <v>12641</v>
      </c>
      <c r="E318" t="inlineStr"/>
      <c r="F318" t="inlineStr"/>
      <c r="G318" t="inlineStr">
        <is>
          <t>50 000 000</t>
        </is>
      </c>
      <c r="H318" t="inlineStr"/>
      <c r="I318" t="inlineStr">
        <is>
          <t>Нет у нас</t>
        </is>
      </c>
      <c r="J318" t="inlineStr"/>
      <c r="K318">
        <f>HYPERLINK("https://nordwestinvest.ru/real-estates/prodaza-ucastka-prom-naznaceniia-porzolovo","ссылка")</f>
        <v/>
      </c>
      <c r="L318" t="inlineStr"/>
    </row>
    <row r="319">
      <c r="A319" t="n">
        <v>235</v>
      </c>
      <c r="B319" t="inlineStr"/>
      <c r="C319" t="inlineStr">
        <is>
          <t>Санкт-Петербург г, Ивана Зубкова ул, 12стр1</t>
        </is>
      </c>
      <c r="D319" t="n">
        <v>2720</v>
      </c>
      <c r="E319" t="inlineStr"/>
      <c r="F319" t="inlineStr"/>
      <c r="G319" t="inlineStr">
        <is>
          <t>290 000 000</t>
        </is>
      </c>
      <c r="H319" t="inlineStr"/>
      <c r="I319" t="inlineStr">
        <is>
          <t>Нет у нас</t>
        </is>
      </c>
      <c r="J319" t="inlineStr"/>
      <c r="K319">
        <f>HYPERLINK("https://nordwestinvest.ru/real-estates/prodaza-osz-u-metro-2720m2","ссылка")</f>
        <v/>
      </c>
      <c r="L319" t="inlineStr"/>
    </row>
    <row r="320">
      <c r="A320" t="n">
        <v>236</v>
      </c>
      <c r="B320" t="inlineStr"/>
      <c r="C320" t="inlineStr">
        <is>
          <t>Санкт-Петербург г, Правды ул, 12/12 А</t>
        </is>
      </c>
      <c r="D320" t="n">
        <v>267.8</v>
      </c>
      <c r="E320" t="inlineStr"/>
      <c r="F320" t="inlineStr"/>
      <c r="G320" t="inlineStr">
        <is>
          <t>98 000 000</t>
        </is>
      </c>
      <c r="H320" t="inlineStr"/>
      <c r="I320" t="inlineStr">
        <is>
          <t>Нет у нас</t>
        </is>
      </c>
      <c r="J320" t="inlineStr"/>
      <c r="K320">
        <f>HYPERLINK("https://nordwestinvest.ru/real-estates/prodaza-pomeshheniia-v-centre-smart-ofis-1","ссылка")</f>
        <v/>
      </c>
      <c r="L320" t="inlineStr"/>
    </row>
    <row r="321">
      <c r="A321" t="n">
        <v>237</v>
      </c>
      <c r="B321" t="inlineStr"/>
      <c r="C321" t="inlineStr">
        <is>
          <t>Ленинградская обл, Промышленно-деловая зона Рыжики тер, -, -</t>
        </is>
      </c>
      <c r="D321" t="n">
        <v>18704</v>
      </c>
      <c r="E321" t="inlineStr"/>
      <c r="F321" t="inlineStr"/>
      <c r="G321" t="inlineStr">
        <is>
          <t>110 000 000</t>
        </is>
      </c>
      <c r="H321" t="inlineStr"/>
      <c r="I321" t="inlineStr">
        <is>
          <t>Нет у нас</t>
        </is>
      </c>
      <c r="J321" t="inlineStr"/>
      <c r="K321">
        <f>HYPERLINK("https://nordwestinvest.ru/real-estates/prodaza-zemelnogo-ucastka-na-koltusskix-vysotax","ссылка")</f>
        <v/>
      </c>
      <c r="L321" t="inlineStr"/>
    </row>
    <row r="322">
      <c r="A322" t="n">
        <v>238</v>
      </c>
      <c r="B322" t="inlineStr"/>
      <c r="C322" t="inlineStr">
        <is>
          <t>Санкт-Петербург г, Пулковское ш, -</t>
        </is>
      </c>
      <c r="D322" t="n">
        <v>50000</v>
      </c>
      <c r="E322" t="inlineStr"/>
      <c r="F322" t="inlineStr"/>
      <c r="G322" t="inlineStr">
        <is>
          <t>500 000 000</t>
        </is>
      </c>
      <c r="H322" t="inlineStr"/>
      <c r="I322" t="inlineStr">
        <is>
          <t>Нет у нас</t>
        </is>
      </c>
      <c r="J322" t="inlineStr"/>
      <c r="K322">
        <f>HYPERLINK("https://nordwestinvest.ru/real-estates/prodaza-ucastka-pod-zastroiku","ссылка")</f>
        <v/>
      </c>
      <c r="L322" t="inlineStr"/>
    </row>
    <row r="323">
      <c r="A323" t="n">
        <v>239</v>
      </c>
      <c r="B323" t="inlineStr"/>
      <c r="C323" t="inlineStr">
        <is>
          <t>Ленинградская обл, Мистолово массив, -, -</t>
        </is>
      </c>
      <c r="D323" t="n">
        <v>13468</v>
      </c>
      <c r="E323" t="inlineStr"/>
      <c r="F323" t="inlineStr"/>
      <c r="G323" t="inlineStr">
        <is>
          <t>150 000 000</t>
        </is>
      </c>
      <c r="H323" t="inlineStr"/>
      <c r="I323" t="inlineStr">
        <is>
          <t>Нет у нас</t>
        </is>
      </c>
      <c r="J323" t="inlineStr"/>
      <c r="K323">
        <f>HYPERLINK("https://nordwestinvest.ru/real-estates/prodaza-zu-pod-trk-novopriozerskoe-s","ссылка")</f>
        <v/>
      </c>
      <c r="L323" t="inlineStr"/>
    </row>
    <row r="324">
      <c r="A324" t="n">
        <v>240</v>
      </c>
      <c r="B324" t="inlineStr"/>
      <c r="C324" t="inlineStr">
        <is>
          <t>Ленинградская обл, Колясово д, Новоприозерское шоссе, -</t>
        </is>
      </c>
      <c r="D324" t="n">
        <v>3070</v>
      </c>
      <c r="E324" t="inlineStr"/>
      <c r="F324" t="inlineStr"/>
      <c r="G324" t="inlineStr">
        <is>
          <t>45 000 000</t>
        </is>
      </c>
      <c r="H324" t="inlineStr"/>
      <c r="I324" t="inlineStr">
        <is>
          <t>Нет у нас</t>
        </is>
      </c>
      <c r="J324" t="inlineStr"/>
      <c r="K324">
        <f>HYPERLINK("https://nordwestinvest.ru/real-estates/prodaza-zemelnogo-ucastka-v-agalatovo","ссылка")</f>
        <v/>
      </c>
      <c r="L324" t="inlineStr"/>
    </row>
    <row r="325">
      <c r="A325" t="n">
        <v>241</v>
      </c>
      <c r="B325" t="inlineStr"/>
      <c r="C325" t="inlineStr">
        <is>
          <t>Ленинградская обл, Бугры г, -, -</t>
        </is>
      </c>
      <c r="D325" t="n">
        <v>1000</v>
      </c>
      <c r="E325" t="inlineStr"/>
      <c r="F325" t="inlineStr"/>
      <c r="G325" t="inlineStr">
        <is>
          <t>30 000 000</t>
        </is>
      </c>
      <c r="H325" t="inlineStr"/>
      <c r="I325" t="inlineStr">
        <is>
          <t>Нет у нас</t>
        </is>
      </c>
      <c r="J325" t="inlineStr"/>
      <c r="K325">
        <f>HYPERLINK("https://nordwestinvest.ru/real-estates/prodaza-zemelnogo-ucastka-v-bugrax-pod-magaziny","ссылка")</f>
        <v/>
      </c>
      <c r="L325" t="inlineStr"/>
    </row>
    <row r="326">
      <c r="A326" t="n">
        <v>244</v>
      </c>
      <c r="B326" t="inlineStr"/>
      <c r="C326" t="inlineStr">
        <is>
          <t>Ленинградская обл, Производственная зона-1 тер, Ресурсная ул, 16</t>
        </is>
      </c>
      <c r="D326" t="n">
        <v>1000</v>
      </c>
      <c r="E326" t="inlineStr"/>
      <c r="F326" t="inlineStr"/>
      <c r="G326" t="inlineStr">
        <is>
          <t>50 000 000</t>
        </is>
      </c>
      <c r="H326" t="inlineStr"/>
      <c r="I326" t="inlineStr">
        <is>
          <t>Нет у нас</t>
        </is>
      </c>
      <c r="J326" t="inlineStr"/>
      <c r="K326">
        <f>HYPERLINK("https://nordwestinvest.ru/real-estates/prodaza-novogo-teplogo-sklada-pgt-fedorovskoe","ссылка")</f>
        <v/>
      </c>
      <c r="L326" t="inlineStr"/>
    </row>
    <row r="327">
      <c r="A327" t="n">
        <v>245</v>
      </c>
      <c r="B327" t="inlineStr"/>
      <c r="C327" t="inlineStr">
        <is>
          <t>Ленинградская обл, Мурино г, Воронцовский б-р, -</t>
        </is>
      </c>
      <c r="D327" t="n">
        <v>10114</v>
      </c>
      <c r="E327" t="inlineStr"/>
      <c r="F327" t="inlineStr"/>
      <c r="G327" t="inlineStr">
        <is>
          <t>210 000 000</t>
        </is>
      </c>
      <c r="H327" t="inlineStr"/>
      <c r="I327" t="inlineStr">
        <is>
          <t>Нет у нас</t>
        </is>
      </c>
      <c r="J327" t="inlineStr"/>
      <c r="K327">
        <f>HYPERLINK("https://nordwestinvest.ru/real-estates/prodaza-1-ga-zu-pod-zastroiku-tc-magazina","ссылка")</f>
        <v/>
      </c>
      <c r="L327" t="inlineStr"/>
    </row>
    <row r="328">
      <c r="A328" t="n">
        <v>246</v>
      </c>
      <c r="B328" t="inlineStr"/>
      <c r="C328" t="inlineStr">
        <is>
          <t>Санкт-Петербург г, Художников пр-кт, 22к1</t>
        </is>
      </c>
      <c r="D328" t="n">
        <v>1638</v>
      </c>
      <c r="E328" t="inlineStr"/>
      <c r="F328" t="inlineStr"/>
      <c r="G328" t="inlineStr">
        <is>
          <t>45 000 000</t>
        </is>
      </c>
      <c r="H328" t="inlineStr"/>
      <c r="I328" t="inlineStr">
        <is>
          <t>Нет у нас</t>
        </is>
      </c>
      <c r="J328" t="inlineStr"/>
      <c r="K328">
        <f>HYPERLINK("https://nordwestinvest.ru/real-estates/osz-na-svoem-zu-s-soglasovannymi-arendatorami","ссылка")</f>
        <v/>
      </c>
      <c r="L328" t="inlineStr"/>
    </row>
    <row r="329">
      <c r="A329" t="n">
        <v>247</v>
      </c>
      <c r="B329" t="inlineStr"/>
      <c r="C329" t="inlineStr">
        <is>
          <t>Ленинградская обл, Фёдоровское гп, -, -</t>
        </is>
      </c>
      <c r="D329" t="n">
        <v>10000</v>
      </c>
      <c r="E329" t="inlineStr"/>
      <c r="F329" t="inlineStr"/>
      <c r="G329" t="inlineStr">
        <is>
          <t>29 000 000</t>
        </is>
      </c>
      <c r="H329" t="inlineStr"/>
      <c r="I329" t="inlineStr">
        <is>
          <t>Нет у нас</t>
        </is>
      </c>
      <c r="J329" t="inlineStr"/>
      <c r="K329">
        <f>HYPERLINK("https://nordwestinvest.ru/real-estates/prodaza-dvux-zemelnyx-ucastkov-po-05-ga","ссылка")</f>
        <v/>
      </c>
      <c r="L329" t="inlineStr"/>
    </row>
    <row r="330">
      <c r="A330" t="n">
        <v>248</v>
      </c>
      <c r="B330" t="inlineStr"/>
      <c r="C330" t="inlineStr">
        <is>
          <t>Ленинградская обл, Любань п, Мельникова пр-кт, 14</t>
        </is>
      </c>
      <c r="D330" t="n">
        <v>804.6</v>
      </c>
      <c r="E330" t="inlineStr"/>
      <c r="F330" t="inlineStr"/>
      <c r="G330" t="inlineStr">
        <is>
          <t>65 000 000</t>
        </is>
      </c>
      <c r="H330" t="inlineStr"/>
      <c r="I330" t="inlineStr">
        <is>
          <t>Нет у нас</t>
        </is>
      </c>
      <c r="J330" t="inlineStr"/>
      <c r="K330">
        <f>HYPERLINK("https://nordwestinvest.ru/real-estates/prodaza-zdaniia-zu-liuban","ссылка")</f>
        <v/>
      </c>
      <c r="L330" t="inlineStr"/>
    </row>
    <row r="331">
      <c r="A331" t="n">
        <v>250</v>
      </c>
      <c r="B331" t="inlineStr"/>
      <c r="C331" t="inlineStr">
        <is>
          <t>Ленинградская обл, Куйвози массив, -, -</t>
        </is>
      </c>
      <c r="D331" t="n">
        <v>1008</v>
      </c>
      <c r="E331" t="inlineStr"/>
      <c r="F331" t="inlineStr"/>
      <c r="G331" t="inlineStr">
        <is>
          <t>125 000 000</t>
        </is>
      </c>
      <c r="H331" t="inlineStr"/>
      <c r="I331" t="inlineStr">
        <is>
          <t>Нет у нас</t>
        </is>
      </c>
      <c r="J331" t="inlineStr"/>
      <c r="K331">
        <f>HYPERLINK("https://nordwestinvest.ru/real-estates/prodaza-zdaniia-s-arendatorami-i-zu-40-sotok","ссылка")</f>
        <v/>
      </c>
      <c r="L331" t="inlineStr"/>
    </row>
    <row r="332">
      <c r="A332" t="n">
        <v>251</v>
      </c>
      <c r="B332" t="inlineStr"/>
      <c r="C332" t="inlineStr">
        <is>
          <t>Санкт-Петербург г, Шелгунова ул, 12</t>
        </is>
      </c>
      <c r="D332" t="n">
        <v>628.9</v>
      </c>
      <c r="E332" t="inlineStr"/>
      <c r="F332" t="inlineStr"/>
      <c r="G332" t="inlineStr">
        <is>
          <t>221 000 000</t>
        </is>
      </c>
      <c r="H332" t="inlineStr"/>
      <c r="I332" t="inlineStr">
        <is>
          <t>Нет у нас</t>
        </is>
      </c>
      <c r="J332" t="inlineStr"/>
      <c r="K332">
        <f>HYPERLINK("https://nordwestinvest.ru/real-estates/prodaza-pomeshhenie-s-magnit","ссылка")</f>
        <v/>
      </c>
      <c r="L332" t="inlineStr"/>
    </row>
    <row r="333">
      <c r="A333" t="n">
        <v>252</v>
      </c>
      <c r="B333" t="inlineStr"/>
      <c r="C333" t="inlineStr">
        <is>
          <t>Санкт-Петербург г, Шелгунова ул, 12</t>
        </is>
      </c>
      <c r="D333" t="n">
        <v>239.5</v>
      </c>
      <c r="E333" t="inlineStr"/>
      <c r="F333" t="inlineStr"/>
      <c r="G333" t="inlineStr">
        <is>
          <t>47 500 000</t>
        </is>
      </c>
      <c r="H333" t="inlineStr"/>
      <c r="I333" t="inlineStr">
        <is>
          <t>Нет у нас</t>
        </is>
      </c>
      <c r="J333" t="inlineStr"/>
      <c r="K333">
        <f>HYPERLINK("https://nordwestinvest.ru/real-estates/prodaza-pomeshhenie-s-magnit-kosmetik","ссылка")</f>
        <v/>
      </c>
      <c r="L333" t="inlineStr"/>
    </row>
    <row r="334">
      <c r="A334" t="n">
        <v>253</v>
      </c>
      <c r="B334" t="inlineStr"/>
      <c r="C334" t="inlineStr">
        <is>
          <t>Парголово п, Ольгинская (Торфяное тер.) дор, 3/20стр1</t>
        </is>
      </c>
      <c r="D334" t="n">
        <v>548.6</v>
      </c>
      <c r="E334" t="inlineStr"/>
      <c r="F334" t="inlineStr"/>
      <c r="G334" t="inlineStr">
        <is>
          <t>60 000 000</t>
        </is>
      </c>
      <c r="H334" t="inlineStr"/>
      <c r="I334" t="inlineStr">
        <is>
          <t>Нет у нас</t>
        </is>
      </c>
      <c r="J334" t="inlineStr"/>
      <c r="K334">
        <f>HYPERLINK("https://nordwestinvest.ru/real-estates/prodaza-pomeshhenie-s-arendatorom-3-etaz","ссылка")</f>
        <v/>
      </c>
      <c r="L334" t="inlineStr"/>
    </row>
    <row r="335">
      <c r="A335" t="n">
        <v>254</v>
      </c>
      <c r="B335" t="inlineStr"/>
      <c r="C335" t="inlineStr">
        <is>
          <t>Санкт-Петербург г, Парашютная ул, 42к2</t>
        </is>
      </c>
      <c r="D335" t="n">
        <v>119</v>
      </c>
      <c r="E335" t="inlineStr"/>
      <c r="F335" t="inlineStr"/>
      <c r="G335" t="inlineStr">
        <is>
          <t>29 500 000</t>
        </is>
      </c>
      <c r="H335" t="inlineStr"/>
      <c r="I335" t="inlineStr">
        <is>
          <t>Нет у нас</t>
        </is>
      </c>
      <c r="J335" t="inlineStr"/>
      <c r="K335">
        <f>HYPERLINK("https://nordwestinvest.ru/real-estates/prodaza-ofisa-119-m2","ссылка")</f>
        <v/>
      </c>
      <c r="L335" t="inlineStr"/>
    </row>
    <row r="336">
      <c r="A336" t="n">
        <v>255</v>
      </c>
      <c r="B336" t="inlineStr"/>
      <c r="C336" t="inlineStr">
        <is>
          <t>Санкт-Петербург г, Реки Каменки наб, 13к1 стр 1</t>
        </is>
      </c>
      <c r="D336" t="n">
        <v>119</v>
      </c>
      <c r="E336" t="inlineStr"/>
      <c r="F336" t="inlineStr"/>
      <c r="G336" t="inlineStr">
        <is>
          <t>28 500 000</t>
        </is>
      </c>
      <c r="H336" t="inlineStr"/>
      <c r="I336" t="inlineStr">
        <is>
          <t>Нет у нас</t>
        </is>
      </c>
      <c r="J336" t="inlineStr"/>
      <c r="K336">
        <f>HYPERLINK("https://nordwestinvest.ru/real-estates/prodaza-pomeshheniia-u-novoorlovskogo-zakaznika","ссылка")</f>
        <v/>
      </c>
      <c r="L336" t="inlineStr"/>
    </row>
    <row r="337">
      <c r="A337" t="n">
        <v>258</v>
      </c>
      <c r="B337" t="inlineStr"/>
      <c r="C337" t="inlineStr">
        <is>
          <t>Санкт-Петербург г, Тюшина ул, 9/7 А</t>
        </is>
      </c>
      <c r="D337" t="n">
        <v>3419</v>
      </c>
      <c r="E337" t="inlineStr"/>
      <c r="F337" t="inlineStr"/>
      <c r="G337" t="inlineStr">
        <is>
          <t>800 000 000</t>
        </is>
      </c>
      <c r="H337" t="inlineStr"/>
      <c r="I337" t="inlineStr">
        <is>
          <t>Нет у нас</t>
        </is>
      </c>
      <c r="J337" t="inlineStr"/>
      <c r="K337">
        <f>HYPERLINK("https://nordwestinvest.ru/real-estates/prodaza-zdaniia-vozle-ligovskogo-pr-kta-1","ссылка")</f>
        <v/>
      </c>
      <c r="L337" t="inlineStr"/>
    </row>
    <row r="338">
      <c r="A338" t="n">
        <v>259</v>
      </c>
      <c r="B338" t="inlineStr"/>
      <c r="C338" t="inlineStr">
        <is>
          <t>Ленинградская обл, Соколовка д, -, -</t>
        </is>
      </c>
      <c r="D338" t="n">
        <v>4069</v>
      </c>
      <c r="E338" t="inlineStr"/>
      <c r="F338" t="inlineStr"/>
      <c r="G338" t="inlineStr">
        <is>
          <t>2 000 000</t>
        </is>
      </c>
      <c r="H338" t="inlineStr"/>
      <c r="I338" t="inlineStr">
        <is>
          <t>Нет у нас</t>
        </is>
      </c>
      <c r="J338" t="inlineStr"/>
      <c r="K338">
        <f>HYPERLINK("https://nordwestinvest.ru/real-estates/prodaza-zemelnogo-ucastka-14","ссылка")</f>
        <v/>
      </c>
      <c r="L338" t="inlineStr"/>
    </row>
    <row r="339">
      <c r="A339" t="n">
        <v>260</v>
      </c>
      <c r="B339" t="inlineStr"/>
      <c r="C339" t="inlineStr">
        <is>
          <t>Сестрорецк г, Приморское ш, 186 А</t>
        </is>
      </c>
      <c r="D339" t="n">
        <v>5000</v>
      </c>
      <c r="E339" t="inlineStr"/>
      <c r="F339" t="inlineStr"/>
      <c r="G339" t="inlineStr">
        <is>
          <t>45 000 000</t>
        </is>
      </c>
      <c r="H339" t="inlineStr"/>
      <c r="I339" t="inlineStr">
        <is>
          <t>Нет у нас</t>
        </is>
      </c>
      <c r="J339" t="inlineStr"/>
      <c r="K339">
        <f>HYPERLINK("https://nordwestinvest.ru/real-estates/perspektivnyi-ucastok-50-sot-izs","ссылка")</f>
        <v/>
      </c>
      <c r="L339" t="inlineStr"/>
    </row>
    <row r="340">
      <c r="A340" t="n">
        <v>261</v>
      </c>
      <c r="B340" t="inlineStr"/>
      <c r="C340" t="inlineStr">
        <is>
          <t>Санкт-Петербург г, Среднерогатская ул, 13к1стр1</t>
        </is>
      </c>
      <c r="D340" t="n">
        <v>137.3</v>
      </c>
      <c r="E340" t="inlineStr"/>
      <c r="F340" t="inlineStr"/>
      <c r="G340" t="inlineStr">
        <is>
          <t>38 444 000</t>
        </is>
      </c>
      <c r="H340" t="inlineStr"/>
      <c r="I340" t="inlineStr">
        <is>
          <t>Нет у нас</t>
        </is>
      </c>
      <c r="J340" t="inlineStr"/>
      <c r="K340">
        <f>HYPERLINK("https://nordwestinvest.ru/real-estates/prodaza-pomeshheniia-v-zk-triumf-park","ссылка")</f>
        <v/>
      </c>
      <c r="L340" t="inlineStr"/>
    </row>
    <row r="341">
      <c r="A341" t="n">
        <v>262</v>
      </c>
      <c r="B341" t="inlineStr"/>
      <c r="C341" t="inlineStr">
        <is>
          <t>Санкт-Петербург г, Большая Пороховская ул, 47</t>
        </is>
      </c>
      <c r="D341" t="n">
        <v>956.3</v>
      </c>
      <c r="E341" t="inlineStr"/>
      <c r="F341" t="inlineStr"/>
      <c r="G341" t="inlineStr">
        <is>
          <t>160 000 000</t>
        </is>
      </c>
      <c r="H341" t="inlineStr"/>
      <c r="I341" t="inlineStr">
        <is>
          <t>Нет у нас</t>
        </is>
      </c>
      <c r="J341" t="inlineStr"/>
      <c r="K341">
        <f>HYPERLINK("https://nordwestinvest.ru/real-estates/prodaza-pomeshhenii-s-gab","ссылка")</f>
        <v/>
      </c>
      <c r="L341" t="inlineStr"/>
    </row>
    <row r="342">
      <c r="A342" t="n">
        <v>263</v>
      </c>
      <c r="B342" t="inlineStr"/>
      <c r="C342" t="inlineStr">
        <is>
          <t>Ленинградская обл, Токсово гп, Советов ул, -</t>
        </is>
      </c>
      <c r="D342" t="n">
        <v>605</v>
      </c>
      <c r="E342" t="inlineStr"/>
      <c r="F342" t="inlineStr"/>
      <c r="G342" t="inlineStr">
        <is>
          <t>5 900 000</t>
        </is>
      </c>
      <c r="H342" t="inlineStr"/>
      <c r="I342" t="inlineStr">
        <is>
          <t>Нет у нас</t>
        </is>
      </c>
      <c r="J342" t="inlineStr"/>
      <c r="K342">
        <f>HYPERLINK("https://nordwestinvest.ru/real-estates/prodaza-zu-v-toksovo-dlia-nto","ссылка")</f>
        <v/>
      </c>
      <c r="L342" t="inlineStr"/>
    </row>
    <row r="343">
      <c r="A343" t="n">
        <v>264</v>
      </c>
      <c r="B343" t="inlineStr"/>
      <c r="C343" t="inlineStr">
        <is>
          <t>Ленинградская обл, Разметелево д, Колтушское шоссе, -</t>
        </is>
      </c>
      <c r="D343" t="n">
        <v>11760</v>
      </c>
      <c r="E343" t="inlineStr"/>
      <c r="F343" t="inlineStr"/>
      <c r="G343" t="inlineStr">
        <is>
          <t>30 000 000</t>
        </is>
      </c>
      <c r="H343" t="inlineStr"/>
      <c r="I343" t="inlineStr">
        <is>
          <t>Нет у нас</t>
        </is>
      </c>
      <c r="J343" t="inlineStr"/>
      <c r="K343">
        <f>HYPERLINK("https://nordwestinvest.ru/real-estates/prodaza-zu-v-razmetelevo-117-ga","ссылка")</f>
        <v/>
      </c>
      <c r="L343" t="inlineStr"/>
    </row>
    <row r="344">
      <c r="A344" t="n">
        <v>265</v>
      </c>
      <c r="B344" t="inlineStr"/>
      <c r="C344" t="inlineStr">
        <is>
          <t>Ленинградская обл, Разметелево д, Колтушское шоссе, -</t>
        </is>
      </c>
      <c r="D344" t="n">
        <v>6714</v>
      </c>
      <c r="E344" t="inlineStr"/>
      <c r="F344" t="inlineStr"/>
      <c r="G344" t="inlineStr">
        <is>
          <t>15 000 000</t>
        </is>
      </c>
      <c r="H344" t="inlineStr"/>
      <c r="I344" t="inlineStr">
        <is>
          <t>Нет у нас</t>
        </is>
      </c>
      <c r="J344" t="inlineStr"/>
      <c r="K344">
        <f>HYPERLINK("https://nordwestinvest.ru/real-estates/prodaza-zu-v-razmetelevo-67-sotok","ссылка")</f>
        <v/>
      </c>
      <c r="L344" t="inlineStr"/>
    </row>
    <row r="345">
      <c r="A345" t="n">
        <v>266</v>
      </c>
      <c r="B345" t="inlineStr"/>
      <c r="C345" t="inlineStr">
        <is>
          <t>Ленинградская обл, Разметелево д, Колтушское шоссе, -</t>
        </is>
      </c>
      <c r="D345" t="n">
        <v>5046</v>
      </c>
      <c r="E345" t="inlineStr"/>
      <c r="F345" t="inlineStr"/>
      <c r="G345" t="inlineStr">
        <is>
          <t>15 000 000</t>
        </is>
      </c>
      <c r="H345" t="inlineStr"/>
      <c r="I345" t="inlineStr">
        <is>
          <t>Нет у нас</t>
        </is>
      </c>
      <c r="J345" t="inlineStr"/>
      <c r="K345">
        <f>HYPERLINK("https://nordwestinvest.ru/real-estates/prodaza-zu-v-razmetelevo-50-sotok","ссылка")</f>
        <v/>
      </c>
      <c r="L345" t="inlineStr"/>
    </row>
    <row r="346">
      <c r="A346" t="n">
        <v>268</v>
      </c>
      <c r="B346" t="inlineStr"/>
      <c r="C346" t="inlineStr">
        <is>
          <t>Санкт-Петербург г, Есенина ул, 1к1 литера А</t>
        </is>
      </c>
      <c r="D346" t="n">
        <v>566.1</v>
      </c>
      <c r="E346" t="inlineStr"/>
      <c r="F346" t="inlineStr"/>
      <c r="G346" t="inlineStr">
        <is>
          <t>135 000 000</t>
        </is>
      </c>
      <c r="H346" t="inlineStr"/>
      <c r="I346" t="inlineStr">
        <is>
          <t>Нет у нас</t>
        </is>
      </c>
      <c r="J346" t="inlineStr"/>
      <c r="K346">
        <f>HYPERLINK("https://nordwestinvest.ru/real-estates/prodaza-biznesa-spa-centr-2","ссылка")</f>
        <v/>
      </c>
      <c r="L346" t="inlineStr"/>
    </row>
    <row r="347">
      <c r="A347" t="n">
        <v>269</v>
      </c>
      <c r="B347" t="inlineStr"/>
      <c r="C347" t="inlineStr">
        <is>
          <t>Ленинградская обл, Хиттолово д, -, -</t>
        </is>
      </c>
      <c r="D347" t="n">
        <v>538.8</v>
      </c>
      <c r="E347" t="inlineStr"/>
      <c r="F347" t="inlineStr"/>
      <c r="G347" t="inlineStr">
        <is>
          <t>92 000 000</t>
        </is>
      </c>
      <c r="H347" t="inlineStr"/>
      <c r="I347" t="inlineStr">
        <is>
          <t>Нет у нас</t>
        </is>
      </c>
      <c r="J347" t="inlineStr"/>
      <c r="K347">
        <f>HYPERLINK("https://nordwestinvest.ru/real-estates/prodaza-zdaniia-zu-s-arendatorom-piaterocka","ссылка")</f>
        <v/>
      </c>
      <c r="L347" t="inlineStr"/>
    </row>
    <row r="348">
      <c r="A348" t="n">
        <v>270</v>
      </c>
      <c r="B348" t="inlineStr"/>
      <c r="C348" t="inlineStr">
        <is>
          <t>Ленинградская обл, Новоселье гп, Центральная ул, 11</t>
        </is>
      </c>
      <c r="D348" t="n">
        <v>1288</v>
      </c>
      <c r="E348" t="inlineStr"/>
      <c r="F348" t="inlineStr"/>
      <c r="G348" t="inlineStr">
        <is>
          <t>176 000 000</t>
        </is>
      </c>
      <c r="H348" t="inlineStr"/>
      <c r="I348" t="inlineStr">
        <is>
          <t>Нет у нас</t>
        </is>
      </c>
      <c r="J348" t="inlineStr"/>
      <c r="K348">
        <f>HYPERLINK("https://nordwestinvest.ru/real-estates/prodaza-pomeshheniia-s-lentoi","ссылка")</f>
        <v/>
      </c>
      <c r="L348" t="inlineStr"/>
    </row>
    <row r="349">
      <c r="A349" t="n">
        <v>272</v>
      </c>
      <c r="B349" t="inlineStr"/>
      <c r="C349" t="inlineStr">
        <is>
          <t>Ленинградская обл, Порошкино д, 1-й пер, 1</t>
        </is>
      </c>
      <c r="D349" t="n">
        <v>662</v>
      </c>
      <c r="E349" t="inlineStr"/>
      <c r="F349" t="inlineStr"/>
      <c r="G349" t="inlineStr">
        <is>
          <t>35 000 000</t>
        </is>
      </c>
      <c r="H349" t="inlineStr"/>
      <c r="I349" t="inlineStr">
        <is>
          <t>Нет у нас</t>
        </is>
      </c>
      <c r="J349" t="inlineStr"/>
      <c r="K349">
        <f>HYPERLINK("https://nordwestinvest.ru/real-estates/prodaza-svetofor-kb-s-zemelnym-ucastkom-1","ссылка")</f>
        <v/>
      </c>
      <c r="L349" t="inlineStr"/>
    </row>
    <row r="350">
      <c r="A350" t="n">
        <v>273</v>
      </c>
      <c r="B350" t="inlineStr"/>
      <c r="C350" t="inlineStr">
        <is>
          <t>Ленинградская обл, Гатчина г, Радищева ул, 22</t>
        </is>
      </c>
      <c r="D350" t="n">
        <v>242</v>
      </c>
      <c r="E350" t="inlineStr"/>
      <c r="F350" t="inlineStr"/>
      <c r="G350" t="inlineStr">
        <is>
          <t>45 000 000</t>
        </is>
      </c>
      <c r="H350" t="inlineStr"/>
      <c r="I350" t="inlineStr">
        <is>
          <t>Нет у нас</t>
        </is>
      </c>
      <c r="J350" t="inlineStr"/>
      <c r="K350">
        <f>HYPERLINK("https://nordwestinvest.ru/real-estates/prodaza-s-nadeznym-arendatorom-apteka","ссылка")</f>
        <v/>
      </c>
      <c r="L350" t="inlineStr"/>
    </row>
    <row r="351">
      <c r="A351" t="n">
        <v>275</v>
      </c>
      <c r="B351" t="inlineStr"/>
      <c r="C351" t="inlineStr">
        <is>
          <t>Санкт-Петербург г, Коммуны ул, 67</t>
        </is>
      </c>
      <c r="D351" t="n">
        <v>486.6</v>
      </c>
      <c r="E351" t="inlineStr"/>
      <c r="F351" t="inlineStr"/>
      <c r="G351" t="inlineStr">
        <is>
          <t>4 400 000</t>
        </is>
      </c>
      <c r="H351" t="inlineStr"/>
      <c r="I351" t="inlineStr">
        <is>
          <t>Нет у нас</t>
        </is>
      </c>
      <c r="J351" t="inlineStr"/>
      <c r="K351">
        <f>HYPERLINK("https://nordwestinvest.ru/real-estates/proizvodstvo-s-cpu-stankom-1","ссылка")</f>
        <v/>
      </c>
      <c r="L351" t="inlineStr"/>
    </row>
    <row r="352">
      <c r="A352" t="n">
        <v>276</v>
      </c>
      <c r="B352" t="inlineStr"/>
      <c r="C352" t="inlineStr">
        <is>
          <t>Санкт-Петербург г, Энергетиков пр-кт, 45</t>
        </is>
      </c>
      <c r="D352" t="n">
        <v>811</v>
      </c>
      <c r="E352" t="inlineStr"/>
      <c r="F352" t="inlineStr"/>
      <c r="G352" t="inlineStr">
        <is>
          <t>79 000 000</t>
        </is>
      </c>
      <c r="H352" t="inlineStr"/>
      <c r="I352" t="inlineStr">
        <is>
          <t>Нет у нас</t>
        </is>
      </c>
      <c r="J352" t="inlineStr"/>
      <c r="K352">
        <f>HYPERLINK("https://nordwestinvest.ru/real-estates/okupaemost-8-let-1","ссылка")</f>
        <v/>
      </c>
      <c r="L352" t="inlineStr"/>
    </row>
    <row r="353">
      <c r="A353" t="n">
        <v>278</v>
      </c>
      <c r="B353" t="inlineStr"/>
      <c r="C353" t="inlineStr">
        <is>
          <t>Санкт-Петербург г, Полюстровский пр-кт, 64литераД</t>
        </is>
      </c>
      <c r="D353" t="n">
        <v>5800</v>
      </c>
      <c r="E353" t="inlineStr"/>
      <c r="F353" t="inlineStr"/>
      <c r="G353" t="inlineStr">
        <is>
          <t>300 000 000</t>
        </is>
      </c>
      <c r="H353" t="inlineStr"/>
      <c r="I353" t="inlineStr">
        <is>
          <t>Нет у нас</t>
        </is>
      </c>
      <c r="J353" t="inlineStr"/>
      <c r="K353">
        <f>HYPERLINK("https://nordwestinvest.ru/real-estates/zu-58-sotok-pod-postroiku-4","ссылка")</f>
        <v/>
      </c>
      <c r="L353" t="inlineStr"/>
    </row>
    <row r="354">
      <c r="A354" t="n">
        <v>279</v>
      </c>
      <c r="B354" t="inlineStr"/>
      <c r="C354" t="inlineStr">
        <is>
          <t>Санкт-Петербург г, Лиговский пр-кт, 247 А</t>
        </is>
      </c>
      <c r="D354" t="n">
        <v>168</v>
      </c>
      <c r="E354" t="inlineStr"/>
      <c r="F354" t="inlineStr"/>
      <c r="G354" t="inlineStr">
        <is>
          <t>47 900 000</t>
        </is>
      </c>
      <c r="H354" t="inlineStr"/>
      <c r="I354" t="inlineStr">
        <is>
          <t>Нет у нас</t>
        </is>
      </c>
      <c r="J354" t="inlineStr"/>
      <c r="K354">
        <f>HYPERLINK("https://nordwestinvest.ru/real-estates/prodaza-pomeshheniia-na-ligovskom-pr-te","ссылка")</f>
        <v/>
      </c>
      <c r="L354" t="inlineStr"/>
    </row>
    <row r="355">
      <c r="A355" t="n">
        <v>280</v>
      </c>
      <c r="B355" t="inlineStr"/>
      <c r="C355" t="inlineStr">
        <is>
          <t>Ленинградская обл, Всеволожск г, Евграфова ул, 19</t>
        </is>
      </c>
      <c r="D355" t="n">
        <v>4221</v>
      </c>
      <c r="E355" t="inlineStr"/>
      <c r="F355" t="inlineStr"/>
      <c r="G355" t="inlineStr">
        <is>
          <t>1</t>
        </is>
      </c>
      <c r="H355" t="inlineStr"/>
      <c r="I355" t="inlineStr">
        <is>
          <t>Нет у нас</t>
        </is>
      </c>
      <c r="J355" t="inlineStr"/>
      <c r="K355">
        <f>HYPERLINK("https://nordwestinvest.ru/real-estates/prodaza-zu-vo-vsevolozske-42-sotki","ссылка")</f>
        <v/>
      </c>
      <c r="L355" t="inlineStr"/>
    </row>
    <row r="356">
      <c r="A356" t="n">
        <v>282</v>
      </c>
      <c r="B356" t="inlineStr"/>
      <c r="C356" t="inlineStr">
        <is>
          <t>Санкт-Петербург г, бадаевский, 5А</t>
        </is>
      </c>
      <c r="D356" t="n">
        <v>18460</v>
      </c>
      <c r="E356" t="inlineStr"/>
      <c r="F356" t="inlineStr"/>
      <c r="G356" t="inlineStr">
        <is>
          <t>210 000 000</t>
        </is>
      </c>
      <c r="H356" t="inlineStr"/>
      <c r="I356" t="inlineStr">
        <is>
          <t>Нет у нас</t>
        </is>
      </c>
      <c r="J356" t="inlineStr"/>
      <c r="K356">
        <f>HYPERLINK("https://nordwestinvest.ru/real-estates/zemelnyi-ucastok-v-10-minutax-ot-kad","ссылка")</f>
        <v/>
      </c>
      <c r="L356" t="inlineStr"/>
    </row>
    <row r="357">
      <c r="A357" t="n">
        <v>283</v>
      </c>
      <c r="B357" t="inlineStr"/>
      <c r="C357" t="inlineStr">
        <is>
          <t>Санкт-Петербург г, 17-я В.О. линия, 46</t>
        </is>
      </c>
      <c r="D357" t="n">
        <v>557.8</v>
      </c>
      <c r="E357" t="inlineStr"/>
      <c r="F357" t="inlineStr"/>
      <c r="G357" t="inlineStr">
        <is>
          <t>122 000 000</t>
        </is>
      </c>
      <c r="H357" t="inlineStr"/>
      <c r="I357" t="inlineStr">
        <is>
          <t>Нет у нас</t>
        </is>
      </c>
      <c r="J357" t="inlineStr"/>
      <c r="K357">
        <f>HYPERLINK("https://nordwestinvest.ru/real-estates/gostinica-na-vasilevskom-ostrove","ссылка")</f>
        <v/>
      </c>
      <c r="L357" t="inlineStr"/>
    </row>
    <row r="358">
      <c r="A358" t="n">
        <v>284</v>
      </c>
      <c r="B358" t="inlineStr"/>
      <c r="C358" t="inlineStr">
        <is>
          <t>Ленинградская обл, Новое Девяткино д, Флотская ул, 4</t>
        </is>
      </c>
      <c r="D358" t="n">
        <v>1500</v>
      </c>
      <c r="E358" t="inlineStr"/>
      <c r="F358" t="inlineStr"/>
      <c r="G358" t="inlineStr">
        <is>
          <t>16 000 000</t>
        </is>
      </c>
      <c r="H358" t="inlineStr"/>
      <c r="I358" t="inlineStr">
        <is>
          <t>Нет у нас</t>
        </is>
      </c>
      <c r="J358" t="inlineStr"/>
      <c r="K358">
        <f>HYPERLINK("https://nordwestinvest.ru/real-estates/prodaza-zu-v-d-novoe-deviatkino-15-sotok-1","ссылка")</f>
        <v/>
      </c>
      <c r="L358" t="inlineStr"/>
    </row>
    <row r="359">
      <c r="A359" t="n">
        <v>285</v>
      </c>
      <c r="B359" t="inlineStr"/>
      <c r="C359" t="inlineStr">
        <is>
          <t>Ленинградская обл, Бугры п, Торговая ул, 29с1</t>
        </is>
      </c>
      <c r="D359" t="n">
        <v>27800</v>
      </c>
      <c r="E359" t="inlineStr"/>
      <c r="F359" t="inlineStr"/>
      <c r="G359" t="inlineStr">
        <is>
          <t>320 000 000</t>
        </is>
      </c>
      <c r="H359" t="inlineStr"/>
      <c r="I359" t="inlineStr">
        <is>
          <t>Нет у нас</t>
        </is>
      </c>
      <c r="J359" t="inlineStr"/>
      <c r="K359">
        <f>HYPERLINK("https://nordwestinvest.ru/real-estates/prodaza-zemelnogo-ucastka-v-bugrax-278-ga","ссылка")</f>
        <v/>
      </c>
      <c r="L359" t="inlineStr"/>
    </row>
    <row r="360">
      <c r="A360" t="n">
        <v>286</v>
      </c>
      <c r="B360" t="inlineStr"/>
      <c r="C360" t="inlineStr">
        <is>
          <t>Санкт-Петербург г, Дровяной пер, 5</t>
        </is>
      </c>
      <c r="D360" t="n">
        <v>62.3</v>
      </c>
      <c r="E360" t="inlineStr"/>
      <c r="F360" t="inlineStr"/>
      <c r="G360" t="inlineStr">
        <is>
          <t>11 400 000</t>
        </is>
      </c>
      <c r="H360" t="inlineStr"/>
      <c r="I360" t="inlineStr">
        <is>
          <t>Нет у нас</t>
        </is>
      </c>
      <c r="J360" t="inlineStr"/>
      <c r="K360">
        <f>HYPERLINK("https://nordwestinvest.ru/real-estates/prodaza-pomeshheniia-v-centre-goroda","ссылка")</f>
        <v/>
      </c>
      <c r="L360" t="inlineStr"/>
    </row>
    <row r="361">
      <c r="A361" t="n">
        <v>289</v>
      </c>
      <c r="B361" t="inlineStr"/>
      <c r="C361" t="inlineStr">
        <is>
          <t>Ленинградская обл, Токсово гп, -, -</t>
        </is>
      </c>
      <c r="D361" t="n">
        <v>40000</v>
      </c>
      <c r="E361" t="inlineStr"/>
      <c r="F361" t="inlineStr"/>
      <c r="G361" t="inlineStr">
        <is>
          <t>300 000 000</t>
        </is>
      </c>
      <c r="H361" t="inlineStr"/>
      <c r="I361" t="inlineStr">
        <is>
          <t>Нет у нас</t>
        </is>
      </c>
      <c r="J361" t="inlineStr"/>
      <c r="K361">
        <f>HYPERLINK("https://nordwestinvest.ru/real-estates/prodaza-zemelnogo-ucastka-gptoksovo","ссылка")</f>
        <v/>
      </c>
      <c r="L361" t="inlineStr"/>
    </row>
    <row r="362">
      <c r="A362" t="n">
        <v>291</v>
      </c>
      <c r="B362" t="inlineStr"/>
      <c r="C362" t="inlineStr">
        <is>
          <t>Санкт-Петербург г, Лыжный пер, 6стр1</t>
        </is>
      </c>
      <c r="D362" t="n">
        <v>4240.1</v>
      </c>
      <c r="E362" t="inlineStr"/>
      <c r="F362" t="inlineStr"/>
      <c r="G362" t="inlineStr">
        <is>
          <t>550 000 000</t>
        </is>
      </c>
      <c r="H362" t="inlineStr"/>
      <c r="I362" t="inlineStr">
        <is>
          <t>Нет у нас</t>
        </is>
      </c>
      <c r="J362" t="inlineStr"/>
      <c r="K362">
        <f>HYPERLINK("https://nordwestinvest.ru/real-estates/prodaza-torgovogo-kompleksa-na-lyznom-pereulke","ссылка")</f>
        <v/>
      </c>
      <c r="L362" t="inlineStr"/>
    </row>
    <row r="363">
      <c r="A363" t="n">
        <v>292</v>
      </c>
      <c r="B363" t="inlineStr"/>
      <c r="C363" t="inlineStr">
        <is>
          <t>Московская обл, Голицыно г, Коммунистический пр-кт, -</t>
        </is>
      </c>
      <c r="D363" t="n">
        <v>4460</v>
      </c>
      <c r="E363" t="inlineStr"/>
      <c r="F363" t="inlineStr"/>
      <c r="G363" t="inlineStr">
        <is>
          <t>12 000 000</t>
        </is>
      </c>
      <c r="H363" t="inlineStr"/>
      <c r="I363" t="inlineStr">
        <is>
          <t>Нет у нас</t>
        </is>
      </c>
      <c r="J363" t="inlineStr"/>
      <c r="K363">
        <f>HYPERLINK("https://nordwestinvest.ru/real-estates/prodaza-zemelnogo-ucastka-s-magnit-v-dgolicyno","ссылка")</f>
        <v/>
      </c>
      <c r="L363" t="inlineStr"/>
    </row>
    <row r="364">
      <c r="A364" t="n">
        <v>293</v>
      </c>
      <c r="B364" t="inlineStr"/>
      <c r="C364" t="inlineStr">
        <is>
          <t>Санкт-Петербург г, Героев пр-кт, 27к1 стр 1</t>
        </is>
      </c>
      <c r="D364" t="n">
        <v>226</v>
      </c>
      <c r="E364" t="inlineStr"/>
      <c r="F364" t="inlineStr"/>
      <c r="G364" t="inlineStr">
        <is>
          <t>47 000 000</t>
        </is>
      </c>
      <c r="H364" t="inlineStr"/>
      <c r="I364" t="inlineStr">
        <is>
          <t>Нет у нас</t>
        </is>
      </c>
      <c r="J364" t="inlineStr"/>
      <c r="K364">
        <f>HYPERLINK("https://nordwestinvest.ru/real-estates/prodaza-pomeshheniia-v-zk-ogni-zaliva","ссылка")</f>
        <v/>
      </c>
      <c r="L364" t="inlineStr"/>
    </row>
    <row r="365">
      <c r="A365" t="n">
        <v>297</v>
      </c>
      <c r="B365" t="inlineStr"/>
      <c r="C365" t="inlineStr">
        <is>
          <t>Ленинградская обл, Порошкино д, на Мендсары, 10</t>
        </is>
      </c>
      <c r="D365" t="n">
        <v>8000</v>
      </c>
      <c r="E365" t="inlineStr"/>
      <c r="F365" t="inlineStr"/>
      <c r="G365" t="inlineStr">
        <is>
          <t>55 000 000</t>
        </is>
      </c>
      <c r="H365" t="inlineStr"/>
      <c r="I365" t="inlineStr">
        <is>
          <t>Нет у нас</t>
        </is>
      </c>
      <c r="J365" t="inlineStr"/>
      <c r="K365">
        <f>HYPERLINK("https://nordwestinvest.ru/real-estates/arenda-zemelnogo-ucastka-80-sot-1","ссылка")</f>
        <v/>
      </c>
      <c r="L365" t="inlineStr"/>
    </row>
    <row r="366">
      <c r="A366" t="n">
        <v>298</v>
      </c>
      <c r="B366" t="inlineStr"/>
      <c r="C366" t="inlineStr">
        <is>
          <t>Санкт-Петербург г, Оптиков ул, 37стр1</t>
        </is>
      </c>
      <c r="D366" t="n">
        <v>391</v>
      </c>
      <c r="E366" t="inlineStr"/>
      <c r="F366" t="inlineStr"/>
      <c r="G366" t="inlineStr">
        <is>
          <t>50 000 000</t>
        </is>
      </c>
      <c r="H366" t="inlineStr"/>
      <c r="I366" t="inlineStr">
        <is>
          <t>Нет у нас</t>
        </is>
      </c>
      <c r="J366" t="inlineStr"/>
      <c r="K366">
        <f>HYPERLINK("https://nordwestinvest.ru/real-estates/prodaza-gab-samokat-5","ссылка")</f>
        <v/>
      </c>
      <c r="L366" t="inlineStr"/>
    </row>
    <row r="367">
      <c r="A367" t="n">
        <v>299</v>
      </c>
      <c r="B367" t="inlineStr"/>
      <c r="C367" t="inlineStr">
        <is>
          <t>Санкт-Петербург г, Коломенская ул, 14 Б</t>
        </is>
      </c>
      <c r="D367" t="n">
        <v>181.7</v>
      </c>
      <c r="E367" t="inlineStr"/>
      <c r="F367" t="inlineStr"/>
      <c r="G367" t="inlineStr">
        <is>
          <t>18 000 000</t>
        </is>
      </c>
      <c r="H367" t="inlineStr"/>
      <c r="I367" t="inlineStr">
        <is>
          <t>Нет у нас</t>
        </is>
      </c>
      <c r="J367" t="inlineStr"/>
      <c r="K367">
        <f>HYPERLINK("https://nordwestinvest.ru/real-estates/prodaza-zdaniia-pod-rekonstrukciiu","ссылка")</f>
        <v/>
      </c>
      <c r="L367" t="inlineStr"/>
    </row>
    <row r="368">
      <c r="A368" t="n">
        <v>301</v>
      </c>
      <c r="B368" t="inlineStr"/>
      <c r="C368" t="inlineStr">
        <is>
          <t>Санкт-Петербург г, Парашютная ул, 51</t>
        </is>
      </c>
      <c r="D368" t="n">
        <v>150</v>
      </c>
      <c r="E368" t="inlineStr"/>
      <c r="F368" t="inlineStr"/>
      <c r="G368" t="inlineStr">
        <is>
          <t>50 000 000</t>
        </is>
      </c>
      <c r="H368" t="inlineStr"/>
      <c r="I368" t="inlineStr">
        <is>
          <t>Нет у нас</t>
        </is>
      </c>
      <c r="J368" t="inlineStr"/>
      <c r="K368">
        <f>HYPERLINK("https://nordwestinvest.ru/real-estates/prodaza-obieekta-s-arendatorom-sto","ссылка")</f>
        <v/>
      </c>
      <c r="L368" t="inlineStr"/>
    </row>
    <row r="369">
      <c r="A369" t="n">
        <v>302</v>
      </c>
      <c r="B369" t="inlineStr"/>
      <c r="C369" t="inlineStr">
        <is>
          <t>Ленинградская обл, Мины д, Краснофлотская ул, 38</t>
        </is>
      </c>
      <c r="D369" t="n">
        <v>2209</v>
      </c>
      <c r="E369" t="inlineStr"/>
      <c r="F369" t="inlineStr"/>
      <c r="G369" t="inlineStr">
        <is>
          <t>27 000 000</t>
        </is>
      </c>
      <c r="H369" t="inlineStr"/>
      <c r="I369" t="inlineStr">
        <is>
          <t>Нет у нас</t>
        </is>
      </c>
      <c r="J369" t="inlineStr"/>
      <c r="K369">
        <f>HYPERLINK("https://nordwestinvest.ru/real-estates/prodaza-zemelnogo-ucastka-pod-tk","ссылка")</f>
        <v/>
      </c>
      <c r="L369" t="inlineStr"/>
    </row>
    <row r="370">
      <c r="A370" t="n">
        <v>305</v>
      </c>
      <c r="B370" t="inlineStr"/>
      <c r="C370" t="inlineStr">
        <is>
          <t>Ленинградская обл, Раздолье д, -, -</t>
        </is>
      </c>
      <c r="D370" t="n">
        <v>63580</v>
      </c>
      <c r="E370" t="inlineStr"/>
      <c r="F370" t="inlineStr"/>
      <c r="G370" t="inlineStr">
        <is>
          <t>25 000 000</t>
        </is>
      </c>
      <c r="H370" t="inlineStr"/>
      <c r="I370" t="inlineStr">
        <is>
          <t>Нет у нас</t>
        </is>
      </c>
      <c r="J370" t="inlineStr"/>
      <c r="K370">
        <f>HYPERLINK("https://nordwestinvest.ru/real-estates/prodaza-zu-pod-snt","ссылка")</f>
        <v/>
      </c>
      <c r="L370" t="inlineStr"/>
    </row>
    <row r="371">
      <c r="A371" t="n">
        <v>306</v>
      </c>
      <c r="B371" t="inlineStr"/>
      <c r="C371" t="inlineStr">
        <is>
          <t>Санкт-Петербург г, Синопская наб, 66</t>
        </is>
      </c>
      <c r="D371" t="n">
        <v>4078</v>
      </c>
      <c r="E371" t="inlineStr"/>
      <c r="F371" t="inlineStr"/>
      <c r="G371" t="inlineStr">
        <is>
          <t>958 000 000</t>
        </is>
      </c>
      <c r="H371" t="inlineStr"/>
      <c r="I371" t="inlineStr">
        <is>
          <t>Нет у нас</t>
        </is>
      </c>
      <c r="J371" t="inlineStr"/>
      <c r="K371">
        <f>HYPERLINK("https://nordwestinvest.ru/real-estates/prodaza-zdaniia-otelia-bagration-v-centralnom-r-ne-1","ссылка")</f>
        <v/>
      </c>
      <c r="L371" t="inlineStr"/>
    </row>
    <row r="372">
      <c r="A372" t="n">
        <v>308</v>
      </c>
      <c r="B372" t="inlineStr"/>
      <c r="C372" t="inlineStr">
        <is>
          <t>Ленинградская обл, Сиверский гп, Строителей ул, 1а</t>
        </is>
      </c>
      <c r="D372" t="n">
        <v>242</v>
      </c>
      <c r="E372" t="inlineStr"/>
      <c r="F372" t="inlineStr"/>
      <c r="G372" t="inlineStr">
        <is>
          <t>45 000 000</t>
        </is>
      </c>
      <c r="H372" t="inlineStr"/>
      <c r="I372" t="inlineStr">
        <is>
          <t>Нет у нас</t>
        </is>
      </c>
      <c r="J372" t="inlineStr"/>
      <c r="K372">
        <f>HYPERLINK("https://nordwestinvest.ru/real-estates/prodaza-gab-s-nadeznymi-arendatorami","ссылка")</f>
        <v/>
      </c>
      <c r="L372" t="inlineStr"/>
    </row>
    <row r="373">
      <c r="A373" t="n">
        <v>310</v>
      </c>
      <c r="B373" t="inlineStr"/>
      <c r="C373" t="inlineStr">
        <is>
          <t>Ленинградская обл, Новое Девяткино д, Главная ул, 31</t>
        </is>
      </c>
      <c r="D373" t="n">
        <v>634</v>
      </c>
      <c r="E373" t="inlineStr"/>
      <c r="F373" t="inlineStr"/>
      <c r="G373" t="inlineStr">
        <is>
          <t>27 000 000</t>
        </is>
      </c>
      <c r="H373" t="inlineStr"/>
      <c r="I373" t="inlineStr">
        <is>
          <t>Нет у нас</t>
        </is>
      </c>
      <c r="J373" t="inlineStr"/>
      <c r="K373">
        <f>HYPERLINK("https://nordwestinvest.ru/real-estates/prodaza-zu-v-novoe-deviatkino","ссылка")</f>
        <v/>
      </c>
      <c r="L373" t="inlineStr"/>
    </row>
    <row r="374">
      <c r="A374" t="n">
        <v>311</v>
      </c>
      <c r="B374" t="inlineStr"/>
      <c r="C374" t="inlineStr">
        <is>
          <t>Ленинградская обл, Скотное д, -, 1</t>
        </is>
      </c>
      <c r="D374" t="n">
        <v>58615</v>
      </c>
      <c r="E374" t="inlineStr"/>
      <c r="F374" t="inlineStr"/>
      <c r="G374" t="inlineStr">
        <is>
          <t>180 000 000</t>
        </is>
      </c>
      <c r="H374" t="inlineStr"/>
      <c r="I374" t="inlineStr">
        <is>
          <t>Нет у нас</t>
        </is>
      </c>
      <c r="J374" t="inlineStr"/>
      <c r="K374">
        <f>HYPERLINK("https://nordwestinvest.ru/real-estates/prodaza-zu-58615-kvm-2","ссылка")</f>
        <v/>
      </c>
      <c r="L374" t="inlineStr"/>
    </row>
    <row r="375">
      <c r="A375" t="n">
        <v>313</v>
      </c>
      <c r="B375" t="inlineStr"/>
      <c r="C375" t="inlineStr">
        <is>
          <t>Санкт-Петербург г, Обуховской Обороны пр-кт, 38 В</t>
        </is>
      </c>
      <c r="D375" t="n">
        <v>3000</v>
      </c>
      <c r="E375" t="inlineStr"/>
      <c r="F375" t="inlineStr"/>
      <c r="G375" t="inlineStr">
        <is>
          <t>600 000 000</t>
        </is>
      </c>
      <c r="H375" t="inlineStr"/>
      <c r="I375" t="inlineStr">
        <is>
          <t>Нет у нас</t>
        </is>
      </c>
      <c r="J375" t="inlineStr"/>
      <c r="K375">
        <f>HYPERLINK("https://nordwestinvest.ru/real-estates/prodaza-pomeshheniia-s-thermoland","ссылка")</f>
        <v/>
      </c>
      <c r="L375" t="inlineStr"/>
    </row>
    <row r="376">
      <c r="A376" t="n">
        <v>314</v>
      </c>
      <c r="B376" t="inlineStr"/>
      <c r="C376" t="inlineStr">
        <is>
          <t>Петергоф г, Разводная ул, 29литераА</t>
        </is>
      </c>
      <c r="D376" t="n">
        <v>73</v>
      </c>
      <c r="E376" t="inlineStr"/>
      <c r="F376" t="inlineStr"/>
      <c r="G376" t="inlineStr">
        <is>
          <t>274 999</t>
        </is>
      </c>
      <c r="H376" t="inlineStr"/>
      <c r="I376" t="inlineStr">
        <is>
          <t>Нет у нас</t>
        </is>
      </c>
      <c r="J376" t="inlineStr"/>
      <c r="K376">
        <f>HYPERLINK("https://nordwestinvest.ru/real-estates/arenda-pomeshheniia-na-trafike-72m","ссылка")</f>
        <v/>
      </c>
      <c r="L376" t="inlineStr"/>
    </row>
    <row r="377">
      <c r="A377" t="n">
        <v>315</v>
      </c>
      <c r="B377" t="inlineStr"/>
      <c r="C377" t="inlineStr">
        <is>
          <t>Санкт-Петербург г, Хошимина ул, 11к1</t>
        </is>
      </c>
      <c r="D377" t="n">
        <v>380</v>
      </c>
      <c r="E377" t="inlineStr"/>
      <c r="F377" t="inlineStr"/>
      <c r="G377" t="inlineStr">
        <is>
          <t>56 900 000</t>
        </is>
      </c>
      <c r="H377" t="inlineStr"/>
      <c r="I377" t="inlineStr">
        <is>
          <t>Нет у нас</t>
        </is>
      </c>
      <c r="J377" t="inlineStr"/>
      <c r="K377">
        <f>HYPERLINK("https://nordwestinvest.ru/real-estates/gab-okupaemost-9-let-s-nds","ссылка")</f>
        <v/>
      </c>
      <c r="L377" t="inlineStr"/>
    </row>
    <row r="378">
      <c r="A378" t="n">
        <v>316</v>
      </c>
      <c r="B378" t="inlineStr"/>
      <c r="C378" t="inlineStr">
        <is>
          <t>Санкт-Петербург г, Невский пр-кт, 180/2 А</t>
        </is>
      </c>
      <c r="D378" t="n">
        <v>110</v>
      </c>
      <c r="E378" t="inlineStr"/>
      <c r="F378" t="inlineStr"/>
      <c r="G378" t="inlineStr">
        <is>
          <t>50 490 000</t>
        </is>
      </c>
      <c r="H378" t="inlineStr"/>
      <c r="I378" t="inlineStr">
        <is>
          <t>Нет у нас</t>
        </is>
      </c>
      <c r="J378" t="inlineStr"/>
      <c r="K378">
        <f>HYPERLINK("https://nordwestinvest.ru/real-estates/prodaza-pomeshheniia-na-nevskom-pr-te-u-metro","ссылка")</f>
        <v/>
      </c>
      <c r="L378" t="inlineStr"/>
    </row>
    <row r="379">
      <c r="A379" t="n">
        <v>317</v>
      </c>
      <c r="B379" t="inlineStr"/>
      <c r="C379" t="inlineStr">
        <is>
          <t>Санкт-Петербург г, Королёва пр-кт, 66</t>
        </is>
      </c>
      <c r="D379" t="n">
        <v>157</v>
      </c>
      <c r="E379" t="inlineStr"/>
      <c r="F379" t="inlineStr"/>
      <c r="G379" t="inlineStr">
        <is>
          <t>29 900 000</t>
        </is>
      </c>
      <c r="H379" t="inlineStr"/>
      <c r="I379" t="inlineStr">
        <is>
          <t>Нет у нас</t>
        </is>
      </c>
      <c r="J379" t="inlineStr"/>
      <c r="K379">
        <f>HYPERLINK("https://nordwestinvest.ru/real-estates/prodaza-pomeshheniia-s-arendatorami-157-m2","ссылка")</f>
        <v/>
      </c>
      <c r="L379" t="inlineStr"/>
    </row>
    <row r="380">
      <c r="A380" t="n">
        <v>318</v>
      </c>
      <c r="B380" t="inlineStr"/>
      <c r="C380" t="inlineStr">
        <is>
          <t>Санкт-Петербург г, 12-я В.О. линия, 41к2</t>
        </is>
      </c>
      <c r="D380" t="n">
        <v>133.3</v>
      </c>
      <c r="E380" t="inlineStr"/>
      <c r="F380" t="inlineStr"/>
      <c r="G380" t="inlineStr">
        <is>
          <t>55 500 000</t>
        </is>
      </c>
      <c r="H380" t="inlineStr"/>
      <c r="I380" t="inlineStr">
        <is>
          <t>Нет у нас</t>
        </is>
      </c>
      <c r="J380" t="inlineStr"/>
      <c r="K380">
        <f>HYPERLINK("https://nordwestinvest.ru/real-estates/pomeshhenie-v-osobniake-bremme-1333m","ссылка")</f>
        <v/>
      </c>
      <c r="L380" t="inlineStr"/>
    </row>
    <row r="381">
      <c r="A381" t="n">
        <v>320</v>
      </c>
      <c r="B381" t="inlineStr"/>
      <c r="C381" t="inlineStr">
        <is>
          <t>Санкт-Петербург г, Шафировский пр-кт, 17 Е</t>
        </is>
      </c>
      <c r="D381" t="n">
        <v>3300</v>
      </c>
      <c r="E381" t="inlineStr"/>
      <c r="F381" t="inlineStr"/>
      <c r="G381" t="inlineStr">
        <is>
          <t>396 000 000</t>
        </is>
      </c>
      <c r="H381" t="inlineStr"/>
      <c r="I381" t="inlineStr">
        <is>
          <t>Нет у нас</t>
        </is>
      </c>
      <c r="J381" t="inlineStr"/>
      <c r="K381">
        <f>HYPERLINK("https://nordwestinvest.ru/real-estates/prodaza-sklada-3300-m2","ссылка")</f>
        <v/>
      </c>
      <c r="L381" t="inlineStr"/>
    </row>
    <row r="382">
      <c r="A382" t="n">
        <v>321</v>
      </c>
      <c r="B382" t="inlineStr"/>
      <c r="C382" t="inlineStr">
        <is>
          <t>Санкт-Петербург г, Парнас м, -</t>
        </is>
      </c>
      <c r="D382" t="n">
        <v>400</v>
      </c>
      <c r="E382" t="inlineStr"/>
      <c r="F382" t="inlineStr"/>
      <c r="G382" t="inlineStr">
        <is>
          <t>150 077 700</t>
        </is>
      </c>
      <c r="H382" t="inlineStr"/>
      <c r="I382" t="inlineStr">
        <is>
          <t>Нет у нас</t>
        </is>
      </c>
      <c r="J382" t="inlineStr"/>
      <c r="K382">
        <f>HYPERLINK("https://nordwestinvest.ru/real-estates/prodaza-pomeshhenii-v-tk-s-arendatorami","ссылка")</f>
        <v/>
      </c>
      <c r="L382" t="inlineStr"/>
    </row>
    <row r="383">
      <c r="A383" t="n">
        <v>324</v>
      </c>
      <c r="B383" t="inlineStr"/>
      <c r="C383" t="inlineStr">
        <is>
          <t>Санкт-Петербург г, Парнас м, -</t>
        </is>
      </c>
      <c r="D383" t="n">
        <v>35</v>
      </c>
      <c r="E383" t="inlineStr"/>
      <c r="F383" t="inlineStr"/>
      <c r="G383" t="inlineStr">
        <is>
          <t>16 800 000</t>
        </is>
      </c>
      <c r="H383" t="inlineStr"/>
      <c r="I383" t="inlineStr">
        <is>
          <t>Нет у нас</t>
        </is>
      </c>
      <c r="J383" t="inlineStr"/>
      <c r="K383">
        <f>HYPERLINK("https://nordwestinvest.ru/real-estates/prodaza-pomeshheniia-v-tk-s-xmel-i-solod","ссылка")</f>
        <v/>
      </c>
      <c r="L383" t="inlineStr"/>
    </row>
    <row r="384">
      <c r="A384" t="n">
        <v>325</v>
      </c>
      <c r="B384" t="inlineStr"/>
      <c r="C384" t="inlineStr">
        <is>
          <t>Санкт-Петербург г, Парнас м, -</t>
        </is>
      </c>
      <c r="D384" t="n">
        <v>35</v>
      </c>
      <c r="E384" t="inlineStr"/>
      <c r="F384" t="inlineStr"/>
      <c r="G384" t="inlineStr">
        <is>
          <t>16 800 000</t>
        </is>
      </c>
      <c r="H384" t="inlineStr"/>
      <c r="I384" t="inlineStr">
        <is>
          <t>Нет у нас</t>
        </is>
      </c>
      <c r="J384" t="inlineStr"/>
      <c r="K384">
        <f>HYPERLINK("https://nordwestinvest.ru/real-estates/prodaza-pomeshheniia-v-tk-s-vape-club","ссылка")</f>
        <v/>
      </c>
      <c r="L384" t="inlineStr"/>
    </row>
    <row r="385">
      <c r="A385" t="n">
        <v>326</v>
      </c>
      <c r="B385" t="inlineStr"/>
      <c r="C385" t="inlineStr">
        <is>
          <t>Санкт-Петербург г, Парнас м, -</t>
        </is>
      </c>
      <c r="D385" t="n">
        <v>65</v>
      </c>
      <c r="E385" t="inlineStr"/>
      <c r="F385" t="inlineStr"/>
      <c r="G385" t="inlineStr">
        <is>
          <t>25 740 000</t>
        </is>
      </c>
      <c r="H385" t="inlineStr"/>
      <c r="I385" t="inlineStr">
        <is>
          <t>Нет у нас</t>
        </is>
      </c>
      <c r="J385" t="inlineStr"/>
      <c r="K385">
        <f>HYPERLINK("https://nordwestinvest.ru/real-estates/prodaza-pomeshheniia-v-tk-s-saverlend","ссылка")</f>
        <v/>
      </c>
      <c r="L385" t="inlineStr"/>
    </row>
    <row r="386">
      <c r="A386" t="n">
        <v>327</v>
      </c>
      <c r="B386" t="inlineStr"/>
      <c r="C386" t="inlineStr">
        <is>
          <t>Санкт-Петербург г, Парнас м, -</t>
        </is>
      </c>
      <c r="D386" t="n">
        <v>124</v>
      </c>
      <c r="E386" t="inlineStr"/>
      <c r="F386" t="inlineStr"/>
      <c r="G386" t="inlineStr">
        <is>
          <t>52 080 000</t>
        </is>
      </c>
      <c r="H386" t="inlineStr"/>
      <c r="I386" t="inlineStr">
        <is>
          <t>Нет у нас</t>
        </is>
      </c>
      <c r="J386" t="inlineStr"/>
      <c r="K386">
        <f>HYPERLINK("https://nordwestinvest.ru/real-estates/prodaza-pomeshheniia-v-tk-s-vinlab","ссылка")</f>
        <v/>
      </c>
      <c r="L386" t="inlineStr"/>
    </row>
    <row r="387">
      <c r="A387" t="n">
        <v>328</v>
      </c>
      <c r="B387" t="inlineStr"/>
      <c r="C387" t="inlineStr">
        <is>
          <t>Санкт-Петербург г, Парнас м, -</t>
        </is>
      </c>
      <c r="D387" t="n">
        <v>141</v>
      </c>
      <c r="E387" t="inlineStr"/>
      <c r="F387" t="inlineStr"/>
      <c r="G387" t="inlineStr">
        <is>
          <t>65 142 000</t>
        </is>
      </c>
      <c r="H387" t="inlineStr"/>
      <c r="I387" t="inlineStr">
        <is>
          <t>Нет у нас</t>
        </is>
      </c>
      <c r="J387" t="inlineStr"/>
      <c r="K387">
        <f>HYPERLINK("https://nordwestinvest.ru/real-estates/prodaza-pomeshheniia-v-tk-s-xlebnikom","ссылка")</f>
        <v/>
      </c>
      <c r="L387" t="inlineStr"/>
    </row>
    <row r="388">
      <c r="A388" t="n">
        <v>329</v>
      </c>
      <c r="B388" t="inlineStr"/>
      <c r="C388" t="inlineStr">
        <is>
          <t>Ярославская обл, Ярославль г, Балашова ул, 12</t>
        </is>
      </c>
      <c r="D388" t="n">
        <v>30937</v>
      </c>
      <c r="E388" t="inlineStr"/>
      <c r="F388" t="inlineStr"/>
      <c r="G388" t="inlineStr">
        <is>
          <t>387 000 000</t>
        </is>
      </c>
      <c r="H388" t="inlineStr"/>
      <c r="I388" t="inlineStr">
        <is>
          <t>Нет у нас</t>
        </is>
      </c>
      <c r="J388" t="inlineStr"/>
      <c r="K388">
        <f>HYPERLINK("https://nordwestinvest.ru/real-estates/iaroslavl","ссылка")</f>
        <v/>
      </c>
      <c r="L388" t="inlineStr"/>
    </row>
    <row r="389">
      <c r="A389" t="n">
        <v>330</v>
      </c>
      <c r="B389" t="inlineStr"/>
      <c r="C389" t="inlineStr">
        <is>
          <t>Санкт-Петербург г, Петергоф г, Шахматова ул, 14</t>
        </is>
      </c>
      <c r="D389" t="n">
        <v>176625</v>
      </c>
      <c r="E389" t="inlineStr"/>
      <c r="F389" t="inlineStr"/>
      <c r="G389" t="inlineStr">
        <is>
          <t>1 000 000 000</t>
        </is>
      </c>
      <c r="H389" t="inlineStr"/>
      <c r="I389" t="inlineStr">
        <is>
          <t>Нет у нас</t>
        </is>
      </c>
      <c r="J389" t="inlineStr"/>
      <c r="K389">
        <f>HYPERLINK("https://nordwestinvest.ru/real-estates/petergof","ссылка")</f>
        <v/>
      </c>
      <c r="L389" t="inlineStr"/>
    </row>
    <row r="390">
      <c r="A390" t="n">
        <v>331</v>
      </c>
      <c r="B390" t="inlineStr"/>
      <c r="C390" t="inlineStr">
        <is>
          <t>Санкт-Петербург г, Санкт-Петербург г, Вадима Шефнера ул, 4</t>
        </is>
      </c>
      <c r="D390" t="n">
        <v>34806</v>
      </c>
      <c r="E390" t="inlineStr"/>
      <c r="F390" t="inlineStr"/>
      <c r="G390" t="inlineStr">
        <is>
          <t>2 070 000 000</t>
        </is>
      </c>
      <c r="H390" t="inlineStr"/>
      <c r="I390" t="inlineStr">
        <is>
          <t>Нет у нас</t>
        </is>
      </c>
      <c r="J390" t="inlineStr"/>
      <c r="K390">
        <f>HYPERLINK("https://nordwestinvest.ru/real-estates/vasilevskogoostrova-kvartal-4","ссылка")</f>
        <v/>
      </c>
      <c r="L390" t="inlineStr"/>
    </row>
    <row r="391">
      <c r="A391" t="n">
        <v>332</v>
      </c>
      <c r="B391" t="inlineStr"/>
      <c r="C391" t="inlineStr">
        <is>
          <t>Нижегородская обл, Нижний Новгород г, Левобережная ул, 1</t>
        </is>
      </c>
      <c r="D391" t="n">
        <v>46000</v>
      </c>
      <c r="E391" t="inlineStr"/>
      <c r="F391" t="inlineStr"/>
      <c r="G391" t="inlineStr">
        <is>
          <t>7 526 000 200</t>
        </is>
      </c>
      <c r="H391" t="inlineStr"/>
      <c r="I391" t="inlineStr">
        <is>
          <t>Нет у нас</t>
        </is>
      </c>
      <c r="J391" t="inlineStr"/>
      <c r="K391">
        <f>HYPERLINK("https://nordwestinvest.ru/real-estates/niznii-novgorod","ссылка")</f>
        <v/>
      </c>
      <c r="L391" t="inlineStr"/>
    </row>
    <row r="392">
      <c r="A392" t="n">
        <v>333</v>
      </c>
      <c r="B392" t="inlineStr"/>
      <c r="C392" t="inlineStr">
        <is>
          <t>Москва г, Перовский проезд, 54</t>
        </is>
      </c>
      <c r="D392" t="n">
        <v>34564</v>
      </c>
      <c r="E392" t="inlineStr"/>
      <c r="F392" t="inlineStr"/>
      <c r="G392" t="inlineStr">
        <is>
          <t>900 000 000</t>
        </is>
      </c>
      <c r="H392" t="inlineStr"/>
      <c r="I392" t="inlineStr">
        <is>
          <t>Нет у нас</t>
        </is>
      </c>
      <c r="J392" t="inlineStr"/>
      <c r="K392">
        <f>HYPERLINK("https://nordwestinvest.ru/real-estates/g-moskva","ссылка")</f>
        <v/>
      </c>
      <c r="L392" t="inlineStr"/>
    </row>
    <row r="393">
      <c r="A393" t="n">
        <v>334</v>
      </c>
      <c r="B393" t="inlineStr"/>
      <c r="C393" t="inlineStr">
        <is>
          <t>Владимирская обл, Владимир г, Тракторная ул, 1</t>
        </is>
      </c>
      <c r="D393" t="n">
        <v>353566</v>
      </c>
      <c r="E393" t="inlineStr"/>
      <c r="F393" t="inlineStr"/>
      <c r="G393" t="inlineStr">
        <is>
          <t>5 306 000 000</t>
        </is>
      </c>
      <c r="H393" t="inlineStr"/>
      <c r="I393" t="inlineStr">
        <is>
          <t>Нет у нас</t>
        </is>
      </c>
      <c r="J393" t="inlineStr"/>
      <c r="K393">
        <f>HYPERLINK("https://nordwestinvest.ru/real-estates/g-vladimir","ссылка")</f>
        <v/>
      </c>
      <c r="L393" t="inlineStr"/>
    </row>
    <row r="394">
      <c r="A394" t="n">
        <v>335</v>
      </c>
      <c r="B394" t="inlineStr"/>
      <c r="C394" t="inlineStr">
        <is>
          <t>Ленинградская обл, Фёдоровское гп, Фабричный пр-д, 5</t>
        </is>
      </c>
      <c r="D394" t="n">
        <v>1440</v>
      </c>
      <c r="E394" t="inlineStr"/>
      <c r="F394" t="inlineStr"/>
      <c r="G394" t="inlineStr">
        <is>
          <t>65 000 000</t>
        </is>
      </c>
      <c r="H394" t="inlineStr"/>
      <c r="I394" t="inlineStr">
        <is>
          <t>Нет у нас</t>
        </is>
      </c>
      <c r="J394" t="inlineStr"/>
      <c r="K394">
        <f>HYPERLINK("https://nordwestinvest.ru/real-estates/prodaza-teplogo-skladskogo-pomeshheniia-1440-m2","ссылка")</f>
        <v/>
      </c>
      <c r="L394" t="inlineStr"/>
    </row>
    <row r="395">
      <c r="A395" t="n">
        <v>337</v>
      </c>
      <c r="B395" t="inlineStr"/>
      <c r="C395" t="inlineStr">
        <is>
          <t>Ленинградская обл, Сосново п, Ленинградская ул, 9</t>
        </is>
      </c>
      <c r="D395" t="n">
        <v>410</v>
      </c>
      <c r="E395" t="inlineStr"/>
      <c r="F395" t="inlineStr"/>
      <c r="G395" t="inlineStr">
        <is>
          <t>50 000 000</t>
        </is>
      </c>
      <c r="H395" t="inlineStr"/>
      <c r="I395" t="inlineStr">
        <is>
          <t>Нет у нас</t>
        </is>
      </c>
      <c r="J395" t="inlineStr"/>
      <c r="K395">
        <f>HYPERLINK("https://nordwestinvest.ru/real-estates/prodaza-magnit","ссылка")</f>
        <v/>
      </c>
      <c r="L395" t="inlineStr"/>
    </row>
    <row r="396">
      <c r="A396" t="n">
        <v>338</v>
      </c>
      <c r="B396" t="inlineStr"/>
      <c r="C396" t="inlineStr">
        <is>
          <t>Санкт-Петербург г, Камышовая ул, 17</t>
        </is>
      </c>
      <c r="D396" t="n">
        <v>3470</v>
      </c>
      <c r="E396" t="inlineStr"/>
      <c r="F396" t="inlineStr"/>
      <c r="G396" t="inlineStr">
        <is>
          <t>609 000 000</t>
        </is>
      </c>
      <c r="H396" t="inlineStr"/>
      <c r="I396" t="inlineStr">
        <is>
          <t>Нет у нас</t>
        </is>
      </c>
      <c r="J396" t="inlineStr"/>
      <c r="K396">
        <f>HYPERLINK("https://nordwestinvest.ru/real-estates/osz-s-okupaemostiu-12-let-s-zemlei","ссылка")</f>
        <v/>
      </c>
      <c r="L396" t="inlineStr"/>
    </row>
    <row r="397">
      <c r="A397" t="n">
        <v>339</v>
      </c>
      <c r="B397" t="inlineStr"/>
      <c r="C397" t="inlineStr">
        <is>
          <t>Ленинградская обл, Янино-1 гп, Шоссейная ул, 10</t>
        </is>
      </c>
      <c r="D397" t="n">
        <v>210</v>
      </c>
      <c r="E397" t="inlineStr"/>
      <c r="F397" t="inlineStr"/>
      <c r="G397" t="inlineStr">
        <is>
          <t>35 000 000</t>
        </is>
      </c>
      <c r="H397" t="inlineStr"/>
      <c r="I397" t="inlineStr">
        <is>
          <t>Нет у нас</t>
        </is>
      </c>
      <c r="J397" t="inlineStr"/>
      <c r="K397">
        <f>HYPERLINK("https://nordwestinvest.ru/real-estates/prodaza-biznesa-mobilnoi-azs-na-sieezde-s-kada","ссылка")</f>
        <v/>
      </c>
      <c r="L397" t="inlineStr"/>
    </row>
    <row r="398">
      <c r="A398" t="n">
        <v>340</v>
      </c>
      <c r="B398" t="inlineStr"/>
      <c r="C398" t="inlineStr">
        <is>
          <t>Парголово п, Заречная ул, 40к1</t>
        </is>
      </c>
      <c r="D398" t="n">
        <v>79.09999999999999</v>
      </c>
      <c r="E398" t="inlineStr"/>
      <c r="F398" t="inlineStr"/>
      <c r="G398" t="inlineStr">
        <is>
          <t>19 775 000</t>
        </is>
      </c>
      <c r="H398" t="inlineStr"/>
      <c r="I398" t="inlineStr">
        <is>
          <t>Нет у нас</t>
        </is>
      </c>
      <c r="J398" t="inlineStr"/>
      <c r="K398">
        <f>HYPERLINK("https://nordwestinvest.ru/real-estates/prodaza-pomeshheniia-s-arendatorom-studiia-tancev","ссылка")</f>
        <v/>
      </c>
      <c r="L398" t="inlineStr"/>
    </row>
    <row r="399">
      <c r="A399" t="n">
        <v>341</v>
      </c>
      <c r="B399" t="inlineStr"/>
      <c r="C399" t="inlineStr">
        <is>
          <t>Санкт-Петербург г, Парашютная ул, 63</t>
        </is>
      </c>
      <c r="D399" t="n">
        <v>710</v>
      </c>
      <c r="E399" t="inlineStr"/>
      <c r="F399" t="inlineStr"/>
      <c r="G399" t="inlineStr">
        <is>
          <t>81 000 002</t>
        </is>
      </c>
      <c r="H399" t="inlineStr"/>
      <c r="I399" t="inlineStr">
        <is>
          <t>Нет у нас</t>
        </is>
      </c>
      <c r="J399" t="inlineStr"/>
      <c r="K399">
        <f>HYPERLINK("https://nordwestinvest.ru/real-estates/prodaza-pomeshheniia-pod-sobstvennyi-biznes-1","ссылка")</f>
        <v/>
      </c>
      <c r="L399" t="inlineStr"/>
    </row>
    <row r="400">
      <c r="A400" t="n">
        <v>342</v>
      </c>
      <c r="B400" t="inlineStr"/>
      <c r="C400" t="inlineStr">
        <is>
          <t>Санкт-Петербург г, Лесной пр-кт, 75</t>
        </is>
      </c>
      <c r="D400" t="n">
        <v>484.5</v>
      </c>
      <c r="E400" t="inlineStr"/>
      <c r="F400" t="inlineStr"/>
      <c r="G400" t="inlineStr">
        <is>
          <t>53 688 000</t>
        </is>
      </c>
      <c r="H400" t="inlineStr"/>
      <c r="I400" t="inlineStr">
        <is>
          <t>Нет у нас</t>
        </is>
      </c>
      <c r="J400" t="inlineStr"/>
      <c r="K400">
        <f>HYPERLINK("https://nordwestinvest.ru/real-estates/prodaza-2-x-etaznogo-pomeshheniia-na-liteinom-pr-te","ссылка")</f>
        <v/>
      </c>
      <c r="L400" t="inlineStr"/>
    </row>
    <row r="401">
      <c r="A401" t="n">
        <v>343</v>
      </c>
      <c r="B401" t="inlineStr"/>
      <c r="C401" t="inlineStr">
        <is>
          <t>Санкт-Петербург г, Петровская коса, 1к1 Р</t>
        </is>
      </c>
      <c r="D401" t="n">
        <v>250</v>
      </c>
      <c r="E401" t="inlineStr"/>
      <c r="F401" t="inlineStr"/>
      <c r="G401" t="inlineStr">
        <is>
          <t>68 692 000</t>
        </is>
      </c>
      <c r="H401" t="inlineStr"/>
      <c r="I401" t="inlineStr">
        <is>
          <t>Нет у нас</t>
        </is>
      </c>
      <c r="J401" t="inlineStr"/>
      <c r="K401">
        <f>HYPERLINK("https://nordwestinvest.ru/real-estates/prodaza-ofisnogo-bloka-250-m2petrovskii-ostrov","ссылка")</f>
        <v/>
      </c>
      <c r="L401" t="inlineStr"/>
    </row>
    <row r="402">
      <c r="A402" t="n">
        <v>345</v>
      </c>
      <c r="B402" t="inlineStr"/>
      <c r="C402" t="inlineStr">
        <is>
          <t>Санкт-Петербург г, Выборгская наб, 59</t>
        </is>
      </c>
      <c r="D402" t="n">
        <v>300</v>
      </c>
      <c r="E402" t="inlineStr"/>
      <c r="F402" t="inlineStr"/>
      <c r="G402" t="inlineStr">
        <is>
          <t>25 000 000</t>
        </is>
      </c>
      <c r="H402" t="inlineStr"/>
      <c r="I402" t="inlineStr">
        <is>
          <t>Нет у нас</t>
        </is>
      </c>
      <c r="J402" t="inlineStr"/>
      <c r="K402">
        <f>HYPERLINK("https://nordwestinvest.ru/real-estates/gotovyi-biznes-sveinaia-fabrika-okupaemost-4-goda","ссылка")</f>
        <v/>
      </c>
      <c r="L402" t="inlineStr"/>
    </row>
    <row r="403">
      <c r="A403" t="n">
        <v>347</v>
      </c>
      <c r="B403" t="inlineStr"/>
      <c r="C403" t="inlineStr">
        <is>
          <t>Санкт-Петербург г, Шотмана ул, 7</t>
        </is>
      </c>
      <c r="D403" t="n">
        <v>540</v>
      </c>
      <c r="E403" t="inlineStr"/>
      <c r="F403" t="inlineStr"/>
      <c r="G403" t="inlineStr">
        <is>
          <t>54 000 000</t>
        </is>
      </c>
      <c r="H403" t="inlineStr"/>
      <c r="I403" t="inlineStr">
        <is>
          <t>Нет у нас</t>
        </is>
      </c>
      <c r="J403" t="inlineStr"/>
      <c r="K403">
        <f>HYPERLINK("https://nordwestinvest.ru/real-estates/prodaza-s-arendatorom-piaterocka-445m2","ссылка")</f>
        <v/>
      </c>
      <c r="L403" t="inlineStr"/>
    </row>
    <row r="404">
      <c r="A404" t="n">
        <v>348</v>
      </c>
      <c r="B404" t="inlineStr"/>
      <c r="C404" t="inlineStr">
        <is>
          <t>Санкт-Петербург г, Академика Лебедева ул, 31</t>
        </is>
      </c>
      <c r="D404" t="n">
        <v>58</v>
      </c>
      <c r="E404" t="inlineStr"/>
      <c r="F404" t="inlineStr"/>
      <c r="G404" t="inlineStr">
        <is>
          <t>45 320 000</t>
        </is>
      </c>
      <c r="H404" t="inlineStr"/>
      <c r="I404" t="inlineStr">
        <is>
          <t>Нет у нас</t>
        </is>
      </c>
      <c r="J404" t="inlineStr"/>
      <c r="K404">
        <f>HYPERLINK("https://nordwestinvest.ru/real-estates/prodaza-gab-s-setevym-arendatorom","ссылка")</f>
        <v/>
      </c>
      <c r="L404" t="inlineStr"/>
    </row>
    <row r="405">
      <c r="A405" t="n">
        <v>349</v>
      </c>
      <c r="B405" t="inlineStr"/>
      <c r="C405" t="inlineStr">
        <is>
          <t>Ленинградская обл, Новое Девяткино д, Главная ул, 8</t>
        </is>
      </c>
      <c r="D405" t="n">
        <v>112</v>
      </c>
      <c r="E405" t="inlineStr"/>
      <c r="F405" t="inlineStr"/>
      <c r="G405" t="inlineStr">
        <is>
          <t>34 900 000</t>
        </is>
      </c>
      <c r="H405" t="inlineStr"/>
      <c r="I405" t="inlineStr">
        <is>
          <t>Нет у нас</t>
        </is>
      </c>
      <c r="J405" t="inlineStr"/>
      <c r="K405">
        <f>HYPERLINK("https://nordwestinvest.ru/real-estates/psn-112m2","ссылка")</f>
        <v/>
      </c>
      <c r="L405" t="inlineStr"/>
    </row>
    <row r="406">
      <c r="A406" t="n">
        <v>350</v>
      </c>
      <c r="B406" t="inlineStr"/>
      <c r="C406" t="inlineStr">
        <is>
          <t>Санкт-Петербург г, Гражданский пр-кт, 9 А</t>
        </is>
      </c>
      <c r="D406" t="n">
        <v>234</v>
      </c>
      <c r="E406" t="inlineStr"/>
      <c r="F406" t="inlineStr"/>
      <c r="G406" t="inlineStr">
        <is>
          <t>50 300 000</t>
        </is>
      </c>
      <c r="H406" t="inlineStr"/>
      <c r="I406" t="inlineStr">
        <is>
          <t>Нет у нас</t>
        </is>
      </c>
      <c r="J406" t="inlineStr"/>
      <c r="K406">
        <f>HYPERLINK("https://nordwestinvest.ru/real-estates/prodaza-s-arendatorami-234-kvm-1","ссылка")</f>
        <v/>
      </c>
      <c r="L406" t="inlineStr"/>
    </row>
    <row r="407">
      <c r="A407" t="n">
        <v>351</v>
      </c>
      <c r="B407" t="inlineStr"/>
      <c r="C407" t="inlineStr">
        <is>
          <t>Санкт-Петербург г, Академика Константинова ул, 8к2</t>
        </is>
      </c>
      <c r="D407" t="n">
        <v>101.2</v>
      </c>
      <c r="E407" t="inlineStr"/>
      <c r="F407" t="inlineStr"/>
      <c r="G407" t="inlineStr">
        <is>
          <t>26 315 000</t>
        </is>
      </c>
      <c r="H407" t="inlineStr"/>
      <c r="I407" t="inlineStr">
        <is>
          <t>Нет у нас</t>
        </is>
      </c>
      <c r="J407" t="inlineStr"/>
      <c r="K407">
        <f>HYPERLINK("https://nordwestinvest.ru/real-estates/pomeshhenie-v-zk-biznes-klassa","ссылка")</f>
        <v/>
      </c>
      <c r="L407" t="inlineStr"/>
    </row>
    <row r="408">
      <c r="A408" t="n">
        <v>354</v>
      </c>
      <c r="B408" t="inlineStr"/>
      <c r="C408" t="inlineStr">
        <is>
          <t>Ленинградская обл, Узигонты д, -, -</t>
        </is>
      </c>
      <c r="D408" t="n">
        <v>47000</v>
      </c>
      <c r="E408" t="inlineStr"/>
      <c r="F408" t="inlineStr"/>
      <c r="G408" t="inlineStr">
        <is>
          <t>120 000 000</t>
        </is>
      </c>
      <c r="H408" t="inlineStr"/>
      <c r="I408" t="inlineStr">
        <is>
          <t>Нет у нас</t>
        </is>
      </c>
      <c r="J408" t="inlineStr"/>
      <c r="K408">
        <f>HYPERLINK("https://nordwestinvest.ru/real-estates/prodaza-zemelnogo-ucastka-v-d-uzigonty","ссылка")</f>
        <v/>
      </c>
      <c r="L408" t="inlineStr"/>
    </row>
    <row r="409">
      <c r="A409" t="n">
        <v>355</v>
      </c>
      <c r="B409" t="inlineStr"/>
      <c r="C409" t="inlineStr">
        <is>
          <t>Санкт-Петербург г, Кустодиева ул, 3к1стр1</t>
        </is>
      </c>
      <c r="D409" t="n">
        <v>231.7</v>
      </c>
      <c r="E409" t="inlineStr"/>
      <c r="F409" t="inlineStr"/>
      <c r="G409" t="inlineStr">
        <is>
          <t>90 000 000</t>
        </is>
      </c>
      <c r="H409" t="inlineStr"/>
      <c r="I409" t="inlineStr">
        <is>
          <t>Нет у нас</t>
        </is>
      </c>
      <c r="J409" t="inlineStr"/>
      <c r="K409">
        <f>HYPERLINK("https://nordwestinvest.ru/real-estates/prodaza-2317m2-magnit","ссылка")</f>
        <v/>
      </c>
      <c r="L409" t="inlineStr"/>
    </row>
    <row r="410">
      <c r="A410" t="n">
        <v>356</v>
      </c>
      <c r="B410" t="inlineStr"/>
      <c r="C410" t="inlineStr">
        <is>
          <t>Санкт-Петербург г, 1-й Предпортовый проезд, 15стр1</t>
        </is>
      </c>
      <c r="D410" t="n">
        <v>149</v>
      </c>
      <c r="E410" t="inlineStr"/>
      <c r="F410" t="inlineStr"/>
      <c r="G410" t="inlineStr">
        <is>
          <t>43 200 000</t>
        </is>
      </c>
      <c r="H410" t="inlineStr"/>
      <c r="I410" t="inlineStr">
        <is>
          <t>Нет у нас</t>
        </is>
      </c>
      <c r="J410" t="inlineStr"/>
      <c r="K410">
        <f>HYPERLINK("https://nordwestinvest.ru/real-estates/prodaza-psn-14967m2","ссылка")</f>
        <v/>
      </c>
      <c r="L410" t="inlineStr"/>
    </row>
    <row r="411">
      <c r="A411" t="n">
        <v>358</v>
      </c>
      <c r="B411" t="inlineStr"/>
      <c r="C411" t="inlineStr">
        <is>
          <t>Санкт-Петербург г, Лиговский пр-кт, 65 А</t>
        </is>
      </c>
      <c r="D411" t="n">
        <v>54.3</v>
      </c>
      <c r="E411" t="inlineStr"/>
      <c r="F411" t="inlineStr"/>
      <c r="G411" t="inlineStr">
        <is>
          <t>50 000 000</t>
        </is>
      </c>
      <c r="H411" t="inlineStr"/>
      <c r="I411" t="inlineStr">
        <is>
          <t>Нет у нас</t>
        </is>
      </c>
      <c r="J411" t="inlineStr"/>
      <c r="K411">
        <f>HYPERLINK("https://nordwestinvest.ru/real-estates/prodaza-pomeshheniia-na-trafike-543m","ссылка")</f>
        <v/>
      </c>
      <c r="L411" t="inlineStr"/>
    </row>
    <row r="412">
      <c r="A412" t="n">
        <v>359</v>
      </c>
      <c r="B412" t="inlineStr"/>
      <c r="C412" t="inlineStr">
        <is>
          <t>Санкт-Петербург г, Лиговский пр-кт, 127 А</t>
        </is>
      </c>
      <c r="D412" t="n">
        <v>785.2</v>
      </c>
      <c r="E412" t="inlineStr"/>
      <c r="F412" t="inlineStr"/>
      <c r="G412" t="inlineStr">
        <is>
          <t>274 809 500</t>
        </is>
      </c>
      <c r="H412" t="inlineStr"/>
      <c r="I412" t="inlineStr">
        <is>
          <t>Нет у нас</t>
        </is>
      </c>
      <c r="J412" t="inlineStr"/>
      <c r="K412">
        <f>HYPERLINK("https://nordwestinvest.ru/real-estates/prodaza-1-liniia-ligovskii-prospekt-1","ссылка")</f>
        <v/>
      </c>
      <c r="L412" t="inlineStr"/>
    </row>
    <row r="413">
      <c r="A413" t="n">
        <v>361</v>
      </c>
      <c r="B413" t="inlineStr"/>
      <c r="C413" t="inlineStr">
        <is>
          <t>Псковская обл, Остров г, 25 Октября ул, 35</t>
        </is>
      </c>
      <c r="D413" t="n">
        <v>214.2</v>
      </c>
      <c r="E413" t="inlineStr"/>
      <c r="F413" t="inlineStr"/>
      <c r="G413" t="inlineStr">
        <is>
          <t>2 250 000</t>
        </is>
      </c>
      <c r="H413" t="inlineStr"/>
      <c r="I413" t="inlineStr">
        <is>
          <t>Нет у нас</t>
        </is>
      </c>
      <c r="J413" t="inlineStr"/>
      <c r="K413">
        <f>HYPERLINK("https://nordwestinvest.ru/real-estates/prodaza-pomeshheniia-v-pskovskaia-obl","ссылка")</f>
        <v/>
      </c>
      <c r="L413" t="inlineStr"/>
    </row>
    <row r="414">
      <c r="A414" t="n">
        <v>363</v>
      </c>
      <c r="B414" t="inlineStr"/>
      <c r="C414" t="inlineStr">
        <is>
          <t>Ленинградская обл, Яльгелево д, Южная ул, 1</t>
        </is>
      </c>
      <c r="D414" t="n">
        <v>1335</v>
      </c>
      <c r="E414" t="inlineStr"/>
      <c r="F414" t="inlineStr"/>
      <c r="G414" t="inlineStr">
        <is>
          <t>110 000 000</t>
        </is>
      </c>
      <c r="H414" t="inlineStr"/>
      <c r="I414" t="inlineStr">
        <is>
          <t>Нет у нас</t>
        </is>
      </c>
      <c r="J414" t="inlineStr"/>
      <c r="K414">
        <f>HYPERLINK("https://nordwestinvest.ru/real-estates/prodaza-torgovyx-ploshhadei-s-zemelnym-ucastkom","ссылка")</f>
        <v/>
      </c>
      <c r="L414" t="inlineStr"/>
    </row>
    <row r="415">
      <c r="A415" t="n">
        <v>365</v>
      </c>
      <c r="B415" t="inlineStr"/>
      <c r="C415" t="inlineStr">
        <is>
          <t>Санкт-Петербург г, Большая Разночинная ул, 32 Л</t>
        </is>
      </c>
      <c r="D415" t="n">
        <v>4560</v>
      </c>
      <c r="E415" t="inlineStr"/>
      <c r="F415" t="inlineStr"/>
      <c r="G415" t="inlineStr">
        <is>
          <t>835 000 000</t>
        </is>
      </c>
      <c r="H415" t="inlineStr"/>
      <c r="I415" t="inlineStr">
        <is>
          <t>Нет у нас</t>
        </is>
      </c>
      <c r="J415" t="inlineStr"/>
      <c r="K415">
        <f>HYPERLINK("https://nordwestinvest.ru/real-estates/osz-v-petrogradskom-raione-4560m2","ссылка")</f>
        <v/>
      </c>
      <c r="L415" t="inlineStr"/>
    </row>
    <row r="416">
      <c r="A416" t="n">
        <v>366</v>
      </c>
      <c r="B416" t="inlineStr"/>
      <c r="C416" t="inlineStr">
        <is>
          <t>Санкт-Петербург г, Обводного канала наб, 118а У</t>
        </is>
      </c>
      <c r="D416" t="n">
        <v>1003</v>
      </c>
      <c r="E416" t="inlineStr"/>
      <c r="F416" t="inlineStr"/>
      <c r="G416" t="inlineStr">
        <is>
          <t>300 900 000</t>
        </is>
      </c>
      <c r="H416" t="inlineStr"/>
      <c r="I416" t="inlineStr">
        <is>
          <t>Нет у нас</t>
        </is>
      </c>
      <c r="J416" t="inlineStr"/>
      <c r="K416">
        <f>HYPERLINK("https://nordwestinvest.ru/real-estates/prodaza-ofisa-v-novom-loft-prostranstve-1003-m2","ссылка")</f>
        <v/>
      </c>
      <c r="L416" t="inlineStr"/>
    </row>
    <row r="417">
      <c r="A417" t="n">
        <v>367</v>
      </c>
      <c r="B417" t="inlineStr"/>
      <c r="C417" t="inlineStr">
        <is>
          <t>Ленинградская обл, Промышленная зона Пески тер, Технологическая ул, 8</t>
        </is>
      </c>
      <c r="D417" t="n">
        <v>2193</v>
      </c>
      <c r="E417" t="inlineStr"/>
      <c r="F417" t="inlineStr"/>
      <c r="G417" t="inlineStr">
        <is>
          <t>145 000 000</t>
        </is>
      </c>
      <c r="H417" t="inlineStr"/>
      <c r="I417" t="inlineStr">
        <is>
          <t>Нет у нас</t>
        </is>
      </c>
      <c r="J417" t="inlineStr"/>
      <c r="K417">
        <f>HYPERLINK("https://nordwestinvest.ru/real-estates/prodaza-skladskogo-pomeshheniia-promzona-peski-1","ссылка")</f>
        <v/>
      </c>
      <c r="L417" t="inlineStr"/>
    </row>
    <row r="418">
      <c r="A418" t="n">
        <v>368</v>
      </c>
      <c r="B418" t="inlineStr"/>
      <c r="C418" t="inlineStr">
        <is>
          <t>Ленинградская обл, Пески д, -, -</t>
        </is>
      </c>
      <c r="D418" t="n">
        <v>1082</v>
      </c>
      <c r="E418" t="inlineStr"/>
      <c r="F418" t="inlineStr"/>
      <c r="G418" t="inlineStr">
        <is>
          <t>75 000 000</t>
        </is>
      </c>
      <c r="H418" t="inlineStr"/>
      <c r="I418" t="inlineStr">
        <is>
          <t>Нет у нас</t>
        </is>
      </c>
      <c r="J418" t="inlineStr"/>
      <c r="K418">
        <f>HYPERLINK("https://nordwestinvest.ru/real-estates/prodaza-skladskogo-pomeshheniia-promzona-peski","ссылка")</f>
        <v/>
      </c>
      <c r="L418" t="inlineStr"/>
    </row>
    <row r="419">
      <c r="A419" t="n">
        <v>369</v>
      </c>
      <c r="B419" t="inlineStr"/>
      <c r="C419" t="inlineStr">
        <is>
          <t>Новгородская обл, Старая Русса г, Дзержинского ул, 6</t>
        </is>
      </c>
      <c r="D419" t="n">
        <v>104</v>
      </c>
      <c r="E419" t="inlineStr"/>
      <c r="F419" t="inlineStr"/>
      <c r="G419" t="inlineStr">
        <is>
          <t>5 990 000</t>
        </is>
      </c>
      <c r="H419" t="inlineStr"/>
      <c r="I419" t="inlineStr">
        <is>
          <t>Нет у нас</t>
        </is>
      </c>
      <c r="J419" t="inlineStr"/>
      <c r="K419">
        <f>HYPERLINK("https://nordwestinvest.ru/real-estates/osz-gab-s-okupaemostiu-5-let","ссылка")</f>
        <v/>
      </c>
      <c r="L419" t="inlineStr"/>
    </row>
    <row r="420">
      <c r="A420" t="n">
        <v>370</v>
      </c>
      <c r="B420" t="inlineStr"/>
      <c r="C420" t="inlineStr">
        <is>
          <t>Санкт-Петербург г, 8-я Советская ул, 16/25 А</t>
        </is>
      </c>
      <c r="D420" t="n">
        <v>32</v>
      </c>
      <c r="E420" t="inlineStr"/>
      <c r="F420" t="inlineStr"/>
      <c r="G420" t="inlineStr">
        <is>
          <t>16 000 000</t>
        </is>
      </c>
      <c r="H420" t="inlineStr"/>
      <c r="I420" t="inlineStr">
        <is>
          <t>Нет у нас</t>
        </is>
      </c>
      <c r="J420" t="inlineStr"/>
      <c r="K420">
        <f>HYPERLINK("https://nordwestinvest.ru/real-estates/prodaza-gab-cito-gvrito-arenduet-11-let","ссылка")</f>
        <v/>
      </c>
      <c r="L420" t="inlineStr"/>
    </row>
    <row r="421">
      <c r="A421" t="n">
        <v>375</v>
      </c>
      <c r="B421" t="inlineStr"/>
      <c r="C421" t="inlineStr">
        <is>
          <t>Ленинградская обл, Мурино г, Шувалова ул, 1</t>
        </is>
      </c>
      <c r="D421" t="n">
        <v>180</v>
      </c>
      <c r="E421" t="inlineStr"/>
      <c r="F421" t="inlineStr"/>
      <c r="G421" t="inlineStr">
        <is>
          <t>83 000 000</t>
        </is>
      </c>
      <c r="H421" t="inlineStr"/>
      <c r="I421" t="inlineStr">
        <is>
          <t>Нет у нас</t>
        </is>
      </c>
      <c r="J421" t="inlineStr"/>
      <c r="K421">
        <f>HYPERLINK("https://nordwestinvest.ru/real-estates/prodaza-pomeshheniia-s-arendatorom-scastlivyi-vzgliad","ссылка")</f>
        <v/>
      </c>
      <c r="L421" t="inlineStr"/>
    </row>
    <row r="422">
      <c r="A422" t="n">
        <v>376</v>
      </c>
      <c r="B422" t="inlineStr"/>
      <c r="C422" t="inlineStr">
        <is>
          <t>Ленинградская обл, Янино-1 гп, Шоссейная ул, 10</t>
        </is>
      </c>
      <c r="D422" t="n">
        <v>210</v>
      </c>
      <c r="E422" t="inlineStr"/>
      <c r="F422" t="inlineStr"/>
      <c r="G422" t="inlineStr">
        <is>
          <t>46 800 000</t>
        </is>
      </c>
      <c r="H422" t="inlineStr"/>
      <c r="I422" t="inlineStr">
        <is>
          <t>Нет у нас</t>
        </is>
      </c>
      <c r="J422" t="inlineStr"/>
      <c r="K422">
        <f>HYPERLINK("https://nordwestinvest.ru/real-estates/prodaza-biznesa-mobilnoi-azs-na-sieezde-s-kada-1","ссылка")</f>
        <v/>
      </c>
      <c r="L422" t="inlineStr"/>
    </row>
    <row r="423">
      <c r="A423" t="n">
        <v>378</v>
      </c>
      <c r="B423" t="inlineStr"/>
      <c r="C423" t="inlineStr">
        <is>
          <t>Понтонный п, Пролетарской Победы ул, 7</t>
        </is>
      </c>
      <c r="D423" t="n">
        <v>7017</v>
      </c>
      <c r="E423" t="inlineStr"/>
      <c r="F423" t="inlineStr"/>
      <c r="G423" t="inlineStr">
        <is>
          <t>150 000 000</t>
        </is>
      </c>
      <c r="H423" t="inlineStr"/>
      <c r="I423" t="inlineStr">
        <is>
          <t>Нет у нас</t>
        </is>
      </c>
      <c r="J423" t="inlineStr"/>
      <c r="K423">
        <f>HYPERLINK("https://nordwestinvest.ru/real-estates/prodaza-zemelnogo-ucastka-v-pontonnom","ссылка")</f>
        <v/>
      </c>
      <c r="L423" t="inlineStr"/>
    </row>
    <row r="424">
      <c r="A424" t="n">
        <v>380</v>
      </c>
      <c r="B424" t="inlineStr"/>
      <c r="C424" t="inlineStr">
        <is>
          <t>Санкт-Петербург г, Петровская коса, 6к1стр1</t>
        </is>
      </c>
      <c r="D424" t="n">
        <v>376.9</v>
      </c>
      <c r="E424" t="inlineStr"/>
      <c r="F424" t="inlineStr"/>
      <c r="G424" t="inlineStr">
        <is>
          <t>180 000 000</t>
        </is>
      </c>
      <c r="H424" t="inlineStr"/>
      <c r="I424" t="inlineStr">
        <is>
          <t>Нет у нас</t>
        </is>
      </c>
      <c r="J424" t="inlineStr"/>
      <c r="K424">
        <f>HYPERLINK("https://nordwestinvest.ru/real-estates/prodaza-pomeshhenii-na-2-ux-etazax","ссылка")</f>
        <v/>
      </c>
      <c r="L424" t="inlineStr"/>
    </row>
    <row r="425">
      <c r="A425" t="n">
        <v>381</v>
      </c>
      <c r="B425" t="inlineStr"/>
      <c r="C425" t="inlineStr">
        <is>
          <t>Санкт-Петербург г, Бухарестская ул, 6</t>
        </is>
      </c>
      <c r="D425" t="n">
        <v>1476.8</v>
      </c>
      <c r="E425" t="inlineStr"/>
      <c r="F425" t="inlineStr"/>
      <c r="G425" t="inlineStr">
        <is>
          <t>70 000 000</t>
        </is>
      </c>
      <c r="H425" t="inlineStr"/>
      <c r="I425" t="inlineStr">
        <is>
          <t>Нет у нас</t>
        </is>
      </c>
      <c r="J425" t="inlineStr"/>
      <c r="K425">
        <f>HYPERLINK("https://nordwestinvest.ru/real-estates/prodaza-ofisa-c-vyxodom-na-kpysu","ссылка")</f>
        <v/>
      </c>
      <c r="L425" t="inlineStr"/>
    </row>
    <row r="426">
      <c r="A426" t="n">
        <v>382</v>
      </c>
      <c r="B426" t="inlineStr"/>
      <c r="C426" t="inlineStr">
        <is>
          <t>Санкт-Петербург г, Гражданский пр-кт, 76</t>
        </is>
      </c>
      <c r="D426" t="n">
        <v>60</v>
      </c>
      <c r="E426" t="inlineStr"/>
      <c r="F426" t="inlineStr"/>
      <c r="G426" t="inlineStr">
        <is>
          <t>24 000 000</t>
        </is>
      </c>
      <c r="H426" t="inlineStr"/>
      <c r="I426" t="inlineStr">
        <is>
          <t>Нет у нас</t>
        </is>
      </c>
      <c r="J426" t="inlineStr"/>
      <c r="K426">
        <f>HYPERLINK("https://nordwestinvest.ru/real-estates/prodaza-pomeshheniia-s-wildberries-1","ссылка")</f>
        <v/>
      </c>
      <c r="L426" t="inlineStr"/>
    </row>
    <row r="427">
      <c r="A427" t="n">
        <v>383</v>
      </c>
      <c r="B427" t="inlineStr"/>
      <c r="C427" t="inlineStr">
        <is>
          <t>Санкт-Петербург г, Железнодорожный пр-кт, 45</t>
        </is>
      </c>
      <c r="D427" t="n">
        <v>6791.5</v>
      </c>
      <c r="E427" t="inlineStr"/>
      <c r="F427" t="inlineStr"/>
      <c r="G427" t="inlineStr">
        <is>
          <t>200 000 000</t>
        </is>
      </c>
      <c r="H427" t="inlineStr"/>
      <c r="I427" t="inlineStr">
        <is>
          <t>Нет у нас</t>
        </is>
      </c>
      <c r="J427" t="inlineStr"/>
      <c r="K427">
        <f>HYPERLINK("https://nordwestinvest.ru/real-estates/prodaza-imushhestvennogo-kompleksa","ссылка")</f>
        <v/>
      </c>
      <c r="L427" t="inlineStr"/>
    </row>
    <row r="428">
      <c r="A428" t="n">
        <v>384</v>
      </c>
      <c r="B428" t="inlineStr"/>
      <c r="C428" t="inlineStr">
        <is>
          <t>Ленинградская обл, Янино-1 гп, Колтушское ш, -</t>
        </is>
      </c>
      <c r="D428" t="n">
        <v>30070</v>
      </c>
      <c r="E428" t="inlineStr"/>
      <c r="F428" t="inlineStr"/>
      <c r="G428" t="inlineStr">
        <is>
          <t>132 000 000</t>
        </is>
      </c>
      <c r="H428" t="inlineStr"/>
      <c r="I428" t="inlineStr">
        <is>
          <t>Нет у нас</t>
        </is>
      </c>
      <c r="J428" t="inlineStr"/>
      <c r="K428">
        <f>HYPERLINK("https://nordwestinvest.ru/real-estates/zu-na-pervoi-linii-za-ianino-1","ссылка")</f>
        <v/>
      </c>
      <c r="L428" t="inlineStr"/>
    </row>
    <row r="429">
      <c r="A429" t="n">
        <v>385</v>
      </c>
      <c r="B429" t="inlineStr"/>
      <c r="C429" t="inlineStr">
        <is>
          <t>Санкт-Петербург г, Заневский пр-кт, 65а А</t>
        </is>
      </c>
      <c r="D429" t="n">
        <v>75.40000000000001</v>
      </c>
      <c r="E429" t="inlineStr"/>
      <c r="F429" t="inlineStr"/>
      <c r="G429" t="inlineStr">
        <is>
          <t>24 800 000</t>
        </is>
      </c>
      <c r="H429" t="inlineStr"/>
      <c r="I429" t="inlineStr">
        <is>
          <t>Нет у нас</t>
        </is>
      </c>
      <c r="J429" t="inlineStr"/>
      <c r="K429">
        <f>HYPERLINK("https://nordwestinvest.ru/real-estates/prodaza-pomeshheniia-arendator-vinnyi-magazin-754m2","ссылка")</f>
        <v/>
      </c>
      <c r="L429" t="inlineStr"/>
    </row>
    <row r="430">
      <c r="A430" t="n">
        <v>386</v>
      </c>
      <c r="B430" t="inlineStr"/>
      <c r="C430" t="inlineStr">
        <is>
          <t>Санкт-Петербург г, Большая Пороховская ул, 47</t>
        </is>
      </c>
      <c r="D430" t="n">
        <v>524</v>
      </c>
      <c r="E430" t="inlineStr"/>
      <c r="F430" t="inlineStr"/>
      <c r="G430" t="inlineStr">
        <is>
          <t>33 000 000</t>
        </is>
      </c>
      <c r="H430" t="inlineStr"/>
      <c r="I430" t="inlineStr">
        <is>
          <t>Нет у нас</t>
        </is>
      </c>
      <c r="J430" t="inlineStr"/>
      <c r="K430">
        <f>HYPERLINK("https://nordwestinvest.ru/real-estates/prodaza-pomeshheniia-s-arendatorom-524-m2","ссылка")</f>
        <v/>
      </c>
      <c r="L430" t="inlineStr"/>
    </row>
    <row r="431">
      <c r="A431" t="n">
        <v>387</v>
      </c>
      <c r="B431" t="inlineStr"/>
      <c r="C431" t="inlineStr">
        <is>
          <t>Санкт-Петербург г, Жукова ул, 1к2</t>
        </is>
      </c>
      <c r="D431" t="n">
        <v>1913</v>
      </c>
      <c r="E431" t="inlineStr"/>
      <c r="F431" t="inlineStr"/>
      <c r="G431" t="inlineStr">
        <is>
          <t>270 000 000</t>
        </is>
      </c>
      <c r="H431" t="inlineStr"/>
      <c r="I431" t="inlineStr">
        <is>
          <t>Нет у нас</t>
        </is>
      </c>
      <c r="J431" t="inlineStr"/>
      <c r="K431">
        <f>HYPERLINK("https://nordwestinvest.ru/real-estates/prodam-tc-s-zemelnym-ucastkom","ссылка")</f>
        <v/>
      </c>
      <c r="L431" t="inlineStr"/>
    </row>
    <row r="432">
      <c r="A432" t="n">
        <v>388</v>
      </c>
      <c r="B432" t="inlineStr"/>
      <c r="C432" t="inlineStr">
        <is>
          <t>Пушкин г, Гусарская ул, 4 АИ</t>
        </is>
      </c>
      <c r="D432" t="n">
        <v>210</v>
      </c>
      <c r="E432" t="inlineStr"/>
      <c r="F432" t="inlineStr"/>
      <c r="G432" t="inlineStr">
        <is>
          <t>65 900 000</t>
        </is>
      </c>
      <c r="H432" t="inlineStr"/>
      <c r="I432" t="inlineStr">
        <is>
          <t>Нет у нас</t>
        </is>
      </c>
      <c r="J432" t="inlineStr"/>
      <c r="K432">
        <f>HYPERLINK("https://nordwestinvest.ru/real-estates/kofeiniamagazin-okupaemost-8vitriny-210-m2-3","ссылка")</f>
        <v/>
      </c>
      <c r="L432" t="inlineStr"/>
    </row>
    <row r="433">
      <c r="A433" t="n">
        <v>389</v>
      </c>
      <c r="B433" t="inlineStr"/>
      <c r="C433" t="inlineStr">
        <is>
          <t>Санкт-Петербург г, Индустриальный пр-кт, 76</t>
        </is>
      </c>
      <c r="D433" t="n">
        <v>1260</v>
      </c>
      <c r="E433" t="inlineStr"/>
      <c r="F433" t="inlineStr"/>
      <c r="G433" t="inlineStr">
        <is>
          <t>233 100 000</t>
        </is>
      </c>
      <c r="H433" t="inlineStr"/>
      <c r="I433" t="inlineStr">
        <is>
          <t>Нет у нас</t>
        </is>
      </c>
      <c r="J433" t="inlineStr"/>
      <c r="K433">
        <f>HYPERLINK("https://nordwestinvest.ru/real-estates/prodaza-novogo-sovremennogo-sklada-v-novosele-4","ссылка")</f>
        <v/>
      </c>
      <c r="L433" t="inlineStr"/>
    </row>
    <row r="434">
      <c r="A434" t="n">
        <v>390</v>
      </c>
      <c r="B434" t="inlineStr"/>
      <c r="C434" t="inlineStr">
        <is>
          <t>Санкт-Петербург г, Индустриальный пр-кт, 76</t>
        </is>
      </c>
      <c r="D434" t="n">
        <v>1680</v>
      </c>
      <c r="E434" t="inlineStr"/>
      <c r="F434" t="inlineStr"/>
      <c r="G434" t="inlineStr">
        <is>
          <t>302 400 000</t>
        </is>
      </c>
      <c r="H434" t="inlineStr"/>
      <c r="I434" t="inlineStr">
        <is>
          <t>Нет у нас</t>
        </is>
      </c>
      <c r="J434" t="inlineStr"/>
      <c r="K434">
        <f>HYPERLINK("https://nordwestinvest.ru/real-estates/prodaza-novogo-sovremennogo-sklada-v-novosele-2","ссылка")</f>
        <v/>
      </c>
      <c r="L434" t="inlineStr"/>
    </row>
    <row r="435">
      <c r="A435" t="n">
        <v>391</v>
      </c>
      <c r="B435" t="inlineStr"/>
      <c r="C435" t="inlineStr">
        <is>
          <t>Санкт-Петербург г, Школьная ул, 68 А</t>
        </is>
      </c>
      <c r="D435" t="n">
        <v>200</v>
      </c>
      <c r="E435" t="inlineStr"/>
      <c r="F435" t="inlineStr"/>
      <c r="G435" t="inlineStr">
        <is>
          <t>47 900 000</t>
        </is>
      </c>
      <c r="H435" t="inlineStr"/>
      <c r="I435" t="inlineStr">
        <is>
          <t>Нет у нас</t>
        </is>
      </c>
      <c r="J435" t="inlineStr"/>
      <c r="K435">
        <f>HYPERLINK("https://nordwestinvest.ru/real-estates/prodaza-pomeshheniia-s-arendatorami-200-m2","ссылка")</f>
        <v/>
      </c>
      <c r="L435" t="inlineStr"/>
    </row>
    <row r="436">
      <c r="A436" t="n">
        <v>392</v>
      </c>
      <c r="B436" t="inlineStr"/>
      <c r="C436" t="inlineStr">
        <is>
          <t>Рязанская обл, Калиновка с, -, -</t>
        </is>
      </c>
      <c r="D436" t="n">
        <v>14693499</v>
      </c>
      <c r="E436" t="inlineStr"/>
      <c r="F436" t="inlineStr"/>
      <c r="G436" t="inlineStr">
        <is>
          <t>130 000 000</t>
        </is>
      </c>
      <c r="H436" t="inlineStr"/>
      <c r="I436" t="inlineStr">
        <is>
          <t>Нет у нас</t>
        </is>
      </c>
      <c r="J436" t="inlineStr"/>
      <c r="K436">
        <f>HYPERLINK("https://nordwestinvest.ru/real-estates/prodaza-zemelnogo-ucastka-16","ссылка")</f>
        <v/>
      </c>
      <c r="L436" t="inlineStr"/>
    </row>
    <row r="437">
      <c r="A437" t="n">
        <v>393</v>
      </c>
      <c r="B437" t="inlineStr"/>
      <c r="C437" t="inlineStr">
        <is>
          <t>Санкт-Петербург г, Пейзажная ул, 28к1стр1</t>
        </is>
      </c>
      <c r="D437" t="n">
        <v>5636.2</v>
      </c>
      <c r="E437" t="inlineStr"/>
      <c r="F437" t="inlineStr"/>
      <c r="G437" t="inlineStr">
        <is>
          <t>290 000 000</t>
        </is>
      </c>
      <c r="H437" t="inlineStr"/>
      <c r="I437" t="inlineStr">
        <is>
          <t>Нет у нас</t>
        </is>
      </c>
      <c r="J437" t="inlineStr"/>
      <c r="K437">
        <f>HYPERLINK("https://nordwestinvest.ru/real-estates/prodaza-pomeshheniia-s-arendatorom-piaterocka-643-m2","ссылка")</f>
        <v/>
      </c>
      <c r="L437" t="inlineStr"/>
    </row>
    <row r="438">
      <c r="A438" t="n">
        <v>395</v>
      </c>
      <c r="B438" t="inlineStr"/>
      <c r="C438" t="inlineStr">
        <is>
          <t>Металлострой п, Железнодорожная ул, 11 А</t>
        </is>
      </c>
      <c r="D438" t="n">
        <v>2600</v>
      </c>
      <c r="E438" t="inlineStr"/>
      <c r="F438" t="inlineStr"/>
      <c r="G438" t="inlineStr">
        <is>
          <t>250 000 000</t>
        </is>
      </c>
      <c r="H438" t="inlineStr"/>
      <c r="I438" t="inlineStr">
        <is>
          <t>Нет у нас</t>
        </is>
      </c>
      <c r="J438" t="inlineStr"/>
      <c r="K438">
        <f>HYPERLINK("https://nordwestinvest.ru/real-estates/prodaza-zdaniia-s-arendatorom-otel-2600-m2","ссылка")</f>
        <v/>
      </c>
      <c r="L438" t="inlineStr"/>
    </row>
    <row r="439">
      <c r="A439" t="n">
        <v>396</v>
      </c>
      <c r="B439" t="inlineStr"/>
      <c r="C439" t="inlineStr">
        <is>
          <t>Санкт-Петербург г, Нефтяная дор, 1 к 5</t>
        </is>
      </c>
      <c r="D439" t="n">
        <v>10499.5</v>
      </c>
      <c r="E439" t="inlineStr"/>
      <c r="F439" t="inlineStr"/>
      <c r="G439" t="inlineStr">
        <is>
          <t>1 850 000 000</t>
        </is>
      </c>
      <c r="H439" t="inlineStr"/>
      <c r="I439" t="inlineStr">
        <is>
          <t>Нет у нас</t>
        </is>
      </c>
      <c r="J439" t="inlineStr"/>
      <c r="K439">
        <f>HYPERLINK("https://nordwestinvest.ru/real-estates/prodaza-imushhectvennogo-komplekca-104995","ссылка")</f>
        <v/>
      </c>
      <c r="L439" t="inlineStr"/>
    </row>
    <row r="440">
      <c r="A440" t="n">
        <v>397</v>
      </c>
      <c r="B440" t="inlineStr"/>
      <c r="C440" t="inlineStr">
        <is>
          <t>Ленинградская обл, Кузьмоловский гп, Заводская ул, 41</t>
        </is>
      </c>
      <c r="D440" t="n">
        <v>1347.6</v>
      </c>
      <c r="E440" t="inlineStr"/>
      <c r="F440" t="inlineStr"/>
      <c r="G440" t="inlineStr">
        <is>
          <t>95 000 000</t>
        </is>
      </c>
      <c r="H440" t="inlineStr"/>
      <c r="I440" t="inlineStr">
        <is>
          <t>Нет у нас</t>
        </is>
      </c>
      <c r="J440" t="inlineStr"/>
      <c r="K440">
        <f>HYPERLINK("https://nordwestinvest.ru/real-estates/prodaza-zdaniia-s-13476-m2","ссылка")</f>
        <v/>
      </c>
      <c r="L440" t="inlineStr"/>
    </row>
    <row r="441">
      <c r="A441" t="n">
        <v>400</v>
      </c>
      <c r="B441" t="inlineStr"/>
      <c r="C441" t="inlineStr">
        <is>
          <t>Ленинградская обл, автодорога Кола 21 км, Р-21 Кола, 71</t>
        </is>
      </c>
      <c r="D441" t="n">
        <v>212</v>
      </c>
      <c r="E441" t="inlineStr"/>
      <c r="F441" t="inlineStr"/>
      <c r="G441" t="inlineStr">
        <is>
          <t>19 080 000</t>
        </is>
      </c>
      <c r="H441" t="inlineStr"/>
      <c r="I441" t="inlineStr">
        <is>
          <t>Нет у нас</t>
        </is>
      </c>
      <c r="J441" t="inlineStr"/>
      <c r="K441">
        <f>HYPERLINK("https://nordwestinvest.ru/real-estates/prodaza-skladskogo-pomeshheniia-212-m2","ссылка")</f>
        <v/>
      </c>
      <c r="L441" t="inlineStr"/>
    </row>
    <row r="442">
      <c r="A442" t="n">
        <v>401</v>
      </c>
      <c r="B442" t="inlineStr"/>
      <c r="C442" t="inlineStr">
        <is>
          <t>Ленинградская обл, автодорога Кола 21 км, Р-21 Кола, 71</t>
        </is>
      </c>
      <c r="D442" t="n">
        <v>252</v>
      </c>
      <c r="E442" t="inlineStr"/>
      <c r="F442" t="inlineStr"/>
      <c r="G442" t="inlineStr">
        <is>
          <t>22 680 000</t>
        </is>
      </c>
      <c r="H442" t="inlineStr"/>
      <c r="I442" t="inlineStr">
        <is>
          <t>Нет у нас</t>
        </is>
      </c>
      <c r="J442" t="inlineStr"/>
      <c r="K442">
        <f>HYPERLINK("https://nordwestinvest.ru/real-estates/prodaza-skladskogo-pomeshheniia-252-m2","ссылка")</f>
        <v/>
      </c>
      <c r="L442" t="inlineStr"/>
    </row>
    <row r="443">
      <c r="A443" t="n">
        <v>402</v>
      </c>
      <c r="B443" t="inlineStr"/>
      <c r="C443" t="inlineStr">
        <is>
          <t>Ленинградская обл, Пески д, Победы ул, 21</t>
        </is>
      </c>
      <c r="D443" t="n">
        <v>1120</v>
      </c>
      <c r="E443" t="inlineStr"/>
      <c r="F443" t="inlineStr"/>
      <c r="G443" t="inlineStr">
        <is>
          <t>88 000 000</t>
        </is>
      </c>
      <c r="H443" t="inlineStr"/>
      <c r="I443" t="inlineStr">
        <is>
          <t>Нет у нас</t>
        </is>
      </c>
      <c r="J443" t="inlineStr"/>
      <c r="K443">
        <f>HYPERLINK("https://nordwestinvest.ru/real-estates/prodaza-gab-proizvodstva-1120-m2","ссылка")</f>
        <v/>
      </c>
      <c r="L443" t="inlineStr"/>
    </row>
    <row r="444">
      <c r="A444" t="n">
        <v>403</v>
      </c>
      <c r="B444" t="inlineStr"/>
      <c r="C444" t="inlineStr">
        <is>
          <t>Ленинградская обл, автодорога Кола 21 км, -, -</t>
        </is>
      </c>
      <c r="D444" t="n">
        <v>1797</v>
      </c>
      <c r="E444" t="inlineStr"/>
      <c r="F444" t="inlineStr"/>
      <c r="G444" t="inlineStr">
        <is>
          <t>115 000 000</t>
        </is>
      </c>
      <c r="H444" t="inlineStr"/>
      <c r="I444" t="inlineStr">
        <is>
          <t>Нет у нас</t>
        </is>
      </c>
      <c r="J444" t="inlineStr"/>
      <c r="K444">
        <f>HYPERLINK("https://nordwestinvest.ru/real-estates/prodaza-skladskogo-pomeshheniia-1797-m2","ссылка")</f>
        <v/>
      </c>
      <c r="L444" t="inlineStr"/>
    </row>
    <row r="445">
      <c r="A445" t="n">
        <v>404</v>
      </c>
      <c r="B445" t="inlineStr"/>
      <c r="C445" t="inlineStr">
        <is>
          <t>Шушары п, Московское ш, 115</t>
        </is>
      </c>
      <c r="D445" t="n">
        <v>1140</v>
      </c>
      <c r="E445" t="inlineStr"/>
      <c r="F445" t="inlineStr"/>
      <c r="G445" t="inlineStr">
        <is>
          <t>130 000 000</t>
        </is>
      </c>
      <c r="H445" t="inlineStr"/>
      <c r="I445" t="inlineStr">
        <is>
          <t>Нет у нас</t>
        </is>
      </c>
      <c r="J445" t="inlineStr"/>
      <c r="K445">
        <f>HYPERLINK("https://nordwestinvest.ru/real-estates/prodaza-sklada-1440-m2","ссылка")</f>
        <v/>
      </c>
      <c r="L445" t="inlineStr"/>
    </row>
    <row r="446">
      <c r="A446" t="n">
        <v>405</v>
      </c>
      <c r="B446" t="inlineStr"/>
      <c r="C446" t="inlineStr">
        <is>
          <t>Ленинградская обл, Мяглово д, Кузнечная ул, 15</t>
        </is>
      </c>
      <c r="D446" t="n">
        <v>1000</v>
      </c>
      <c r="E446" t="inlineStr"/>
      <c r="F446" t="inlineStr"/>
      <c r="G446" t="inlineStr">
        <is>
          <t>100 000 000</t>
        </is>
      </c>
      <c r="H446" t="inlineStr"/>
      <c r="I446" t="inlineStr">
        <is>
          <t>Нет у нас</t>
        </is>
      </c>
      <c r="J446" t="inlineStr"/>
      <c r="K446">
        <f>HYPERLINK("https://nordwestinvest.ru/real-estates/prodaza-sklada-1000-m2","ссылка")</f>
        <v/>
      </c>
      <c r="L446" t="inlineStr"/>
    </row>
    <row r="447">
      <c r="A447" t="n">
        <v>406</v>
      </c>
      <c r="B447" t="inlineStr"/>
      <c r="C447" t="inlineStr">
        <is>
          <t>Петергоф г, Гостилицкая ул, 4</t>
        </is>
      </c>
      <c r="D447" t="n">
        <v>1496</v>
      </c>
      <c r="E447" t="inlineStr"/>
      <c r="F447" t="inlineStr"/>
      <c r="G447" t="inlineStr">
        <is>
          <t>210 000 000</t>
        </is>
      </c>
      <c r="H447" t="inlineStr"/>
      <c r="I447" t="inlineStr">
        <is>
          <t>Нет у нас</t>
        </is>
      </c>
      <c r="J447" t="inlineStr"/>
      <c r="K447">
        <f>HYPERLINK("https://nordwestinvest.ru/real-estates/prodaza-zdaniia-1","ссылка")</f>
        <v/>
      </c>
      <c r="L447" t="inlineStr"/>
    </row>
    <row r="448">
      <c r="A448" t="n">
        <v>407</v>
      </c>
      <c r="B448" t="inlineStr"/>
      <c r="C448" t="inlineStr">
        <is>
          <t>Ленинградская обл, Отрадное п, мыс Рублевый, -</t>
        </is>
      </c>
      <c r="D448" t="n">
        <v>20000</v>
      </c>
      <c r="E448" t="inlineStr"/>
      <c r="F448" t="inlineStr"/>
      <c r="G448" t="inlineStr">
        <is>
          <t>103 000 000</t>
        </is>
      </c>
      <c r="H448" t="inlineStr"/>
      <c r="I448" t="inlineStr">
        <is>
          <t>Нет у нас</t>
        </is>
      </c>
      <c r="J448" t="inlineStr"/>
      <c r="K448">
        <f>HYPERLINK("https://nordwestinvest.ru/real-estates/prodaza-zemelnogo-ucastka-2-ga-izs-1","ссылка")</f>
        <v/>
      </c>
      <c r="L448" t="inlineStr"/>
    </row>
    <row r="449">
      <c r="A449" t="n">
        <v>409</v>
      </c>
      <c r="B449" t="inlineStr"/>
      <c r="C449" t="inlineStr">
        <is>
          <t>Санкт-Петербург г, 27-я В.О. линия, 6к2 Б</t>
        </is>
      </c>
      <c r="D449" t="n">
        <v>4500</v>
      </c>
      <c r="E449" t="inlineStr"/>
      <c r="F449" t="inlineStr"/>
      <c r="G449" t="inlineStr">
        <is>
          <t>590 000 000</t>
        </is>
      </c>
      <c r="H449" t="inlineStr"/>
      <c r="I449" t="inlineStr">
        <is>
          <t>Нет у нас</t>
        </is>
      </c>
      <c r="J449" t="inlineStr"/>
      <c r="K449">
        <f>HYPERLINK("https://nordwestinvest.ru/real-estates/prodaza-zdaniia-u-metro-gornyi-institut-4500-m2","ссылка")</f>
        <v/>
      </c>
      <c r="L449" t="inlineStr"/>
    </row>
    <row r="450">
      <c r="A450" t="n">
        <v>410</v>
      </c>
      <c r="B450" t="inlineStr"/>
      <c r="C450" t="inlineStr">
        <is>
          <t>Санкт-Петербург г, Пулковское ш, 208</t>
        </is>
      </c>
      <c r="D450" t="n">
        <v>17350</v>
      </c>
      <c r="E450" t="inlineStr"/>
      <c r="F450" t="inlineStr"/>
      <c r="G450" t="inlineStr">
        <is>
          <t>265 000 000</t>
        </is>
      </c>
      <c r="H450" t="inlineStr"/>
      <c r="I450" t="inlineStr">
        <is>
          <t>Нет у нас</t>
        </is>
      </c>
      <c r="J450" t="inlineStr"/>
      <c r="K450">
        <f>HYPERLINK("https://nordwestinvest.ru/real-estates/prodaza-zemelnogo-ucastka-173-ga-na-pulkovskom-s","ссылка")</f>
        <v/>
      </c>
      <c r="L450" t="inlineStr"/>
    </row>
    <row r="451">
      <c r="A451" t="n">
        <v>411</v>
      </c>
      <c r="B451" t="inlineStr"/>
      <c r="C451" t="inlineStr">
        <is>
          <t>Ленинградская обл, Мурино г, Шувалова ул, 28</t>
        </is>
      </c>
      <c r="D451" t="n">
        <v>114</v>
      </c>
      <c r="E451" t="inlineStr"/>
      <c r="F451" t="inlineStr"/>
      <c r="G451" t="inlineStr">
        <is>
          <t>37 000 000</t>
        </is>
      </c>
      <c r="H451" t="inlineStr"/>
      <c r="I451" t="inlineStr">
        <is>
          <t>Нет у нас</t>
        </is>
      </c>
      <c r="J451" t="inlineStr"/>
      <c r="K451">
        <f>HYPERLINK("https://nordwestinvest.ru/real-estates/prodaza-psn-v-p-murino-114-m2","ссылка")</f>
        <v/>
      </c>
      <c r="L451" t="inlineStr"/>
    </row>
    <row r="452">
      <c r="A452" t="n">
        <v>412</v>
      </c>
      <c r="B452" t="inlineStr"/>
      <c r="C452" t="inlineStr">
        <is>
          <t>Санкт-Петербург г, Ленинский пр-кт, 131 А</t>
        </is>
      </c>
      <c r="D452" t="n">
        <v>347.4</v>
      </c>
      <c r="E452" t="inlineStr"/>
      <c r="F452" t="inlineStr"/>
      <c r="G452" t="inlineStr">
        <is>
          <t>80 000 000</t>
        </is>
      </c>
      <c r="H452" t="inlineStr"/>
      <c r="I452" t="inlineStr">
        <is>
          <t>Нет у нас</t>
        </is>
      </c>
      <c r="J452" t="inlineStr"/>
      <c r="K452">
        <f>HYPERLINK("https://nordwestinvest.ru/real-estates/prodaza-dvux-pomeshhenii-3474-m2-s-arendatorom","ссылка")</f>
        <v/>
      </c>
      <c r="L452" t="inlineStr"/>
    </row>
    <row r="453">
      <c r="A453" t="n">
        <v>413</v>
      </c>
      <c r="B453" t="inlineStr"/>
      <c r="C453" t="inlineStr">
        <is>
          <t>Ленинградская обл, 2-й (Разметелево промзона) проезд, участок 1, -</t>
        </is>
      </c>
      <c r="D453" t="n">
        <v>2958</v>
      </c>
      <c r="E453" t="inlineStr"/>
      <c r="F453" t="inlineStr"/>
      <c r="G453" t="inlineStr">
        <is>
          <t>354 960 000</t>
        </is>
      </c>
      <c r="H453" t="inlineStr"/>
      <c r="I453" t="inlineStr">
        <is>
          <t>Нет у нас</t>
        </is>
      </c>
      <c r="J453" t="inlineStr"/>
      <c r="K453">
        <f>HYPERLINK("https://nordwestinvest.ru/real-estates/prodaza-psn-v-razmetelevo-parkovka-2958-m2","ссылка")</f>
        <v/>
      </c>
      <c r="L453" t="inlineStr"/>
    </row>
    <row r="454">
      <c r="A454" t="n">
        <v>414</v>
      </c>
      <c r="B454" t="inlineStr"/>
      <c r="C454" t="inlineStr">
        <is>
          <t>Ленинградская обл, 2-й (Разметелево промзона) проезд, участок 1, -</t>
        </is>
      </c>
      <c r="D454" t="n">
        <v>1031</v>
      </c>
      <c r="E454" t="inlineStr"/>
      <c r="F454" t="inlineStr"/>
      <c r="G454" t="inlineStr">
        <is>
          <t>123 720 000</t>
        </is>
      </c>
      <c r="H454" t="inlineStr"/>
      <c r="I454" t="inlineStr">
        <is>
          <t>Нет у нас</t>
        </is>
      </c>
      <c r="J454" t="inlineStr"/>
      <c r="K454">
        <f>HYPERLINK("https://nordwestinvest.ru/real-estates/prodaza-psn-v-razmetelevo-1031-m2","ссылка")</f>
        <v/>
      </c>
      <c r="L454" t="inlineStr"/>
    </row>
    <row r="455">
      <c r="A455" t="n">
        <v>415</v>
      </c>
      <c r="B455" t="inlineStr"/>
      <c r="C455" t="inlineStr">
        <is>
          <t>Ленинградская обл, 2-й (Разметелево промзона) проезд, участок 1, -</t>
        </is>
      </c>
      <c r="D455" t="n">
        <v>896</v>
      </c>
      <c r="E455" t="inlineStr"/>
      <c r="F455" t="inlineStr"/>
      <c r="G455" t="inlineStr">
        <is>
          <t>107 520 000</t>
        </is>
      </c>
      <c r="H455" t="inlineStr"/>
      <c r="I455" t="inlineStr">
        <is>
          <t>Нет у нас</t>
        </is>
      </c>
      <c r="J455" t="inlineStr"/>
      <c r="K455">
        <f>HYPERLINK("https://nordwestinvest.ru/real-estates/prodaza-psn-v-razmetelevo-896-m2","ссылка")</f>
        <v/>
      </c>
      <c r="L455" t="inlineStr"/>
    </row>
    <row r="456">
      <c r="A456" t="n">
        <v>417</v>
      </c>
      <c r="B456" t="inlineStr"/>
      <c r="C456" t="inlineStr">
        <is>
          <t>Ленинградская обл, Колтуши г, Шоссейная, -</t>
        </is>
      </c>
      <c r="D456" t="n">
        <v>20000</v>
      </c>
      <c r="E456" t="inlineStr"/>
      <c r="F456" t="inlineStr"/>
      <c r="G456" t="inlineStr">
        <is>
          <t>2 500 000 000</t>
        </is>
      </c>
      <c r="H456" t="inlineStr"/>
      <c r="I456" t="inlineStr">
        <is>
          <t>Нет у нас</t>
        </is>
      </c>
      <c r="J456" t="inlineStr"/>
      <c r="K456">
        <f>HYPERLINK("https://nordwestinvest.ru/real-estates/prodaza-novyx-prom-pomeshheniisklada","ссылка")</f>
        <v/>
      </c>
      <c r="L456" t="inlineStr"/>
    </row>
    <row r="457">
      <c r="A457" t="n">
        <v>418</v>
      </c>
      <c r="B457" t="inlineStr"/>
      <c r="C457" t="inlineStr">
        <is>
          <t>Санкт-Петербург г, Магнитогорская ул, 1</t>
        </is>
      </c>
      <c r="D457" t="n">
        <v>75.5</v>
      </c>
      <c r="E457" t="inlineStr"/>
      <c r="F457" t="inlineStr"/>
      <c r="G457" t="inlineStr">
        <is>
          <t>32 000 000</t>
        </is>
      </c>
      <c r="H457" t="inlineStr"/>
      <c r="I457" t="inlineStr">
        <is>
          <t>Нет у нас</t>
        </is>
      </c>
      <c r="J457" t="inlineStr"/>
      <c r="K457">
        <f>HYPERLINK("https://nordwestinvest.ru/real-estates/prodaza-psn-s-arendatorom-apteka-755m2","ссылка")</f>
        <v/>
      </c>
      <c r="L457" t="inlineStr"/>
    </row>
    <row r="458">
      <c r="A458" t="n">
        <v>421</v>
      </c>
      <c r="B458" t="inlineStr"/>
      <c r="C458" t="inlineStr">
        <is>
          <t>Ленинградская обл, Бугры п, Чайная ул, 4</t>
        </is>
      </c>
      <c r="D458" t="n">
        <v>447.3</v>
      </c>
      <c r="E458" t="inlineStr"/>
      <c r="F458" t="inlineStr"/>
      <c r="G458" t="inlineStr">
        <is>
          <t>120 000 000</t>
        </is>
      </c>
      <c r="H458" t="inlineStr"/>
      <c r="I458" t="inlineStr">
        <is>
          <t>Нет у нас</t>
        </is>
      </c>
      <c r="J458" t="inlineStr"/>
      <c r="K458">
        <f>HYPERLINK("https://nordwestinvest.ru/real-estates/prodaza-diksi-4473m2","ссылка")</f>
        <v/>
      </c>
      <c r="L458" t="inlineStr"/>
    </row>
    <row r="459">
      <c r="A459" t="n">
        <v>422</v>
      </c>
      <c r="B459" t="inlineStr"/>
      <c r="C459" t="inlineStr">
        <is>
          <t>Санкт-Петербург г, Руднева ул, 18стр1</t>
        </is>
      </c>
      <c r="D459" t="n">
        <v>369.3</v>
      </c>
      <c r="E459" t="inlineStr"/>
      <c r="F459" t="inlineStr"/>
      <c r="G459" t="inlineStr">
        <is>
          <t>59 519 000</t>
        </is>
      </c>
      <c r="H459" t="inlineStr"/>
      <c r="I459" t="inlineStr">
        <is>
          <t>Нет у нас</t>
        </is>
      </c>
      <c r="J459" t="inlineStr"/>
      <c r="K459">
        <f>HYPERLINK("https://nordwestinvest.ru/real-estates/prodaza-s-nds-2-etaz-10-minut-ot-metro","ссылка")</f>
        <v/>
      </c>
      <c r="L459" t="inlineStr"/>
    </row>
    <row r="460">
      <c r="A460" t="n">
        <v>423</v>
      </c>
      <c r="B460" t="inlineStr"/>
      <c r="C460" t="inlineStr">
        <is>
          <t>Ленинградская обл, Графская (История Парк тер.) ул, Графская (История Парк тер.) ул, 6</t>
        </is>
      </c>
      <c r="D460" t="n">
        <v>118.1</v>
      </c>
      <c r="E460" t="inlineStr"/>
      <c r="F460" t="inlineStr"/>
      <c r="G460" t="inlineStr">
        <is>
          <t>29 730 000</t>
        </is>
      </c>
      <c r="H460" t="inlineStr"/>
      <c r="I460" t="inlineStr">
        <is>
          <t>Нет у нас</t>
        </is>
      </c>
      <c r="J460" t="inlineStr"/>
      <c r="K460">
        <f>HYPERLINK("https://nordwestinvest.ru/real-estates/prodaza-novyi-zk-2-vxoda-sveca","ссылка")</f>
        <v/>
      </c>
      <c r="L460" t="inlineStr"/>
    </row>
    <row r="461">
      <c r="A461" t="n">
        <v>425</v>
      </c>
      <c r="B461" t="inlineStr"/>
      <c r="C461" t="inlineStr">
        <is>
          <t>Санкт-Петербург г, Борисова, 9</t>
        </is>
      </c>
      <c r="D461" t="n">
        <v>1850</v>
      </c>
      <c r="E461" t="inlineStr"/>
      <c r="F461" t="inlineStr"/>
      <c r="G461" t="inlineStr">
        <is>
          <t>105 000 000</t>
        </is>
      </c>
      <c r="H461" t="inlineStr"/>
      <c r="I461" t="inlineStr">
        <is>
          <t>Нет у нас</t>
        </is>
      </c>
      <c r="J461" t="inlineStr"/>
      <c r="K461">
        <f>HYPERLINK("https://nordwestinvest.ru/real-estates/prodaz-osz-830-m2-s-zu-14200-m2-1","ссылка")</f>
        <v/>
      </c>
      <c r="L461" t="inlineStr"/>
    </row>
    <row r="462">
      <c r="A462" t="n">
        <v>426</v>
      </c>
      <c r="B462" t="inlineStr"/>
      <c r="C462" t="inlineStr">
        <is>
          <t>Санкт-Петербург г, Луговая, 8Д</t>
        </is>
      </c>
      <c r="D462" t="n">
        <v>14200</v>
      </c>
      <c r="E462" t="inlineStr"/>
      <c r="F462" t="inlineStr"/>
      <c r="G462" t="inlineStr">
        <is>
          <t>105 000 000</t>
        </is>
      </c>
      <c r="H462" t="inlineStr"/>
      <c r="I462" t="inlineStr">
        <is>
          <t>Нет у нас</t>
        </is>
      </c>
      <c r="J462" t="inlineStr"/>
      <c r="K462">
        <f>HYPERLINK("https://nordwestinvest.ru/real-estates/prodaza-zu-14200-m2","ссылка")</f>
        <v/>
      </c>
      <c r="L462" t="inlineStr"/>
    </row>
    <row r="463">
      <c r="A463" t="n">
        <v>427</v>
      </c>
      <c r="B463" t="inlineStr"/>
      <c r="C463" t="inlineStr">
        <is>
          <t>Санкт-Петербург г, Горское, 165к1</t>
        </is>
      </c>
      <c r="D463" t="n">
        <v>14200</v>
      </c>
      <c r="E463" t="inlineStr"/>
      <c r="F463" t="inlineStr"/>
      <c r="G463" t="inlineStr">
        <is>
          <t>99 000 000</t>
        </is>
      </c>
      <c r="H463" t="inlineStr"/>
      <c r="I463" t="inlineStr">
        <is>
          <t>Нет у нас</t>
        </is>
      </c>
      <c r="J463" t="inlineStr"/>
      <c r="K463">
        <f>HYPERLINK("https://nordwestinvest.ru/real-estates/prodaza-zemucastka-14-ga","ссылка")</f>
        <v/>
      </c>
      <c r="L463" t="inlineStr"/>
    </row>
    <row r="464">
      <c r="A464" t="n">
        <v>429</v>
      </c>
      <c r="B464" t="inlineStr"/>
      <c r="C464" t="inlineStr">
        <is>
          <t>Санкт-Петербург г, Ветеранов пр-кт, 16</t>
        </is>
      </c>
      <c r="D464" t="n">
        <v>600</v>
      </c>
      <c r="E464" t="inlineStr"/>
      <c r="F464" t="inlineStr"/>
      <c r="G464" t="inlineStr">
        <is>
          <t>170 000 000</t>
        </is>
      </c>
      <c r="H464" t="inlineStr"/>
      <c r="I464" t="inlineStr">
        <is>
          <t>Нет у нас</t>
        </is>
      </c>
      <c r="J464" t="inlineStr"/>
      <c r="K464">
        <f>HYPERLINK("https://nordwestinvest.ru/real-estates/prodaza-arendator-piaterocka","ссылка")</f>
        <v/>
      </c>
      <c r="L464" t="inlineStr"/>
    </row>
    <row r="465">
      <c r="A465" t="n">
        <v>430</v>
      </c>
      <c r="B465" t="inlineStr"/>
      <c r="C465" t="inlineStr">
        <is>
          <t>Карелия Респ, Вятиккя п, Приладожская ул, 3</t>
        </is>
      </c>
      <c r="D465" t="n">
        <v>109600</v>
      </c>
      <c r="E465" t="inlineStr"/>
      <c r="F465" t="inlineStr"/>
      <c r="G465" t="inlineStr">
        <is>
          <t>25 000 000</t>
        </is>
      </c>
      <c r="H465" t="inlineStr"/>
      <c r="I465" t="inlineStr">
        <is>
          <t>Нет у нас</t>
        </is>
      </c>
      <c r="J465" t="inlineStr"/>
      <c r="K465">
        <f>HYPERLINK("https://nordwestinvest.ru/real-estates/zemlia-izs-11-ga","ссылка")</f>
        <v/>
      </c>
      <c r="L465" t="inlineStr"/>
    </row>
    <row r="466">
      <c r="A466" t="n">
        <v>431</v>
      </c>
      <c r="B466" t="inlineStr"/>
      <c r="C466" t="inlineStr">
        <is>
          <t>Карелия Респ, Лумиваара п, Центральная ул, 28</t>
        </is>
      </c>
      <c r="D466" t="n">
        <v>36000</v>
      </c>
      <c r="E466" t="inlineStr"/>
      <c r="F466" t="inlineStr"/>
      <c r="G466" t="inlineStr">
        <is>
          <t>9 000 000</t>
        </is>
      </c>
      <c r="H466" t="inlineStr"/>
      <c r="I466" t="inlineStr">
        <is>
          <t>Нет у нас</t>
        </is>
      </c>
      <c r="J466" t="inlineStr"/>
      <c r="K466">
        <f>HYPERLINK("https://nordwestinvest.ru/real-estates/zemlia-pod-dacnoe-stroitelstvo-36-ga","ссылка")</f>
        <v/>
      </c>
      <c r="L466" t="inlineStr"/>
    </row>
    <row r="467">
      <c r="A467" t="n">
        <v>432</v>
      </c>
      <c r="B467" t="inlineStr"/>
      <c r="C467" t="inlineStr">
        <is>
          <t>Карелия Респ, Микли п, -, -</t>
        </is>
      </c>
      <c r="D467" t="n">
        <v>101700</v>
      </c>
      <c r="E467" t="inlineStr"/>
      <c r="F467" t="inlineStr"/>
      <c r="G467" t="inlineStr">
        <is>
          <t>22 000 000</t>
        </is>
      </c>
      <c r="H467" t="inlineStr"/>
      <c r="I467" t="inlineStr">
        <is>
          <t>Нет у нас</t>
        </is>
      </c>
      <c r="J467" t="inlineStr"/>
      <c r="K467">
        <f>HYPERLINK("https://nordwestinvest.ru/real-estates/zemlia-pod-dacnoe-stroitelstvo-102-ga","ссылка")</f>
        <v/>
      </c>
      <c r="L467" t="inlineStr"/>
    </row>
    <row r="468">
      <c r="A468" t="n">
        <v>433</v>
      </c>
      <c r="B468" t="inlineStr"/>
      <c r="C468" t="inlineStr">
        <is>
          <t>Санкт-Петербург г, Прилукская ул, 35</t>
        </is>
      </c>
      <c r="D468" t="n">
        <v>300</v>
      </c>
      <c r="E468" t="inlineStr"/>
      <c r="F468" t="inlineStr"/>
      <c r="G468" t="inlineStr">
        <is>
          <t>50 000 000</t>
        </is>
      </c>
      <c r="H468" t="inlineStr"/>
      <c r="I468" t="inlineStr">
        <is>
          <t>Нет у нас</t>
        </is>
      </c>
      <c r="J468" t="inlineStr"/>
      <c r="K468">
        <f>HYPERLINK("https://nordwestinvest.ru/real-estates/prodaza-s-arendatorom-iandekslavka-v-wow-apart","ссылка")</f>
        <v/>
      </c>
      <c r="L468" t="inlineStr"/>
    </row>
    <row r="469">
      <c r="A469" t="n">
        <v>436</v>
      </c>
      <c r="B469" t="inlineStr"/>
      <c r="C469" t="inlineStr">
        <is>
          <t>Санкт-Петербург г, Невский пр-кт, 132 А</t>
        </is>
      </c>
      <c r="D469" t="n">
        <v>322</v>
      </c>
      <c r="E469" t="inlineStr"/>
      <c r="F469" t="inlineStr"/>
      <c r="G469" t="inlineStr">
        <is>
          <t>139 900 000</t>
        </is>
      </c>
      <c r="H469" t="inlineStr"/>
      <c r="I469" t="inlineStr">
        <is>
          <t>Нет у нас</t>
        </is>
      </c>
      <c r="J469" t="inlineStr"/>
      <c r="K469">
        <f>HYPERLINK("https://nordwestinvest.ru/real-estates/prodaza-322-m2-na-nevskom-s-arendatorom","ссылка")</f>
        <v/>
      </c>
      <c r="L469" t="inlineStr"/>
    </row>
    <row r="470">
      <c r="A470" t="n">
        <v>437</v>
      </c>
      <c r="B470" t="inlineStr"/>
      <c r="C470" t="inlineStr">
        <is>
          <t>Ленинградская обл, Чуфринский (Цвелодубовская тер.) проезд, Чуфринский (Цвелодубовская тер.) проезд, 1</t>
        </is>
      </c>
      <c r="D470" t="n">
        <v>675</v>
      </c>
      <c r="E470" t="inlineStr"/>
      <c r="F470" t="inlineStr"/>
      <c r="G470" t="inlineStr">
        <is>
          <t>30 000 000</t>
        </is>
      </c>
      <c r="H470" t="inlineStr"/>
      <c r="I470" t="inlineStr">
        <is>
          <t>Нет у нас</t>
        </is>
      </c>
      <c r="J470" t="inlineStr"/>
      <c r="K470">
        <f>HYPERLINK("https://nordwestinvest.ru/real-estates/prodaza-novogo-teplogo-sklada-675-m2","ссылка")</f>
        <v/>
      </c>
      <c r="L470" t="inlineStr"/>
    </row>
    <row r="471">
      <c r="A471" t="n">
        <v>438</v>
      </c>
      <c r="B471" t="inlineStr"/>
      <c r="C471" t="inlineStr">
        <is>
          <t>Санкт-Петербург г, Косыгина пр-кт, 27к1 А</t>
        </is>
      </c>
      <c r="D471" t="n">
        <v>320</v>
      </c>
      <c r="E471" t="inlineStr"/>
      <c r="F471" t="inlineStr"/>
      <c r="G471" t="inlineStr">
        <is>
          <t>21 000 000</t>
        </is>
      </c>
      <c r="H471" t="inlineStr"/>
      <c r="I471" t="inlineStr">
        <is>
          <t>Нет у нас</t>
        </is>
      </c>
      <c r="J471" t="inlineStr"/>
      <c r="K471">
        <f>HYPERLINK("https://nordwestinvest.ru/real-estates/prodaza-320-m2-s-arendatorom-kb","ссылка")</f>
        <v/>
      </c>
      <c r="L471" t="inlineStr"/>
    </row>
    <row r="472">
      <c r="A472" t="n">
        <v>439</v>
      </c>
      <c r="B472" t="inlineStr"/>
      <c r="C472" t="inlineStr">
        <is>
          <t>Санкт-Петербург г, Софийская ул, 141</t>
        </is>
      </c>
      <c r="D472" t="n">
        <v>10000</v>
      </c>
      <c r="E472" t="inlineStr"/>
      <c r="F472" t="inlineStr"/>
      <c r="G472" t="inlineStr">
        <is>
          <t>70 000 000</t>
        </is>
      </c>
      <c r="H472" t="inlineStr"/>
      <c r="I472" t="inlineStr">
        <is>
          <t>Нет у нас</t>
        </is>
      </c>
      <c r="J472" t="inlineStr"/>
      <c r="K472">
        <f>HYPERLINK("https://nordwestinvest.ru/real-estates/prodaza-zemelnogo-ucastka-100-sotok","ссылка")</f>
        <v/>
      </c>
      <c r="L472" t="inlineStr"/>
    </row>
    <row r="473">
      <c r="A473" t="n">
        <v>440</v>
      </c>
      <c r="B473" t="inlineStr"/>
      <c r="C473" t="inlineStr">
        <is>
          <t>Ленинградская обл, Войсковицы п, 41А-002, 1</t>
        </is>
      </c>
      <c r="D473" t="n">
        <v>9320</v>
      </c>
      <c r="E473" t="inlineStr"/>
      <c r="F473" t="inlineStr"/>
      <c r="G473" t="inlineStr">
        <is>
          <t>410 000 000</t>
        </is>
      </c>
      <c r="H473" t="inlineStr"/>
      <c r="I473" t="inlineStr">
        <is>
          <t>Нет у нас</t>
        </is>
      </c>
      <c r="J473" t="inlineStr"/>
      <c r="K473">
        <f>HYPERLINK("https://nordwestinvest.ru/real-estates/prodaza-proizvodstvennogo-kompleksa-9320-m2","ссылка")</f>
        <v/>
      </c>
      <c r="L473" t="inlineStr"/>
    </row>
    <row r="474">
      <c r="A474" t="n">
        <v>441</v>
      </c>
      <c r="B474" t="inlineStr"/>
      <c r="C474" t="inlineStr">
        <is>
          <t>Ленинградская обл, Нурма д, -, 12</t>
        </is>
      </c>
      <c r="D474" t="n">
        <v>3593</v>
      </c>
      <c r="E474" t="inlineStr"/>
      <c r="F474" t="inlineStr"/>
      <c r="G474" t="inlineStr">
        <is>
          <t>269 000 000</t>
        </is>
      </c>
      <c r="H474" t="inlineStr"/>
      <c r="I474" t="inlineStr">
        <is>
          <t>Нет у нас</t>
        </is>
      </c>
      <c r="J474" t="inlineStr"/>
      <c r="K474">
        <f>HYPERLINK("https://nordwestinvest.ru/real-estates/prodaza-gab-iakornye-arendatory-vernyi-i-piaterocka","ссылка")</f>
        <v/>
      </c>
      <c r="L474" t="inlineStr"/>
    </row>
    <row r="475">
      <c r="A475" t="n">
        <v>442</v>
      </c>
      <c r="B475" t="inlineStr"/>
      <c r="C475" t="inlineStr">
        <is>
          <t>Санкт-Петербург г, Купчинская ул, 1/5 А</t>
        </is>
      </c>
      <c r="D475" t="n">
        <v>2460</v>
      </c>
      <c r="E475" t="inlineStr"/>
      <c r="F475" t="inlineStr"/>
      <c r="G475" t="inlineStr">
        <is>
          <t>650 000 000</t>
        </is>
      </c>
      <c r="H475" t="inlineStr"/>
      <c r="I475" t="inlineStr">
        <is>
          <t>Нет у нас</t>
        </is>
      </c>
      <c r="J475" t="inlineStr"/>
      <c r="K475">
        <f>HYPERLINK("https://nordwestinvest.ru/real-estates/prodaza-doxodnogo-zdaniia-s-iakornym-arendatorom","ссылка")</f>
        <v/>
      </c>
      <c r="L475" t="inlineStr"/>
    </row>
    <row r="476">
      <c r="A476" t="n">
        <v>443</v>
      </c>
      <c r="B476" t="inlineStr"/>
      <c r="C476" t="inlineStr">
        <is>
          <t>Санкт-Петербург г, Королёва пр-кт, 64к1стр1</t>
        </is>
      </c>
      <c r="D476" t="n">
        <v>199</v>
      </c>
      <c r="E476" t="inlineStr"/>
      <c r="F476" t="inlineStr"/>
      <c r="G476" t="inlineStr">
        <is>
          <t>42 500 000</t>
        </is>
      </c>
      <c r="H476" t="inlineStr"/>
      <c r="I476" t="inlineStr">
        <is>
          <t>Нет у нас</t>
        </is>
      </c>
      <c r="J476" t="inlineStr"/>
      <c r="K476">
        <f>HYPERLINK("https://nordwestinvest.ru/real-estates/prodaza-psn-199-m2-s-arendatorom","ссылка")</f>
        <v/>
      </c>
      <c r="L476" t="inlineStr"/>
    </row>
    <row r="477">
      <c r="A477" t="n">
        <v>444</v>
      </c>
      <c r="B477" t="inlineStr"/>
      <c r="C477" t="inlineStr">
        <is>
          <t>Санкт-Петербург г, Прилукская ул, 35 А</t>
        </is>
      </c>
      <c r="D477" t="n">
        <v>111</v>
      </c>
      <c r="E477" t="inlineStr"/>
      <c r="F477" t="inlineStr"/>
      <c r="G477" t="inlineStr">
        <is>
          <t>17 500 000</t>
        </is>
      </c>
      <c r="H477" t="inlineStr"/>
      <c r="I477" t="inlineStr">
        <is>
          <t>Нет у нас</t>
        </is>
      </c>
      <c r="J477" t="inlineStr"/>
      <c r="K477">
        <f>HYPERLINK("https://nordwestinvest.ru/real-estates/prodaza-s-arendatorom-krasnoe-i-beloe-111-m2","ссылка")</f>
        <v/>
      </c>
      <c r="L477" t="inlineStr"/>
    </row>
    <row r="478">
      <c r="A478" t="n">
        <v>446</v>
      </c>
      <c r="B478" t="inlineStr"/>
      <c r="C478" t="inlineStr">
        <is>
          <t>Санкт-Петербург г, Малый В.О. пр-кт, 52стр1</t>
        </is>
      </c>
      <c r="D478" t="n">
        <v>59.9</v>
      </c>
      <c r="E478" t="inlineStr"/>
      <c r="F478" t="inlineStr"/>
      <c r="G478" t="inlineStr">
        <is>
          <t>20 900 000</t>
        </is>
      </c>
      <c r="H478" t="inlineStr"/>
      <c r="I478" t="inlineStr">
        <is>
          <t>Нет у нас</t>
        </is>
      </c>
      <c r="J478" t="inlineStr"/>
      <c r="K478">
        <f>HYPERLINK("https://nordwestinvest.ru/real-estates/prodaza-psn-s-arendatorom-kofeinia-baggins","ссылка")</f>
        <v/>
      </c>
      <c r="L478" t="inlineStr"/>
    </row>
    <row r="479">
      <c r="A479" t="n">
        <v>448</v>
      </c>
      <c r="B479" t="inlineStr"/>
      <c r="C479" t="inlineStr">
        <is>
          <t>Санкт-Петербург г, Академика Константинова ул, 1 Е</t>
        </is>
      </c>
      <c r="D479" t="n">
        <v>55</v>
      </c>
      <c r="E479" t="inlineStr"/>
      <c r="F479" t="inlineStr"/>
      <c r="G479" t="inlineStr">
        <is>
          <t>25 000 000</t>
        </is>
      </c>
      <c r="H479" t="inlineStr"/>
      <c r="I479" t="inlineStr">
        <is>
          <t>Нет у нас</t>
        </is>
      </c>
      <c r="J479" t="inlineStr"/>
      <c r="K479">
        <f>HYPERLINK("https://nordwestinvest.ru/real-estates/prodaza-scastlivyi-vzgliad-pred-kassovaia-zona-55m","ссылка")</f>
        <v/>
      </c>
      <c r="L479" t="inlineStr"/>
    </row>
    <row r="480">
      <c r="A480" t="n">
        <v>449</v>
      </c>
      <c r="B480" t="inlineStr"/>
      <c r="C480" t="inlineStr">
        <is>
          <t>Ленинградская обл, Озерки д, 25 киллометр, 8</t>
        </is>
      </c>
      <c r="D480" t="n">
        <v>73900</v>
      </c>
      <c r="E480" t="inlineStr"/>
      <c r="F480" t="inlineStr"/>
      <c r="G480" t="inlineStr">
        <is>
          <t>162 580 000</t>
        </is>
      </c>
      <c r="H480" t="inlineStr"/>
      <c r="I480" t="inlineStr">
        <is>
          <t>Нет у нас</t>
        </is>
      </c>
      <c r="J480" t="inlineStr"/>
      <c r="K480">
        <f>HYPERLINK("https://nordwestinvest.ru/real-estates/prodaza-zemelnogo-ucastka-73900-m2-pod-zastroiku","ссылка")</f>
        <v/>
      </c>
      <c r="L480" t="inlineStr"/>
    </row>
    <row r="481">
      <c r="A481" t="n">
        <v>451</v>
      </c>
      <c r="B481" t="inlineStr"/>
      <c r="C481" t="inlineStr">
        <is>
          <t>Ленинградская обл, Фёдоровское гп, Промышленная ул, 10к1</t>
        </is>
      </c>
      <c r="D481" t="n">
        <v>1000</v>
      </c>
      <c r="E481" t="inlineStr"/>
      <c r="F481" t="inlineStr"/>
      <c r="G481" t="inlineStr">
        <is>
          <t>49 000 000</t>
        </is>
      </c>
      <c r="H481" t="inlineStr"/>
      <c r="I481" t="inlineStr">
        <is>
          <t>Нет у нас</t>
        </is>
      </c>
      <c r="J481" t="inlineStr"/>
      <c r="K481">
        <f>HYPERLINK("https://nordwestinvest.ru/real-estates/prodaza-sklada-1000-m2-s-arendatorom","ссылка")</f>
        <v/>
      </c>
      <c r="L481" t="inlineStr"/>
    </row>
    <row r="482">
      <c r="A482" t="n">
        <v>452</v>
      </c>
      <c r="B482" t="inlineStr"/>
      <c r="C482" t="inlineStr">
        <is>
          <t>Шушары п, 3-й Бадаевский проезд, 17а</t>
        </is>
      </c>
      <c r="D482" t="n">
        <v>2012</v>
      </c>
      <c r="E482" t="inlineStr"/>
      <c r="F482" t="inlineStr"/>
      <c r="G482" t="inlineStr">
        <is>
          <t>34 000 000</t>
        </is>
      </c>
      <c r="H482" t="inlineStr"/>
      <c r="I482" t="inlineStr">
        <is>
          <t>Нет у нас</t>
        </is>
      </c>
      <c r="J482" t="inlineStr"/>
      <c r="K482">
        <f>HYPERLINK("https://nordwestinvest.ru/real-estates/prodaza-novogo-teplogo-sklada-2000-m2","ссылка")</f>
        <v/>
      </c>
      <c r="L482" t="inlineStr"/>
    </row>
    <row r="483">
      <c r="A483" t="n">
        <v>454</v>
      </c>
      <c r="B483" t="inlineStr"/>
      <c r="C483" t="inlineStr">
        <is>
          <t>Московская обл, Подольск г, Большая Серпуховская ул, 19</t>
        </is>
      </c>
      <c r="D483" t="n">
        <v>6345</v>
      </c>
      <c r="E483" t="inlineStr"/>
      <c r="F483" t="inlineStr"/>
      <c r="G483" t="inlineStr">
        <is>
          <t>1 480 906 200</t>
        </is>
      </c>
      <c r="H483" t="inlineStr"/>
      <c r="I483" t="inlineStr">
        <is>
          <t>Нет у нас</t>
        </is>
      </c>
      <c r="J483" t="inlineStr"/>
      <c r="K483">
        <f>HYPERLINK("https://nordwestinvest.ru/real-estates/prodaza-tc-v-g-podolsk","ссылка")</f>
        <v/>
      </c>
      <c r="L483" t="inlineStr"/>
    </row>
    <row r="484">
      <c r="A484" t="n">
        <v>455</v>
      </c>
      <c r="B484" t="inlineStr"/>
      <c r="C484" t="inlineStr">
        <is>
          <t>Санкт-Петербург г, Народная ул, 6 А</t>
        </is>
      </c>
      <c r="D484" t="n">
        <v>1582.5</v>
      </c>
      <c r="E484" t="inlineStr"/>
      <c r="F484" t="inlineStr"/>
      <c r="G484" t="inlineStr">
        <is>
          <t>230 000 000</t>
        </is>
      </c>
      <c r="H484" t="inlineStr"/>
      <c r="I484" t="inlineStr">
        <is>
          <t>Нет у нас</t>
        </is>
      </c>
      <c r="J484" t="inlineStr"/>
      <c r="K484">
        <f>HYPERLINK("https://nordwestinvest.ru/real-estates/prodaza-s-arendatorami-1-5825-kvm","ссылка")</f>
        <v/>
      </c>
      <c r="L484" t="inlineStr"/>
    </row>
    <row r="485">
      <c r="A485" t="n">
        <v>456</v>
      </c>
      <c r="B485" t="inlineStr"/>
      <c r="C485" t="inlineStr">
        <is>
          <t>Санкт-Петербург г, Коммунаров ул, 188к3</t>
        </is>
      </c>
      <c r="D485" t="n">
        <v>67.7</v>
      </c>
      <c r="E485" t="inlineStr"/>
      <c r="F485" t="inlineStr"/>
      <c r="G485" t="inlineStr">
        <is>
          <t>17 128 100</t>
        </is>
      </c>
      <c r="H485" t="inlineStr"/>
      <c r="I485" t="inlineStr">
        <is>
          <t>Нет у нас</t>
        </is>
      </c>
      <c r="J485" t="inlineStr"/>
      <c r="K485">
        <f>HYPERLINK("https://nordwestinvest.ru/real-estates/prodaza-pomeshhenii-ot-40m2-do-897-m2","ссылка")</f>
        <v/>
      </c>
      <c r="L485" t="inlineStr"/>
    </row>
    <row r="486">
      <c r="A486" t="n">
        <v>457</v>
      </c>
      <c r="B486" t="inlineStr"/>
      <c r="C486" t="inlineStr">
        <is>
          <t>Санкт-Петербург г, Коммунаров ул, 188к1</t>
        </is>
      </c>
      <c r="D486" t="n">
        <v>70.90000000000001</v>
      </c>
      <c r="E486" t="inlineStr"/>
      <c r="F486" t="inlineStr"/>
      <c r="G486" t="inlineStr">
        <is>
          <t>17 725 000</t>
        </is>
      </c>
      <c r="H486" t="inlineStr"/>
      <c r="I486" t="inlineStr">
        <is>
          <t>Нет у нас</t>
        </is>
      </c>
      <c r="J486" t="inlineStr"/>
      <c r="K486">
        <f>HYPERLINK("https://nordwestinvest.ru/real-estates/prodaza-psn-na-1-etaze-zilogo-doma-709-kvm","ссылка")</f>
        <v/>
      </c>
      <c r="L486" t="inlineStr"/>
    </row>
    <row r="487">
      <c r="A487" t="n">
        <v>458</v>
      </c>
      <c r="B487" t="inlineStr"/>
      <c r="C487" t="inlineStr">
        <is>
          <t>Санкт-Петербург г, Коммунаров ул, 188к1</t>
        </is>
      </c>
      <c r="D487" t="n">
        <v>35.2</v>
      </c>
      <c r="E487" t="inlineStr"/>
      <c r="F487" t="inlineStr"/>
      <c r="G487" t="inlineStr">
        <is>
          <t>8 800 000</t>
        </is>
      </c>
      <c r="H487" t="inlineStr"/>
      <c r="I487" t="inlineStr">
        <is>
          <t>Нет у нас</t>
        </is>
      </c>
      <c r="J487" t="inlineStr"/>
      <c r="K487">
        <f>HYPERLINK("https://nordwestinvest.ru/real-estates/prodaza-psn-na-1-etaze-zilogo-doma-352-kvm","ссылка")</f>
        <v/>
      </c>
      <c r="L487" t="inlineStr"/>
    </row>
    <row r="488">
      <c r="A488" t="n">
        <v>459</v>
      </c>
      <c r="B488" t="inlineStr"/>
      <c r="C488" t="inlineStr">
        <is>
          <t>Санкт-Петербург г, Коммунаров ул, 188к1</t>
        </is>
      </c>
      <c r="D488" t="n">
        <v>421.1</v>
      </c>
      <c r="E488" t="inlineStr"/>
      <c r="F488" t="inlineStr"/>
      <c r="G488" t="inlineStr">
        <is>
          <t>105 275 000</t>
        </is>
      </c>
      <c r="H488" t="inlineStr"/>
      <c r="I488" t="inlineStr">
        <is>
          <t>Нет у нас</t>
        </is>
      </c>
      <c r="J488" t="inlineStr"/>
      <c r="K488">
        <f>HYPERLINK("https://nordwestinvest.ru/real-estates/prodaza-pod-setevoi-produktovyi-magazin-421kvm","ссылка")</f>
        <v/>
      </c>
      <c r="L488" t="inlineStr"/>
    </row>
    <row r="489">
      <c r="A489" t="n">
        <v>460</v>
      </c>
      <c r="B489" t="inlineStr"/>
      <c r="C489" t="inlineStr">
        <is>
          <t>Санкт-Петербург г, Коммунаров ул, 188к1</t>
        </is>
      </c>
      <c r="D489" t="n">
        <v>90</v>
      </c>
      <c r="E489" t="inlineStr"/>
      <c r="F489" t="inlineStr"/>
      <c r="G489" t="inlineStr">
        <is>
          <t>22 500 000</t>
        </is>
      </c>
      <c r="H489" t="inlineStr"/>
      <c r="I489" t="inlineStr">
        <is>
          <t>Нет у нас</t>
        </is>
      </c>
      <c r="J489" t="inlineStr"/>
      <c r="K489">
        <f>HYPERLINK("https://nordwestinvest.ru/real-estates/prodaza-kommerceskogo-pomeshheniia-90kvm","ссылка")</f>
        <v/>
      </c>
      <c r="L489" t="inlineStr"/>
    </row>
    <row r="490">
      <c r="A490" t="n">
        <v>461</v>
      </c>
      <c r="B490" t="inlineStr"/>
      <c r="C490" t="inlineStr">
        <is>
          <t>Санкт-Петербург г, Коммунаров ул, 188к1</t>
        </is>
      </c>
      <c r="D490" t="n">
        <v>238.5</v>
      </c>
      <c r="E490" t="inlineStr"/>
      <c r="F490" t="inlineStr"/>
      <c r="G490" t="inlineStr">
        <is>
          <t>59 625 000</t>
        </is>
      </c>
      <c r="H490" t="inlineStr"/>
      <c r="I490" t="inlineStr">
        <is>
          <t>Нет у нас</t>
        </is>
      </c>
      <c r="J490" t="inlineStr"/>
      <c r="K490">
        <f>HYPERLINK("https://nordwestinvest.ru/real-estates/prodaza-kommerceskogo-pomeshheniia-2385","ссылка")</f>
        <v/>
      </c>
      <c r="L490" t="inlineStr"/>
    </row>
    <row r="491">
      <c r="A491" t="n">
        <v>462</v>
      </c>
      <c r="B491" t="inlineStr"/>
      <c r="C491" t="inlineStr">
        <is>
          <t>Санкт-Петербург г, Маршака пр-кт, 10стр1</t>
        </is>
      </c>
      <c r="D491" t="n">
        <v>1358</v>
      </c>
      <c r="E491" t="inlineStr"/>
      <c r="F491" t="inlineStr"/>
      <c r="G491" t="inlineStr">
        <is>
          <t>60 000 000</t>
        </is>
      </c>
      <c r="H491" t="inlineStr"/>
      <c r="I491" t="inlineStr">
        <is>
          <t>Нет у нас</t>
        </is>
      </c>
      <c r="J491" t="inlineStr"/>
      <c r="K491">
        <f>HYPERLINK("https://nordwestinvest.ru/real-estates/prodaetsia-pomeshhenie-pod-avtoservis-deteling","ссылка")</f>
        <v/>
      </c>
      <c r="L491" t="inlineStr"/>
    </row>
    <row r="492">
      <c r="A492" t="n">
        <v>463</v>
      </c>
      <c r="B492" t="inlineStr"/>
      <c r="C492" t="inlineStr">
        <is>
          <t>Ленинградская обл, Сосновый Бор г, Красных Фортов ул, 49</t>
        </is>
      </c>
      <c r="D492" t="n">
        <v>516</v>
      </c>
      <c r="E492" t="inlineStr"/>
      <c r="F492" t="inlineStr"/>
      <c r="G492" t="inlineStr">
        <is>
          <t>51 000 000</t>
        </is>
      </c>
      <c r="H492" t="inlineStr"/>
      <c r="I492" t="inlineStr">
        <is>
          <t>Нет у нас</t>
        </is>
      </c>
      <c r="J492" t="inlineStr"/>
      <c r="K492">
        <f>HYPERLINK("https://nordwestinvest.ru/real-estates/prodaza-osz-516-m2-s-arendatorom","ссылка")</f>
        <v/>
      </c>
      <c r="L492" t="inlineStr"/>
    </row>
    <row r="493">
      <c r="A493" t="n">
        <v>464</v>
      </c>
      <c r="B493" t="inlineStr"/>
      <c r="C493" t="inlineStr">
        <is>
          <t>Ленинградская обл, Сиверский гп, Строителей ул, 1а</t>
        </is>
      </c>
      <c r="D493" t="n">
        <v>242</v>
      </c>
      <c r="E493" t="inlineStr"/>
      <c r="F493" t="inlineStr"/>
      <c r="G493" t="inlineStr">
        <is>
          <t>45 000 000</t>
        </is>
      </c>
      <c r="H493" t="inlineStr"/>
      <c r="I493" t="inlineStr">
        <is>
          <t>Нет у нас</t>
        </is>
      </c>
      <c r="J493" t="inlineStr"/>
      <c r="K493">
        <f>HYPERLINK("https://nordwestinvest.ru/real-estates/prodaza-gab-s-nadeznymi-arendatorami-1","ссылка")</f>
        <v/>
      </c>
      <c r="L493" t="inlineStr"/>
    </row>
    <row r="494">
      <c r="A494" t="n">
        <v>465</v>
      </c>
      <c r="B494" t="inlineStr"/>
      <c r="C494" t="inlineStr">
        <is>
          <t>Ленинградская обл, Волосово г, Хрустицкого ул, 35</t>
        </is>
      </c>
      <c r="D494" t="n">
        <v>352</v>
      </c>
      <c r="E494" t="inlineStr"/>
      <c r="F494" t="inlineStr"/>
      <c r="G494" t="inlineStr">
        <is>
          <t>25 000 000</t>
        </is>
      </c>
      <c r="H494" t="inlineStr"/>
      <c r="I494" t="inlineStr">
        <is>
          <t>Нет у нас</t>
        </is>
      </c>
      <c r="J494" t="inlineStr"/>
      <c r="K494">
        <f>HYPERLINK("https://nordwestinvest.ru/real-estates/predlagaetsia-v-prodazu-zdanie-352-kvm","ссылка")</f>
        <v/>
      </c>
      <c r="L494" t="inlineStr"/>
    </row>
    <row r="495">
      <c r="A495" t="n">
        <v>466</v>
      </c>
      <c r="B495" t="inlineStr"/>
      <c r="C495" t="inlineStr">
        <is>
          <t>Санкт-Петербург г, Львовская ул, 9стр1</t>
        </is>
      </c>
      <c r="D495" t="n">
        <v>82.2</v>
      </c>
      <c r="E495" t="inlineStr"/>
      <c r="F495" t="inlineStr"/>
      <c r="G495" t="inlineStr">
        <is>
          <t>38 000 000</t>
        </is>
      </c>
      <c r="H495" t="inlineStr"/>
      <c r="I495" t="inlineStr">
        <is>
          <t>Нет у нас</t>
        </is>
      </c>
      <c r="J495" t="inlineStr"/>
      <c r="K495">
        <f>HYPERLINK("https://nordwestinvest.ru/real-estates/prodaza-pomeshheniia-822-m2-s-arendatorom","ссылка")</f>
        <v/>
      </c>
      <c r="L495" t="inlineStr"/>
    </row>
    <row r="496">
      <c r="A496" t="n">
        <v>468</v>
      </c>
      <c r="B496" t="inlineStr"/>
      <c r="C496" t="inlineStr">
        <is>
          <t>Санкт-Петербург г, Будапештская ул, 46 А</t>
        </is>
      </c>
      <c r="D496" t="n">
        <v>44</v>
      </c>
      <c r="E496" t="inlineStr"/>
      <c r="F496" t="inlineStr"/>
      <c r="G496" t="inlineStr">
        <is>
          <t>12 700 000</t>
        </is>
      </c>
      <c r="H496" t="inlineStr"/>
      <c r="I496" t="inlineStr">
        <is>
          <t>Нет у нас</t>
        </is>
      </c>
      <c r="J496" t="inlineStr"/>
      <c r="K496">
        <f>HYPERLINK("https://nordwestinvest.ru/real-estates/prodaza-pomeshheniia-na-ogromnom-trafike-44m2","ссылка")</f>
        <v/>
      </c>
      <c r="L496" t="inlineStr"/>
    </row>
    <row r="497">
      <c r="A497" t="n">
        <v>471</v>
      </c>
      <c r="B497" t="inlineStr"/>
      <c r="C497" t="inlineStr">
        <is>
          <t>Ленинградская обл, Кальтино д, -, 7</t>
        </is>
      </c>
      <c r="D497" t="n">
        <v>662</v>
      </c>
      <c r="E497" t="inlineStr"/>
      <c r="F497" t="inlineStr"/>
      <c r="G497" t="inlineStr">
        <is>
          <t>35 000 000</t>
        </is>
      </c>
      <c r="H497" t="inlineStr"/>
      <c r="I497" t="inlineStr">
        <is>
          <t>Нет у нас</t>
        </is>
      </c>
      <c r="J497" t="inlineStr"/>
      <c r="K497">
        <f>HYPERLINK("https://nordwestinvest.ru/real-estates/prodaza-osz-s-zemelnym-ucastkom-vo-vsevolozske","ссылка")</f>
        <v/>
      </c>
      <c r="L497" t="inlineStr"/>
    </row>
    <row r="498">
      <c r="A498" t="n">
        <v>472</v>
      </c>
      <c r="B498" t="inlineStr"/>
      <c r="C498" t="inlineStr">
        <is>
          <t>Ленинградская обл, Кальтино д, -, 6а</t>
        </is>
      </c>
      <c r="D498" t="n">
        <v>334</v>
      </c>
      <c r="E498" t="inlineStr"/>
      <c r="F498" t="inlineStr"/>
      <c r="G498" t="inlineStr">
        <is>
          <t>6 000 000</t>
        </is>
      </c>
      <c r="H498" t="inlineStr"/>
      <c r="I498" t="inlineStr">
        <is>
          <t>Нет у нас</t>
        </is>
      </c>
      <c r="J498" t="inlineStr"/>
      <c r="K498">
        <f>HYPERLINK("https://nordwestinvest.ru/real-estates/prodaza-zemelnogo-ucastka","ссылка")</f>
        <v/>
      </c>
      <c r="L498" t="inlineStr"/>
    </row>
    <row r="499">
      <c r="A499" t="n">
        <v>473</v>
      </c>
      <c r="B499" t="inlineStr"/>
      <c r="C499" t="inlineStr">
        <is>
          <t>Ленинградская обл, Новоселье гп, Невская ул, 3</t>
        </is>
      </c>
      <c r="D499" t="n">
        <v>102.3</v>
      </c>
      <c r="E499" t="inlineStr"/>
      <c r="F499" t="inlineStr"/>
      <c r="G499" t="inlineStr">
        <is>
          <t>20 000 000</t>
        </is>
      </c>
      <c r="H499" t="inlineStr"/>
      <c r="I499" t="inlineStr">
        <is>
          <t>Нет у нас</t>
        </is>
      </c>
      <c r="J499" t="inlineStr"/>
      <c r="K499">
        <f>HYPERLINK("https://nordwestinvest.ru/real-estates/prodaza-psn-1023-m2-s-arendatorom","ссылка")</f>
        <v/>
      </c>
      <c r="L499" t="inlineStr"/>
    </row>
    <row r="500">
      <c r="A500" t="n">
        <v>474</v>
      </c>
      <c r="B500" t="inlineStr"/>
      <c r="C500" t="inlineStr">
        <is>
          <t>Ленинградская обл, Колтуши д, -, 1</t>
        </is>
      </c>
      <c r="D500" t="n">
        <v>2055</v>
      </c>
      <c r="E500" t="inlineStr"/>
      <c r="F500" t="inlineStr"/>
      <c r="G500" t="inlineStr">
        <is>
          <t>15 000 000</t>
        </is>
      </c>
      <c r="H500" t="inlineStr"/>
      <c r="I500" t="inlineStr">
        <is>
          <t>Нет у нас</t>
        </is>
      </c>
      <c r="J500" t="inlineStr"/>
      <c r="K500">
        <f>HYPERLINK("https://nordwestinvest.ru/real-estates/prodaza-zemelnogo-ucastka-s-domom","ссылка")</f>
        <v/>
      </c>
      <c r="L500" t="inlineStr"/>
    </row>
    <row r="501">
      <c r="A501" t="n">
        <v>475</v>
      </c>
      <c r="B501" t="inlineStr"/>
      <c r="C501" t="inlineStr">
        <is>
          <t>Санкт-Петербург г, Новая, 301</t>
        </is>
      </c>
      <c r="D501" t="n">
        <v>1428</v>
      </c>
      <c r="E501" t="inlineStr"/>
      <c r="F501" t="inlineStr"/>
      <c r="G501" t="inlineStr">
        <is>
          <t>15 000 000</t>
        </is>
      </c>
      <c r="H501" t="inlineStr"/>
      <c r="I501" t="inlineStr">
        <is>
          <t>Нет у нас</t>
        </is>
      </c>
      <c r="J501" t="inlineStr"/>
      <c r="K501">
        <f>HYPERLINK("https://nordwestinvest.ru/real-estates/prodaza-zemelnogo-ucastka-s-domom-1","ссылка")</f>
        <v/>
      </c>
      <c r="L501" t="inlineStr"/>
    </row>
    <row r="502">
      <c r="A502" t="n">
        <v>476</v>
      </c>
      <c r="B502" t="inlineStr"/>
      <c r="C502" t="inlineStr">
        <is>
          <t>Санкт-Петербург г, Новая, 301</t>
        </is>
      </c>
      <c r="D502" t="n">
        <v>1183</v>
      </c>
      <c r="E502" t="inlineStr"/>
      <c r="F502" t="inlineStr"/>
      <c r="G502" t="inlineStr">
        <is>
          <t>15 000 000</t>
        </is>
      </c>
      <c r="H502" t="inlineStr"/>
      <c r="I502" t="inlineStr">
        <is>
          <t>Нет у нас</t>
        </is>
      </c>
      <c r="J502" t="inlineStr"/>
      <c r="K502">
        <f>HYPERLINK("https://nordwestinvest.ru/real-estates/prodaza-zemelnogo-ucastka-s-domom-2","ссылка")</f>
        <v/>
      </c>
      <c r="L502" t="inlineStr"/>
    </row>
    <row r="503">
      <c r="A503" t="n">
        <v>477</v>
      </c>
      <c r="B503" t="inlineStr"/>
      <c r="C503" t="inlineStr">
        <is>
          <t>Санкт-Петербург г, 2-я Жерновская ул, 27 А</t>
        </is>
      </c>
      <c r="D503" t="n">
        <v>851</v>
      </c>
      <c r="E503" t="inlineStr"/>
      <c r="F503" t="inlineStr"/>
      <c r="G503" t="inlineStr">
        <is>
          <t>40 000 000</t>
        </is>
      </c>
      <c r="H503" t="inlineStr"/>
      <c r="I503" t="inlineStr">
        <is>
          <t>Нет у нас</t>
        </is>
      </c>
      <c r="J503" t="inlineStr"/>
      <c r="K503">
        <f>HYPERLINK("https://nordwestinvest.ru/real-estates/prodaza-zdaniia-s-zemelnym-ucastkom","ссылка")</f>
        <v/>
      </c>
      <c r="L503" t="inlineStr"/>
    </row>
    <row r="504">
      <c r="A504" t="n">
        <v>478</v>
      </c>
      <c r="B504" t="inlineStr"/>
      <c r="C504" t="inlineStr">
        <is>
          <t>Ленинградская обл, Малое Верево д, Р-23, 18Б</t>
        </is>
      </c>
      <c r="D504" t="n">
        <v>1183</v>
      </c>
      <c r="E504" t="inlineStr"/>
      <c r="F504" t="inlineStr"/>
      <c r="G504" t="inlineStr">
        <is>
          <t>9 499 998</t>
        </is>
      </c>
      <c r="H504" t="inlineStr"/>
      <c r="I504" t="inlineStr">
        <is>
          <t>Нет у нас</t>
        </is>
      </c>
      <c r="J504" t="inlineStr"/>
      <c r="K504">
        <f>HYPERLINK("https://nordwestinvest.ru/real-estates/prodaza-zemelnogo-ucastka-1-183-s-domom","ссылка")</f>
        <v/>
      </c>
      <c r="L504" t="inlineStr"/>
    </row>
    <row r="505">
      <c r="A505" t="n">
        <v>479</v>
      </c>
      <c r="B505" t="inlineStr"/>
      <c r="C505" t="inlineStr">
        <is>
          <t>Ленинградская обл, Малые Борницы д, -, 47</t>
        </is>
      </c>
      <c r="D505" t="n">
        <v>1200</v>
      </c>
      <c r="E505" t="inlineStr"/>
      <c r="F505" t="inlineStr"/>
      <c r="G505" t="inlineStr">
        <is>
          <t>7 500 000</t>
        </is>
      </c>
      <c r="H505" t="inlineStr"/>
      <c r="I505" t="inlineStr">
        <is>
          <t>Нет у нас</t>
        </is>
      </c>
      <c r="J505" t="inlineStr"/>
      <c r="K505">
        <f>HYPERLINK("https://nordwestinvest.ru/real-estates/prodaza-zemelnogo-ucastka-1-200-s-zdaniem","ссылка")</f>
        <v/>
      </c>
      <c r="L505" t="inlineStr"/>
    </row>
    <row r="506">
      <c r="A506" t="n">
        <v>480</v>
      </c>
      <c r="B506" t="inlineStr"/>
      <c r="C506" t="inlineStr">
        <is>
          <t>Ленинградская обл, Горбунки д, -, 50</t>
        </is>
      </c>
      <c r="D506" t="n">
        <v>292</v>
      </c>
      <c r="E506" t="inlineStr"/>
      <c r="F506" t="inlineStr"/>
      <c r="G506" t="inlineStr">
        <is>
          <t>40 000 000</t>
        </is>
      </c>
      <c r="H506" t="inlineStr"/>
      <c r="I506" t="inlineStr">
        <is>
          <t>Нет у нас</t>
        </is>
      </c>
      <c r="J506" t="inlineStr"/>
      <c r="K506">
        <f>HYPERLINK("https://nordwestinvest.ru/real-estates/prodaza-zemelnogo-ucastka-1-118-s-zdaniem","ссылка")</f>
        <v/>
      </c>
      <c r="L506" t="inlineStr"/>
    </row>
    <row r="507">
      <c r="A507" t="n">
        <v>481</v>
      </c>
      <c r="B507" t="inlineStr"/>
      <c r="C507" t="inlineStr">
        <is>
          <t>Ленинградская обл, Всеволожск г, Центральная ул, 2</t>
        </is>
      </c>
      <c r="D507" t="n">
        <v>1180</v>
      </c>
      <c r="E507" t="inlineStr"/>
      <c r="F507" t="inlineStr"/>
      <c r="G507" t="inlineStr">
        <is>
          <t>100 000 000</t>
        </is>
      </c>
      <c r="H507" t="inlineStr"/>
      <c r="I507" t="inlineStr">
        <is>
          <t>Нет у нас</t>
        </is>
      </c>
      <c r="J507" t="inlineStr"/>
      <c r="K507">
        <f>HYPERLINK("https://nordwestinvest.ru/real-estates/prodaza-zdaniia-s-zemelnym-ucastkom-1","ссылка")</f>
        <v/>
      </c>
      <c r="L507" t="inlineStr"/>
    </row>
    <row r="508">
      <c r="A508" t="n">
        <v>482</v>
      </c>
      <c r="B508" t="inlineStr"/>
      <c r="C508" t="inlineStr">
        <is>
          <t>Ленинградская обл, Проба д, Пробинское ш, 28</t>
        </is>
      </c>
      <c r="D508" t="n">
        <v>700</v>
      </c>
      <c r="E508" t="inlineStr"/>
      <c r="F508" t="inlineStr"/>
      <c r="G508" t="inlineStr">
        <is>
          <t>20 000 001</t>
        </is>
      </c>
      <c r="H508" t="inlineStr"/>
      <c r="I508" t="inlineStr">
        <is>
          <t>Нет у нас</t>
        </is>
      </c>
      <c r="J508" t="inlineStr"/>
      <c r="K508">
        <f>HYPERLINK("https://nordwestinvest.ru/real-estates/prodaza-zemelnogo-ucastka-700-s-zdaniem","ссылка")</f>
        <v/>
      </c>
      <c r="L508" t="inlineStr"/>
    </row>
    <row r="509">
      <c r="A509" t="n">
        <v>483</v>
      </c>
      <c r="B509" t="inlineStr"/>
      <c r="C509" t="inlineStr">
        <is>
          <t>Ленинградская обл, Мурино г, 2-я Линия ул, 23</t>
        </is>
      </c>
      <c r="D509" t="n">
        <v>1000</v>
      </c>
      <c r="E509" t="inlineStr"/>
      <c r="F509" t="inlineStr"/>
      <c r="G509" t="inlineStr">
        <is>
          <t>80 000 000</t>
        </is>
      </c>
      <c r="H509" t="inlineStr"/>
      <c r="I509" t="inlineStr">
        <is>
          <t>Нет у нас</t>
        </is>
      </c>
      <c r="J509" t="inlineStr"/>
      <c r="K509">
        <f>HYPERLINK("https://nordwestinvest.ru/real-estates/prodaza-zdanie-s-arendatorami-1000m","ссылка")</f>
        <v/>
      </c>
      <c r="L509" t="inlineStr"/>
    </row>
    <row r="510">
      <c r="A510" t="n">
        <v>484</v>
      </c>
      <c r="B510" t="inlineStr"/>
      <c r="C510" t="inlineStr">
        <is>
          <t>Ленинградская обл, Новое Девяткино д, -, 21Б</t>
        </is>
      </c>
      <c r="D510" t="n">
        <v>593.2</v>
      </c>
      <c r="E510" t="inlineStr"/>
      <c r="F510" t="inlineStr"/>
      <c r="G510" t="inlineStr">
        <is>
          <t>75 000 000</t>
        </is>
      </c>
      <c r="H510" t="inlineStr"/>
      <c r="I510" t="inlineStr">
        <is>
          <t>Нет у нас</t>
        </is>
      </c>
      <c r="J510" t="inlineStr"/>
      <c r="K510">
        <f>HYPERLINK("https://nordwestinvest.ru/real-estates/prodaza-svetofor-kb-s-zemelnym-ucastkom","ссылка")</f>
        <v/>
      </c>
      <c r="L510" t="inlineStr"/>
    </row>
    <row r="511">
      <c r="A511" t="n">
        <v>485</v>
      </c>
      <c r="B511" t="inlineStr"/>
      <c r="C511" t="inlineStr">
        <is>
          <t>Ленинградская обл, Мяглово д, -, 2а</t>
        </is>
      </c>
      <c r="D511" t="n">
        <v>700</v>
      </c>
      <c r="E511" t="inlineStr"/>
      <c r="F511" t="inlineStr"/>
      <c r="G511" t="inlineStr">
        <is>
          <t>85 000 000</t>
        </is>
      </c>
      <c r="H511" t="inlineStr"/>
      <c r="I511" t="inlineStr">
        <is>
          <t>Нет у нас</t>
        </is>
      </c>
      <c r="J511" t="inlineStr"/>
      <c r="K511">
        <f>HYPERLINK("https://nordwestinvest.ru/real-estates/prodaza-zdaniia-s-zemelnym-ucastkom-2","ссылка")</f>
        <v/>
      </c>
      <c r="L511" t="inlineStr"/>
    </row>
    <row r="512">
      <c r="A512" t="n">
        <v>486</v>
      </c>
      <c r="B512" t="inlineStr"/>
      <c r="C512" t="inlineStr">
        <is>
          <t>Ленинградская обл, Новое Девяткино д, -, 54</t>
        </is>
      </c>
      <c r="D512" t="n">
        <v>866.6</v>
      </c>
      <c r="E512" t="inlineStr"/>
      <c r="F512" t="inlineStr"/>
      <c r="G512" t="inlineStr">
        <is>
          <t>125 000 000</t>
        </is>
      </c>
      <c r="H512" t="inlineStr"/>
      <c r="I512" t="inlineStr">
        <is>
          <t>Нет у нас</t>
        </is>
      </c>
      <c r="J512" t="inlineStr"/>
      <c r="K512">
        <f>HYPERLINK("https://nordwestinvest.ru/real-estates/prodaza-zdaniia","ссылка")</f>
        <v/>
      </c>
      <c r="L512" t="inlineStr"/>
    </row>
    <row r="513">
      <c r="A513" t="n">
        <v>487</v>
      </c>
      <c r="B513" t="inlineStr"/>
      <c r="C513" t="inlineStr">
        <is>
          <t>Санкт-Петербург г, Московское, 250</t>
        </is>
      </c>
      <c r="D513" t="n">
        <v>49521</v>
      </c>
      <c r="E513" t="inlineStr"/>
      <c r="F513" t="inlineStr"/>
      <c r="G513" t="inlineStr">
        <is>
          <t>107 000 000</t>
        </is>
      </c>
      <c r="H513" t="inlineStr"/>
      <c r="I513" t="inlineStr">
        <is>
          <t>Нет у нас</t>
        </is>
      </c>
      <c r="J513" t="inlineStr"/>
      <c r="K513">
        <f>HYPERLINK("https://nordwestinvest.ru/real-estates/prodaza-zu-pod-texnopark-5-ga","ссылка")</f>
        <v/>
      </c>
      <c r="L513" t="inlineStr"/>
    </row>
    <row r="514">
      <c r="A514" t="n">
        <v>488</v>
      </c>
      <c r="B514" t="inlineStr"/>
      <c r="C514" t="inlineStr">
        <is>
          <t>Санкт-Петербург г, Беринга ул, 1 А</t>
        </is>
      </c>
      <c r="D514" t="n">
        <v>171</v>
      </c>
      <c r="E514" t="inlineStr"/>
      <c r="F514" t="inlineStr"/>
      <c r="G514" t="inlineStr">
        <is>
          <t>30 000 000</t>
        </is>
      </c>
      <c r="H514" t="inlineStr"/>
      <c r="I514" t="inlineStr">
        <is>
          <t>Нет у нас</t>
        </is>
      </c>
      <c r="J514" t="inlineStr"/>
      <c r="K514">
        <f>HYPERLINK("https://nordwestinvest.ru/real-estates/prodaza-s-arendatorom-171m2","ссылка")</f>
        <v/>
      </c>
      <c r="L514" t="inlineStr"/>
    </row>
    <row r="515">
      <c r="A515" t="n">
        <v>489</v>
      </c>
      <c r="B515" t="inlineStr"/>
      <c r="C515" t="inlineStr">
        <is>
          <t>Ленинградская обл, Санино д, -, 42</t>
        </is>
      </c>
      <c r="D515" t="n">
        <v>4600</v>
      </c>
      <c r="E515" t="inlineStr"/>
      <c r="F515" t="inlineStr"/>
      <c r="G515" t="inlineStr">
        <is>
          <t>250 000 000</t>
        </is>
      </c>
      <c r="H515" t="inlineStr"/>
      <c r="I515" t="inlineStr">
        <is>
          <t>Нет у нас</t>
        </is>
      </c>
      <c r="J515" t="inlineStr"/>
      <c r="K515">
        <f>HYPERLINK("https://nordwestinvest.ru/real-estates/prodaza-pishhevogo-proizvodstva-4600-m2-i-4-ga-zemli","ссылка")</f>
        <v/>
      </c>
      <c r="L515" t="inlineStr"/>
    </row>
    <row r="516">
      <c r="A516" t="n">
        <v>490</v>
      </c>
      <c r="B516" t="inlineStr"/>
      <c r="C516" t="inlineStr">
        <is>
          <t>Ленинградская обл, Федоровское зона, Складской, 8</t>
        </is>
      </c>
      <c r="D516" t="n">
        <v>650</v>
      </c>
      <c r="E516" t="inlineStr"/>
      <c r="F516" t="inlineStr"/>
      <c r="G516" t="inlineStr">
        <is>
          <t>28 500 000</t>
        </is>
      </c>
      <c r="H516" t="inlineStr"/>
      <c r="I516" t="inlineStr">
        <is>
          <t>Нет у нас</t>
        </is>
      </c>
      <c r="J516" t="inlineStr"/>
      <c r="K516">
        <f>HYPERLINK("https://nordwestinvest.ru/real-estates/prodaza-650-m2-s-arendatorom","ссылка")</f>
        <v/>
      </c>
      <c r="L516" t="inlineStr"/>
    </row>
    <row r="517">
      <c r="A517" t="n">
        <v>491</v>
      </c>
      <c r="B517" t="inlineStr"/>
      <c r="C517" t="inlineStr">
        <is>
          <t>Санкт-Петербург г, Лагоды ул, 4стр1</t>
        </is>
      </c>
      <c r="D517" t="n">
        <v>545</v>
      </c>
      <c r="E517" t="inlineStr"/>
      <c r="F517" t="inlineStr"/>
      <c r="G517" t="inlineStr">
        <is>
          <t>63 000 000</t>
        </is>
      </c>
      <c r="H517" t="inlineStr"/>
      <c r="I517" t="inlineStr">
        <is>
          <t>Нет у нас</t>
        </is>
      </c>
      <c r="J517" t="inlineStr"/>
      <c r="K517">
        <f>HYPERLINK("https://nordwestinvest.ru/real-estates/prodaza-s-arendatorom-piaterocka-545m2","ссылка")</f>
        <v/>
      </c>
      <c r="L517" t="inlineStr"/>
    </row>
    <row r="518">
      <c r="A518" t="n">
        <v>493</v>
      </c>
      <c r="B518" t="inlineStr"/>
      <c r="C518" t="inlineStr">
        <is>
          <t>Ленинградская обл, Федоровское зона, почтовая , 38к1</t>
        </is>
      </c>
      <c r="D518" t="n">
        <v>1500</v>
      </c>
      <c r="E518" t="inlineStr"/>
      <c r="F518" t="inlineStr"/>
      <c r="G518" t="inlineStr">
        <is>
          <t>64 990 000</t>
        </is>
      </c>
      <c r="H518" t="inlineStr"/>
      <c r="I518" t="inlineStr">
        <is>
          <t>Нет у нас</t>
        </is>
      </c>
      <c r="J518" t="inlineStr"/>
      <c r="K518">
        <f>HYPERLINK("https://nordwestinvest.ru/real-estates/prodaza-sklada-1500-m2","ссылка")</f>
        <v/>
      </c>
      <c r="L518" t="inlineStr"/>
    </row>
    <row r="519">
      <c r="A519" t="n">
        <v>494</v>
      </c>
      <c r="B519" t="inlineStr"/>
      <c r="C519" t="inlineStr">
        <is>
          <t>Ленинградская обл, Федоровское зона, Почтовая , 38к1</t>
        </is>
      </c>
      <c r="D519" t="n">
        <v>1437</v>
      </c>
      <c r="E519" t="inlineStr"/>
      <c r="F519" t="inlineStr"/>
      <c r="G519" t="inlineStr">
        <is>
          <t>69 900 000</t>
        </is>
      </c>
      <c r="H519" t="inlineStr"/>
      <c r="I519" t="inlineStr">
        <is>
          <t>Нет у нас</t>
        </is>
      </c>
      <c r="J519" t="inlineStr"/>
      <c r="K519">
        <f>HYPERLINK("https://nordwestinvest.ru/real-estates/prodaza-novogo-sklada-1437-m2","ссылка")</f>
        <v/>
      </c>
      <c r="L519" t="inlineStr"/>
    </row>
    <row r="520">
      <c r="A520" t="n">
        <v>495</v>
      </c>
      <c r="B520" t="inlineStr"/>
      <c r="C520" t="inlineStr">
        <is>
          <t>Санкт-Петербург г, Ветеранов пр-кт, 169к4стр1</t>
        </is>
      </c>
      <c r="D520" t="n">
        <v>160</v>
      </c>
      <c r="E520" t="inlineStr"/>
      <c r="F520" t="inlineStr"/>
      <c r="G520" t="inlineStr">
        <is>
          <t>48 000 000</t>
        </is>
      </c>
      <c r="H520" t="inlineStr"/>
      <c r="I520" t="inlineStr">
        <is>
          <t>Нет у нас</t>
        </is>
      </c>
      <c r="J520" t="inlineStr"/>
      <c r="K520">
        <f>HYPERLINK("https://nordwestinvest.ru/real-estates/prodaza-ulybka-radugi-160-m2-v-stroiashhemsia-tc","ссылка")</f>
        <v/>
      </c>
      <c r="L520" t="inlineStr"/>
    </row>
    <row r="521">
      <c r="A521" t="n">
        <v>496</v>
      </c>
      <c r="B521" t="inlineStr"/>
      <c r="C521" t="inlineStr">
        <is>
          <t>Санкт-Петербург г, Маршака пр-кт, 3стр1</t>
        </is>
      </c>
      <c r="D521" t="n">
        <v>14589</v>
      </c>
      <c r="E521" t="inlineStr"/>
      <c r="F521" t="inlineStr"/>
      <c r="G521" t="inlineStr">
        <is>
          <t>40 000 000</t>
        </is>
      </c>
      <c r="H521" t="inlineStr"/>
      <c r="I521" t="inlineStr">
        <is>
          <t>Нет у нас</t>
        </is>
      </c>
      <c r="J521" t="inlineStr"/>
      <c r="K521">
        <f>HYPERLINK("https://nordwestinvest.ru/real-estates/prodaza-zu-s-proektom-pavilyonov","ссылка")</f>
        <v/>
      </c>
      <c r="L521" t="inlineStr"/>
    </row>
    <row r="522">
      <c r="A522" t="n">
        <v>497</v>
      </c>
      <c r="B522" t="inlineStr"/>
      <c r="C522" t="inlineStr">
        <is>
          <t>Ленинградская обл, Первомайское п, Ленина ул, 19</t>
        </is>
      </c>
      <c r="D522" t="n">
        <v>5000</v>
      </c>
      <c r="E522" t="inlineStr"/>
      <c r="F522" t="inlineStr"/>
      <c r="G522" t="inlineStr">
        <is>
          <t>40 000 000</t>
        </is>
      </c>
      <c r="H522" t="inlineStr"/>
      <c r="I522" t="inlineStr">
        <is>
          <t>Нет у нас</t>
        </is>
      </c>
      <c r="J522" t="inlineStr"/>
      <c r="K522">
        <f>HYPERLINK("https://nordwestinvest.ru/real-estates/prodaza-zemelnogo-ucastka-50-sot","ссылка")</f>
        <v/>
      </c>
      <c r="L522" t="inlineStr"/>
    </row>
    <row r="523">
      <c r="A523" t="n">
        <v>498</v>
      </c>
      <c r="B523" t="inlineStr"/>
      <c r="C523" t="inlineStr">
        <is>
          <t>Ленинградская обл, Пески д, Складской пер, 30</t>
        </is>
      </c>
      <c r="D523" t="n">
        <v>2880</v>
      </c>
      <c r="E523" t="inlineStr"/>
      <c r="F523" t="inlineStr"/>
      <c r="G523" t="inlineStr">
        <is>
          <t>210 000 000</t>
        </is>
      </c>
      <c r="H523" t="inlineStr"/>
      <c r="I523" t="inlineStr">
        <is>
          <t>Нет у нас</t>
        </is>
      </c>
      <c r="J523" t="inlineStr"/>
      <c r="K523">
        <f>HYPERLINK("https://nordwestinvest.ru/real-estates/prodaza-proizvodstvenno-skladskogo-kompleksa","ссылка")</f>
        <v/>
      </c>
      <c r="L523" t="inlineStr"/>
    </row>
    <row r="524">
      <c r="A524" t="n">
        <v>499</v>
      </c>
      <c r="B524" t="inlineStr"/>
      <c r="C524" t="inlineStr">
        <is>
          <t>Ленинградская обл, Бугры п, Торговая ул, 3</t>
        </is>
      </c>
      <c r="D524" t="n">
        <v>1500</v>
      </c>
      <c r="E524" t="inlineStr"/>
      <c r="F524" t="inlineStr"/>
      <c r="G524" t="inlineStr">
        <is>
          <t>160 000 000</t>
        </is>
      </c>
      <c r="H524" t="inlineStr"/>
      <c r="I524" t="inlineStr">
        <is>
          <t>Нет у нас</t>
        </is>
      </c>
      <c r="J524" t="inlineStr"/>
      <c r="K524">
        <f>HYPERLINK("https://nordwestinvest.ru/real-estates/prodaza-osz-1500-m2-s-arendatorom","ссылка")</f>
        <v/>
      </c>
      <c r="L524" t="inlineStr"/>
    </row>
    <row r="525">
      <c r="A525" t="n">
        <v>500</v>
      </c>
      <c r="B525" t="inlineStr"/>
      <c r="C525" t="inlineStr">
        <is>
          <t>Санкт-Петербург г, Конституции пл, 1к2 А</t>
        </is>
      </c>
      <c r="D525" t="n">
        <v>59</v>
      </c>
      <c r="E525" t="inlineStr"/>
      <c r="F525" t="inlineStr"/>
      <c r="G525" t="inlineStr">
        <is>
          <t>14 500 000</t>
        </is>
      </c>
      <c r="H525" t="inlineStr"/>
      <c r="I525" t="inlineStr">
        <is>
          <t>Нет у нас</t>
        </is>
      </c>
      <c r="J525" t="inlineStr"/>
      <c r="K525">
        <f>HYPERLINK("https://nordwestinvest.ru/real-estates/prodaza-ofisa-59-m2-s-remontom","ссылка")</f>
        <v/>
      </c>
      <c r="L525" t="inlineStr"/>
    </row>
    <row r="526">
      <c r="A526" t="n">
        <v>501</v>
      </c>
      <c r="B526" t="inlineStr"/>
      <c r="C526" t="inlineStr">
        <is>
          <t>Шушары п, предприятия Шушары тер, 496</t>
        </is>
      </c>
      <c r="D526" t="n">
        <v>113477</v>
      </c>
      <c r="E526" t="inlineStr"/>
      <c r="F526" t="inlineStr"/>
      <c r="G526" t="inlineStr">
        <is>
          <t>350 000 000</t>
        </is>
      </c>
      <c r="H526" t="inlineStr"/>
      <c r="I526" t="inlineStr">
        <is>
          <t>Нет у нас</t>
        </is>
      </c>
      <c r="J526" t="inlineStr"/>
      <c r="K526">
        <f>HYPERLINK("https://nordwestinvest.ru/real-estates/prodaza-zemelnogo-ucastka-1","ссылка")</f>
        <v/>
      </c>
      <c r="L526" t="inlineStr"/>
    </row>
    <row r="527">
      <c r="A527" t="n">
        <v>502</v>
      </c>
      <c r="B527" t="inlineStr"/>
      <c r="C527" t="inlineStr">
        <is>
          <t>Санкт-Петербург г, Рижский пр-кт, 62 М</t>
        </is>
      </c>
      <c r="D527" t="n">
        <v>65</v>
      </c>
      <c r="E527" t="inlineStr"/>
      <c r="F527" t="inlineStr"/>
      <c r="G527" t="inlineStr">
        <is>
          <t>9 300 000</t>
        </is>
      </c>
      <c r="H527" t="inlineStr"/>
      <c r="I527" t="inlineStr">
        <is>
          <t>Нет у нас</t>
        </is>
      </c>
      <c r="J527" t="inlineStr"/>
      <c r="K527">
        <f>HYPERLINK("https://nordwestinvest.ru/real-estates/prodaza-65-m2-s-arendatorom","ссылка")</f>
        <v/>
      </c>
      <c r="L527" t="inlineStr"/>
    </row>
    <row r="528">
      <c r="A528" t="n">
        <v>503</v>
      </c>
      <c r="B528" t="inlineStr"/>
      <c r="C528" t="inlineStr">
        <is>
          <t>Ленинградская обл, Мурино г, Воронцовский б-р, 16к1</t>
        </is>
      </c>
      <c r="D528" t="n">
        <v>223</v>
      </c>
      <c r="E528" t="inlineStr"/>
      <c r="F528" t="inlineStr"/>
      <c r="G528" t="inlineStr">
        <is>
          <t>62 500 000</t>
        </is>
      </c>
      <c r="H528" t="inlineStr"/>
      <c r="I528" t="inlineStr">
        <is>
          <t>Нет у нас</t>
        </is>
      </c>
      <c r="J528" t="inlineStr"/>
      <c r="K528">
        <f>HYPERLINK("https://nordwestinvest.ru/real-estates/pomeshhenie-s-magnit-kosmetik","ссылка")</f>
        <v/>
      </c>
      <c r="L528" t="inlineStr"/>
    </row>
    <row r="529">
      <c r="A529" t="n">
        <v>504</v>
      </c>
      <c r="B529" t="inlineStr"/>
      <c r="C529" t="inlineStr">
        <is>
          <t>Колпино г, Ленина пр-кт, 20/5 А</t>
        </is>
      </c>
      <c r="D529" t="n">
        <v>215</v>
      </c>
      <c r="E529" t="inlineStr"/>
      <c r="F529" t="inlineStr"/>
      <c r="G529" t="inlineStr">
        <is>
          <t>25 200 000</t>
        </is>
      </c>
      <c r="H529" t="inlineStr"/>
      <c r="I529" t="inlineStr">
        <is>
          <t>Нет у нас</t>
        </is>
      </c>
      <c r="J529" t="inlineStr"/>
      <c r="K529">
        <f>HYPERLINK("https://nordwestinvest.ru/real-estates/prodaza-gab-v-kolpino","ссылка")</f>
        <v/>
      </c>
      <c r="L529" t="inlineStr"/>
    </row>
    <row r="530">
      <c r="A530" t="n">
        <v>505</v>
      </c>
      <c r="B530" t="inlineStr"/>
      <c r="C530" t="inlineStr">
        <is>
          <t>Санкт-Петербург г, Бестужевская ул, 7к4стр1</t>
        </is>
      </c>
      <c r="D530" t="n">
        <v>43.2</v>
      </c>
      <c r="E530" t="inlineStr"/>
      <c r="F530" t="inlineStr"/>
      <c r="G530" t="inlineStr">
        <is>
          <t>9 900 000</t>
        </is>
      </c>
      <c r="H530" t="inlineStr"/>
      <c r="I530" t="inlineStr">
        <is>
          <t>Нет у нас</t>
        </is>
      </c>
      <c r="J530" t="inlineStr"/>
      <c r="K530">
        <f>HYPERLINK("https://nordwestinvest.ru/real-estates/pomeshhenie-vozle-skoly-s-arendatorom-432m2","ссылка")</f>
        <v/>
      </c>
      <c r="L530" t="inlineStr"/>
    </row>
    <row r="531">
      <c r="A531" t="n">
        <v>507</v>
      </c>
      <c r="B531" t="inlineStr"/>
      <c r="C531" t="inlineStr">
        <is>
          <t>Ленинградская обл, Волхов г, Металлургов ул, 6</t>
        </is>
      </c>
      <c r="D531" t="n">
        <v>67177</v>
      </c>
      <c r="E531" t="inlineStr"/>
      <c r="F531" t="inlineStr"/>
      <c r="G531" t="inlineStr">
        <is>
          <t>22 000 000</t>
        </is>
      </c>
      <c r="H531" t="inlineStr"/>
      <c r="I531" t="inlineStr">
        <is>
          <t>Нет у нас</t>
        </is>
      </c>
      <c r="J531" t="inlineStr"/>
      <c r="K531">
        <f>HYPERLINK("https://nordwestinvest.ru/real-estates/prodaza-zemli-6-ga-v-volxove","ссылка")</f>
        <v/>
      </c>
      <c r="L531" t="inlineStr"/>
    </row>
    <row r="532">
      <c r="A532" t="n">
        <v>508</v>
      </c>
      <c r="B532" t="inlineStr"/>
      <c r="C532" t="inlineStr">
        <is>
          <t>Санкт-Петербург г, Энгельса пр-кт, 36 А</t>
        </is>
      </c>
      <c r="D532" t="n">
        <v>813.9</v>
      </c>
      <c r="E532" t="inlineStr"/>
      <c r="F532" t="inlineStr"/>
      <c r="G532" t="inlineStr">
        <is>
          <t>36 000 000</t>
        </is>
      </c>
      <c r="H532" t="inlineStr"/>
      <c r="I532" t="inlineStr">
        <is>
          <t>Нет у нас</t>
        </is>
      </c>
      <c r="J532" t="inlineStr"/>
      <c r="K532">
        <f>HYPERLINK("https://nordwestinvest.ru/real-estates/zdanie-s-setevym-arendatorom-8139m-okup-10-let","ссылка")</f>
        <v/>
      </c>
      <c r="L532" t="inlineStr"/>
    </row>
    <row r="533">
      <c r="A533" t="n">
        <v>510</v>
      </c>
      <c r="B533" t="inlineStr"/>
      <c r="C533" t="inlineStr">
        <is>
          <t>Лиговский пр-кт, 46, 2</t>
        </is>
      </c>
      <c r="D533" t="n">
        <v>900</v>
      </c>
      <c r="E533" t="inlineStr"/>
      <c r="F533" t="inlineStr"/>
      <c r="G533" t="inlineStr">
        <is>
          <t>90 000 000</t>
        </is>
      </c>
      <c r="H533" t="inlineStr"/>
      <c r="I533" t="inlineStr">
        <is>
          <t>Нет у нас</t>
        </is>
      </c>
      <c r="J533" t="inlineStr"/>
      <c r="K533">
        <f>HYPERLINK("https://nordwestinvest.ru/real-estates/pomeshhenie-s-setevym-arendatorom-900m","ссылка")</f>
        <v/>
      </c>
      <c r="L533" t="inlineStr"/>
    </row>
    <row r="534">
      <c r="A534" t="n">
        <v>511</v>
      </c>
      <c r="B534" t="inlineStr"/>
      <c r="C534" t="inlineStr">
        <is>
          <t>Ленинградская обл, Мурино г, Воронцовский б-р, 19к1</t>
        </is>
      </c>
      <c r="D534" t="n">
        <v>31.3</v>
      </c>
      <c r="E534" t="inlineStr"/>
      <c r="F534" t="inlineStr"/>
      <c r="G534" t="inlineStr">
        <is>
          <t>10 955 000</t>
        </is>
      </c>
      <c r="H534" t="inlineStr"/>
      <c r="I534" t="inlineStr">
        <is>
          <t>Нет у нас</t>
        </is>
      </c>
      <c r="J534" t="inlineStr"/>
      <c r="K534">
        <f>HYPERLINK("https://nordwestinvest.ru/real-estates/prodaza-psn-313-kvm","ссылка")</f>
        <v/>
      </c>
      <c r="L534" t="inlineStr"/>
    </row>
    <row r="535">
      <c r="A535" t="n">
        <v>512</v>
      </c>
      <c r="B535" t="inlineStr"/>
      <c r="C535" t="inlineStr">
        <is>
          <t>Санкт-Петербург г, Космонавтов пр-кт, 65к2 А</t>
        </is>
      </c>
      <c r="D535" t="n">
        <v>577.8</v>
      </c>
      <c r="E535" t="inlineStr"/>
      <c r="F535" t="inlineStr"/>
      <c r="G535" t="inlineStr">
        <is>
          <t>200 000 000</t>
        </is>
      </c>
      <c r="H535" t="inlineStr"/>
      <c r="I535" t="inlineStr">
        <is>
          <t>Нет у нас</t>
        </is>
      </c>
      <c r="J535" t="inlineStr"/>
      <c r="K535">
        <f>HYPERLINK("https://nordwestinvest.ru/real-estates/prodaza-u-metro-zvezdnaia","ссылка")</f>
        <v/>
      </c>
      <c r="L535" t="inlineStr"/>
    </row>
    <row r="536">
      <c r="A536" t="n">
        <v>513</v>
      </c>
      <c r="B536" t="inlineStr"/>
      <c r="C536" t="inlineStr">
        <is>
          <t>Санкт-Петербург г, Пулковское ш, 53 А</t>
        </is>
      </c>
      <c r="D536" t="n">
        <v>5000</v>
      </c>
      <c r="E536" t="inlineStr"/>
      <c r="F536" t="inlineStr"/>
      <c r="G536" t="inlineStr">
        <is>
          <t>65 000 000</t>
        </is>
      </c>
      <c r="H536" t="inlineStr"/>
      <c r="I536" t="inlineStr">
        <is>
          <t>Нет у нас</t>
        </is>
      </c>
      <c r="J536" t="inlineStr"/>
      <c r="K536">
        <f>HYPERLINK("https://nordwestinvest.ru/real-estates/prodaza-zemelnogo-ucastka-5000m","ссылка")</f>
        <v/>
      </c>
      <c r="L536" t="inlineStr"/>
    </row>
    <row r="537">
      <c r="A537" t="n">
        <v>514</v>
      </c>
      <c r="B537" t="inlineStr"/>
      <c r="C537" t="inlineStr">
        <is>
          <t>Санкт-Петербург г, Пулковское ш, 53 А</t>
        </is>
      </c>
      <c r="D537" t="n">
        <v>2007</v>
      </c>
      <c r="E537" t="inlineStr"/>
      <c r="F537" t="inlineStr"/>
      <c r="G537" t="inlineStr">
        <is>
          <t>41 000 000</t>
        </is>
      </c>
      <c r="H537" t="inlineStr"/>
      <c r="I537" t="inlineStr">
        <is>
          <t>Нет у нас</t>
        </is>
      </c>
      <c r="J537" t="inlineStr"/>
      <c r="K537">
        <f>HYPERLINK("https://nordwestinvest.ru/real-estates/zu-s-pavilyonami","ссылка")</f>
        <v/>
      </c>
      <c r="L537" t="inlineStr"/>
    </row>
    <row r="538">
      <c r="A538" t="n">
        <v>515</v>
      </c>
      <c r="B538" t="inlineStr"/>
      <c r="C538" t="inlineStr">
        <is>
          <t>Санкт-Петербург г, Пулковское ш, 53 А</t>
        </is>
      </c>
      <c r="D538" t="n">
        <v>2000</v>
      </c>
      <c r="E538" t="inlineStr"/>
      <c r="F538" t="inlineStr"/>
      <c r="G538" t="inlineStr">
        <is>
          <t>24 000 000</t>
        </is>
      </c>
      <c r="H538" t="inlineStr"/>
      <c r="I538" t="inlineStr">
        <is>
          <t>Нет у нас</t>
        </is>
      </c>
      <c r="J538" t="inlineStr"/>
      <c r="K538">
        <f>HYPERLINK("https://nordwestinvest.ru/real-estates/prodaza-zemelnogo-ucastka-2000m","ссылка")</f>
        <v/>
      </c>
      <c r="L538" t="inlineStr"/>
    </row>
    <row r="539">
      <c r="A539" t="n">
        <v>517</v>
      </c>
      <c r="B539" t="inlineStr"/>
      <c r="C539" t="inlineStr">
        <is>
          <t>Санкт-Петербург г, Лахтинский пр-кт, 115 А</t>
        </is>
      </c>
      <c r="D539" t="n">
        <v>1500</v>
      </c>
      <c r="E539" t="inlineStr"/>
      <c r="F539" t="inlineStr"/>
      <c r="G539" t="inlineStr">
        <is>
          <t>375 000 000</t>
        </is>
      </c>
      <c r="H539" t="inlineStr"/>
      <c r="I539" t="inlineStr">
        <is>
          <t>Нет у нас</t>
        </is>
      </c>
      <c r="J539" t="inlineStr"/>
      <c r="K539">
        <f>HYPERLINK("https://nordwestinvest.ru/real-estates/unikalnaia-prodaza-sikarnogo-biznes-centra-1500-m","ссылка")</f>
        <v/>
      </c>
      <c r="L539" t="inlineStr"/>
    </row>
    <row r="540">
      <c r="A540" t="n">
        <v>519</v>
      </c>
      <c r="B540" t="inlineStr"/>
      <c r="C540" t="inlineStr">
        <is>
          <t>Санкт-Петербург г, Приморский пр-кт, 54к1 А</t>
        </is>
      </c>
      <c r="D540" t="n">
        <v>17000</v>
      </c>
      <c r="E540" t="inlineStr"/>
      <c r="F540" t="inlineStr"/>
      <c r="G540" t="inlineStr">
        <is>
          <t>1 500 000 000</t>
        </is>
      </c>
      <c r="H540" t="inlineStr"/>
      <c r="I540" t="inlineStr">
        <is>
          <t>Нет у нас</t>
        </is>
      </c>
      <c r="J540" t="inlineStr"/>
      <c r="K540">
        <f>HYPERLINK("https://nordwestinvest.ru/real-estates/prodaza-bc","ссылка")</f>
        <v/>
      </c>
      <c r="L540" t="inlineStr"/>
    </row>
    <row r="541">
      <c r="A541" t="n">
        <v>522</v>
      </c>
      <c r="B541" t="inlineStr"/>
      <c r="C541" t="inlineStr">
        <is>
          <t>Санкт-Петербург г, Ушинского ул, 12</t>
        </is>
      </c>
      <c r="D541" t="n">
        <v>12410</v>
      </c>
      <c r="E541" t="inlineStr"/>
      <c r="F541" t="inlineStr"/>
      <c r="G541" t="inlineStr">
        <is>
          <t>2 200 000 000</t>
        </is>
      </c>
      <c r="H541" t="inlineStr"/>
      <c r="I541" t="inlineStr">
        <is>
          <t>Нет у нас</t>
        </is>
      </c>
      <c r="J541" t="inlineStr"/>
      <c r="K541">
        <f>HYPERLINK("https://nordwestinvest.ru/real-estates/prodaza-zemelnogo-ucastka-12-410-m2","ссылка")</f>
        <v/>
      </c>
      <c r="L541" t="inlineStr"/>
    </row>
    <row r="542">
      <c r="A542" t="n">
        <v>523</v>
      </c>
      <c r="B542" t="inlineStr"/>
      <c r="C542" t="inlineStr">
        <is>
          <t>Ленинградская обл, Порзолово тер, раздольная, 1</t>
        </is>
      </c>
      <c r="D542" t="n">
        <v>570</v>
      </c>
      <c r="E542" t="inlineStr"/>
      <c r="F542" t="inlineStr"/>
      <c r="G542" t="inlineStr">
        <is>
          <t>61 500 000</t>
        </is>
      </c>
      <c r="H542" t="inlineStr"/>
      <c r="I542" t="inlineStr">
        <is>
          <t>Нет у нас</t>
        </is>
      </c>
      <c r="J542" t="inlineStr"/>
      <c r="K542">
        <f>HYPERLINK("https://nordwestinvest.ru/real-estates/proizvodstvenno-skladskoe-pomeshhenie-570-m2-na-1ga","ссылка")</f>
        <v/>
      </c>
      <c r="L542" t="inlineStr"/>
    </row>
    <row r="543">
      <c r="A543" t="n">
        <v>524</v>
      </c>
      <c r="B543" t="inlineStr"/>
      <c r="C543" t="inlineStr">
        <is>
          <t>Ленинградская обл, Рождествено с, Большой пр-кт, 106Б</t>
        </is>
      </c>
      <c r="D543" t="n">
        <v>600</v>
      </c>
      <c r="E543" t="inlineStr"/>
      <c r="F543" t="inlineStr"/>
      <c r="G543" t="inlineStr">
        <is>
          <t>120 000 000</t>
        </is>
      </c>
      <c r="H543" t="inlineStr"/>
      <c r="I543" t="inlineStr">
        <is>
          <t>Нет у нас</t>
        </is>
      </c>
      <c r="J543" t="inlineStr"/>
      <c r="K543">
        <f>HYPERLINK("https://nordwestinvest.ru/real-estates/prodaza-osz-s-arendatorom","ссылка")</f>
        <v/>
      </c>
      <c r="L543" t="inlineStr"/>
    </row>
    <row r="544">
      <c r="A544" t="n">
        <v>525</v>
      </c>
      <c r="B544" t="inlineStr"/>
      <c r="C544" t="inlineStr">
        <is>
          <t>Санкт-Петербург г, Невский пр-кт, 110 А</t>
        </is>
      </c>
      <c r="D544" t="n">
        <v>14200</v>
      </c>
      <c r="E544" t="inlineStr"/>
      <c r="F544" t="inlineStr"/>
      <c r="G544" t="inlineStr">
        <is>
          <t>95 000 000</t>
        </is>
      </c>
      <c r="H544" t="inlineStr"/>
      <c r="I544" t="inlineStr">
        <is>
          <t>Нет у нас</t>
        </is>
      </c>
      <c r="J544" t="inlineStr"/>
      <c r="K544">
        <f>HYPERLINK("https://nordwestinvest.ru/real-estates/prodaza-zu-14-ga","ссылка")</f>
        <v/>
      </c>
      <c r="L544" t="inlineStr"/>
    </row>
    <row r="545">
      <c r="A545" t="n">
        <v>526</v>
      </c>
      <c r="B545" t="inlineStr"/>
      <c r="C545" t="inlineStr">
        <is>
          <t>Санкт-Петербург г, Невский пр-кт, 110 А</t>
        </is>
      </c>
      <c r="D545" t="n">
        <v>1850</v>
      </c>
      <c r="E545" t="inlineStr"/>
      <c r="F545" t="inlineStr"/>
      <c r="G545" t="inlineStr">
        <is>
          <t>95 000 000</t>
        </is>
      </c>
      <c r="H545" t="inlineStr"/>
      <c r="I545" t="inlineStr">
        <is>
          <t>Нет у нас</t>
        </is>
      </c>
      <c r="J545" t="inlineStr"/>
      <c r="K545">
        <f>HYPERLINK("https://nordwestinvest.ru/real-estates/prodaza-osz-s-zu-14-ga","ссылка")</f>
        <v/>
      </c>
      <c r="L545" t="inlineStr"/>
    </row>
    <row r="546">
      <c r="A546" t="n">
        <v>527</v>
      </c>
      <c r="B546" t="inlineStr"/>
      <c r="C546" t="inlineStr">
        <is>
          <t>Санкт-Петербург г, Социалистическая ул, 21стр1</t>
        </is>
      </c>
      <c r="D546" t="n">
        <v>313</v>
      </c>
      <c r="E546" t="inlineStr"/>
      <c r="F546" t="inlineStr"/>
      <c r="G546" t="inlineStr">
        <is>
          <t>154 000 000</t>
        </is>
      </c>
      <c r="H546" t="inlineStr"/>
      <c r="I546" t="inlineStr">
        <is>
          <t>Нет у нас</t>
        </is>
      </c>
      <c r="J546" t="inlineStr"/>
      <c r="K546">
        <f>HYPERLINK("https://nordwestinvest.ru/real-estates/prodaza-s-arendatorom-lenta","ссылка")</f>
        <v/>
      </c>
      <c r="L546" t="inlineStr"/>
    </row>
    <row r="547">
      <c r="A547" t="n">
        <v>528</v>
      </c>
      <c r="B547" t="inlineStr"/>
      <c r="C547" t="inlineStr">
        <is>
          <t>Санкт-Петербург г, Седова ул, 77/28 А</t>
        </is>
      </c>
      <c r="D547" t="n">
        <v>57.3</v>
      </c>
      <c r="E547" t="inlineStr"/>
      <c r="F547" t="inlineStr"/>
      <c r="G547" t="inlineStr">
        <is>
          <t>19 990 000</t>
        </is>
      </c>
      <c r="H547" t="inlineStr"/>
      <c r="I547" t="inlineStr">
        <is>
          <t>Нет у нас</t>
        </is>
      </c>
      <c r="J547" t="inlineStr"/>
      <c r="K547">
        <f>HYPERLINK("https://nordwestinvest.ru/real-estates/prodaza-pomeshheniia-s-arendatorom-susivok","ссылка")</f>
        <v/>
      </c>
      <c r="L547" t="inlineStr"/>
    </row>
    <row r="548">
      <c r="A548" t="n">
        <v>529</v>
      </c>
      <c r="B548" t="inlineStr"/>
      <c r="C548" t="inlineStr">
        <is>
          <t>Ленинградская обл, Всеволожск г, Всеволожский пр-кт, 17</t>
        </is>
      </c>
      <c r="D548" t="n">
        <v>5644.8</v>
      </c>
      <c r="E548" t="inlineStr"/>
      <c r="F548" t="inlineStr"/>
      <c r="G548" t="inlineStr">
        <is>
          <t>450 000 000</t>
        </is>
      </c>
      <c r="H548" t="inlineStr"/>
      <c r="I548" t="inlineStr">
        <is>
          <t>Нет у нас</t>
        </is>
      </c>
      <c r="J548" t="inlineStr"/>
      <c r="K548">
        <f>HYPERLINK("https://nordwestinvest.ru/real-estates/prodaza-bc-i-zemelnogo-ucastka-56448-m2","ссылка")</f>
        <v/>
      </c>
      <c r="L548" t="inlineStr"/>
    </row>
    <row r="549">
      <c r="A549" t="n">
        <v>530</v>
      </c>
      <c r="B549" t="inlineStr"/>
      <c r="C549" t="inlineStr">
        <is>
          <t>Санкт-Петербург г, Луначарского пр-кт, 52к1 А</t>
        </is>
      </c>
      <c r="D549" t="n">
        <v>332.5</v>
      </c>
      <c r="E549" t="inlineStr"/>
      <c r="F549" t="inlineStr"/>
      <c r="G549" t="inlineStr">
        <is>
          <t>47 000 000</t>
        </is>
      </c>
      <c r="H549" t="inlineStr"/>
      <c r="I549" t="inlineStr">
        <is>
          <t>Нет у нас</t>
        </is>
      </c>
      <c r="J549" t="inlineStr"/>
      <c r="K549">
        <f>HYPERLINK("https://nordwestinvest.ru/real-estates/poisk-sobstvennika","ссылка")</f>
        <v/>
      </c>
      <c r="L549" t="inlineStr"/>
    </row>
    <row r="550">
      <c r="A550" t="n">
        <v>531</v>
      </c>
      <c r="B550" t="inlineStr"/>
      <c r="C550" t="inlineStr">
        <is>
          <t>Ленинградская обл, Новосаратовка д, 41К-078, 168/2</t>
        </is>
      </c>
      <c r="D550" t="n">
        <v>163897</v>
      </c>
      <c r="E550" t="inlineStr"/>
      <c r="F550" t="inlineStr"/>
      <c r="G550" t="inlineStr">
        <is>
          <t>1 300 000 000</t>
        </is>
      </c>
      <c r="H550" t="inlineStr"/>
      <c r="I550" t="inlineStr">
        <is>
          <t>Нет у нас</t>
        </is>
      </c>
      <c r="J550" t="inlineStr"/>
      <c r="K550">
        <f>HYPERLINK("https://nordwestinvest.ru/real-estates/prodaza-zemelnogo-ucastka-164-000-kvm","ссылка")</f>
        <v/>
      </c>
      <c r="L550" t="inlineStr"/>
    </row>
    <row r="551">
      <c r="A551" t="n">
        <v>532</v>
      </c>
      <c r="B551" t="inlineStr"/>
      <c r="C551" t="inlineStr">
        <is>
          <t>Санкт-Петербург г, Лидии Зверевой ул, 5к2</t>
        </is>
      </c>
      <c r="D551" t="n">
        <v>19000</v>
      </c>
      <c r="E551" t="inlineStr"/>
      <c r="F551" t="inlineStr"/>
      <c r="G551" t="inlineStr">
        <is>
          <t>100 000 000</t>
        </is>
      </c>
      <c r="H551" t="inlineStr"/>
      <c r="I551" t="inlineStr">
        <is>
          <t>Нет у нас</t>
        </is>
      </c>
      <c r="J551" t="inlineStr"/>
      <c r="K551">
        <f>HYPERLINK("https://nordwestinvest.ru/real-estates/prodaza-zemelnogo-ucastka-19-000-kvm","ссылка")</f>
        <v/>
      </c>
      <c r="L551" t="inlineStr"/>
    </row>
    <row r="552">
      <c r="A552" t="n">
        <v>534</v>
      </c>
      <c r="B552" t="inlineStr"/>
      <c r="C552" t="inlineStr">
        <is>
          <t>Парголово п, Тихоокеанская ул, 1к2стр1</t>
        </is>
      </c>
      <c r="D552" t="n">
        <v>1267.9</v>
      </c>
      <c r="E552" t="inlineStr"/>
      <c r="F552" t="inlineStr"/>
      <c r="G552" t="inlineStr">
        <is>
          <t>235 000 000</t>
        </is>
      </c>
      <c r="H552" t="inlineStr"/>
      <c r="I552" t="inlineStr">
        <is>
          <t>Нет у нас</t>
        </is>
      </c>
      <c r="J552" t="inlineStr"/>
      <c r="K552">
        <f>HYPERLINK("https://nordwestinvest.ru/real-estates/prodaza-pervogo-etaza-v-deistvuiushhem-tc-1268kvm","ссылка")</f>
        <v/>
      </c>
      <c r="L552" t="inlineStr"/>
    </row>
    <row r="553">
      <c r="A553" t="n">
        <v>536</v>
      </c>
      <c r="B553" t="inlineStr"/>
      <c r="C553" t="inlineStr">
        <is>
          <t>Санкт-Петербург г, 4-я Красноармейская ул, 12/11 А</t>
        </is>
      </c>
      <c r="D553" t="n">
        <v>101</v>
      </c>
      <c r="E553" t="inlineStr"/>
      <c r="F553" t="inlineStr"/>
      <c r="G553" t="inlineStr">
        <is>
          <t>17 000 000</t>
        </is>
      </c>
      <c r="H553" t="inlineStr"/>
      <c r="I553" t="inlineStr">
        <is>
          <t>Нет у нас</t>
        </is>
      </c>
      <c r="J553" t="inlineStr"/>
      <c r="K553">
        <f>HYPERLINK("https://nordwestinvest.ru/real-estates/prodaza-101-m2-s-arendatorom","ссылка")</f>
        <v/>
      </c>
      <c r="L553" t="inlineStr"/>
    </row>
    <row r="554">
      <c r="A554" t="n">
        <v>537</v>
      </c>
      <c r="B554" t="inlineStr"/>
      <c r="C554" t="inlineStr">
        <is>
          <t>Санкт-Петербург г, Морская наб, 31к1 А</t>
        </is>
      </c>
      <c r="D554" t="n">
        <v>141</v>
      </c>
      <c r="E554" t="inlineStr"/>
      <c r="F554" t="inlineStr"/>
      <c r="G554" t="inlineStr">
        <is>
          <t>22 000 000</t>
        </is>
      </c>
      <c r="H554" t="inlineStr"/>
      <c r="I554" t="inlineStr">
        <is>
          <t>Нет у нас</t>
        </is>
      </c>
      <c r="J554" t="inlineStr"/>
      <c r="K554">
        <f>HYPERLINK("https://nordwestinvest.ru/real-estates/prodaza-141-m2-s-arendatorom","ссылка")</f>
        <v/>
      </c>
      <c r="L554" t="inlineStr"/>
    </row>
    <row r="555">
      <c r="A555" t="n">
        <v>538</v>
      </c>
      <c r="B555" t="inlineStr"/>
      <c r="C555" t="inlineStr">
        <is>
          <t>Санкт-Петербург г, Морская наб, 31к1 А</t>
        </is>
      </c>
      <c r="D555" t="n">
        <v>298</v>
      </c>
      <c r="E555" t="inlineStr"/>
      <c r="F555" t="inlineStr"/>
      <c r="G555" t="inlineStr">
        <is>
          <t>45 000 000</t>
        </is>
      </c>
      <c r="H555" t="inlineStr"/>
      <c r="I555" t="inlineStr">
        <is>
          <t>Нет у нас</t>
        </is>
      </c>
      <c r="J555" t="inlineStr"/>
      <c r="K555">
        <f>HYPERLINK("https://nordwestinvest.ru/real-estates/prodaza-298-m2-s-arendatorom","ссылка")</f>
        <v/>
      </c>
      <c r="L555" t="inlineStr"/>
    </row>
    <row r="556">
      <c r="A556" t="n">
        <v>539</v>
      </c>
      <c r="B556" t="inlineStr"/>
      <c r="C556" t="inlineStr">
        <is>
          <t>Санкт-Петербург г, Курская ул, 27 А</t>
        </is>
      </c>
      <c r="D556" t="n">
        <v>38328</v>
      </c>
      <c r="E556" t="inlineStr"/>
      <c r="F556" t="inlineStr"/>
      <c r="G556" t="inlineStr">
        <is>
          <t>2 700 000 000</t>
        </is>
      </c>
      <c r="H556" t="inlineStr"/>
      <c r="I556" t="inlineStr">
        <is>
          <t>Нет у нас</t>
        </is>
      </c>
      <c r="J556" t="inlineStr"/>
      <c r="K556">
        <f>HYPERLINK("https://nordwestinvest.ru/real-estates/100-dolei-iur-lica-na-zu","ссылка")</f>
        <v/>
      </c>
      <c r="L556" t="inlineStr"/>
    </row>
    <row r="557">
      <c r="A557" t="n">
        <v>542</v>
      </c>
      <c r="B557" t="inlineStr"/>
      <c r="C557" t="inlineStr">
        <is>
          <t>Санкт-Петербург г, Александра Грина б-р, 3стр1</t>
        </is>
      </c>
      <c r="D557" t="n">
        <v>470000</v>
      </c>
      <c r="E557" t="inlineStr"/>
      <c r="F557" t="inlineStr"/>
      <c r="G557" t="inlineStr">
        <is>
          <t>25 000 000 000</t>
        </is>
      </c>
      <c r="H557" t="inlineStr"/>
      <c r="I557" t="inlineStr">
        <is>
          <t>Нет у нас</t>
        </is>
      </c>
      <c r="J557" t="inlineStr"/>
      <c r="K557">
        <f>HYPERLINK("https://nordwestinvest.ru/real-estates/prodaza-ucastka-v-4-m-kvartale-nevskaia-guba","ссылка")</f>
        <v/>
      </c>
      <c r="L557" t="inlineStr"/>
    </row>
    <row r="558">
      <c r="A558" t="n">
        <v>543</v>
      </c>
      <c r="B558" t="inlineStr"/>
      <c r="C558" t="inlineStr">
        <is>
          <t>Санкт-Петербург г, Науки пр-кт, 47к2 А</t>
        </is>
      </c>
      <c r="D558" t="n">
        <v>549</v>
      </c>
      <c r="E558" t="inlineStr"/>
      <c r="F558" t="inlineStr"/>
      <c r="G558" t="inlineStr">
        <is>
          <t>97 900 000</t>
        </is>
      </c>
      <c r="H558" t="inlineStr"/>
      <c r="I558" t="inlineStr">
        <is>
          <t>Нет у нас</t>
        </is>
      </c>
      <c r="J558" t="inlineStr"/>
      <c r="K558">
        <f>HYPERLINK("https://nordwestinvest.ru/real-estates/prodaza-549-m2-s-remontom","ссылка")</f>
        <v/>
      </c>
      <c r="L558" t="inlineStr"/>
    </row>
    <row r="559">
      <c r="A559" t="n">
        <v>545</v>
      </c>
      <c r="B559" t="inlineStr"/>
      <c r="C559" t="inlineStr">
        <is>
          <t>Санкт-Петербург г, Московское ш, 163к2</t>
        </is>
      </c>
      <c r="D559" t="n">
        <v>16000</v>
      </c>
      <c r="E559" t="inlineStr"/>
      <c r="F559" t="inlineStr"/>
      <c r="G559" t="inlineStr">
        <is>
          <t>1 520 000 000</t>
        </is>
      </c>
      <c r="H559" t="inlineStr"/>
      <c r="I559" t="inlineStr">
        <is>
          <t>Нет у нас</t>
        </is>
      </c>
      <c r="J559" t="inlineStr"/>
      <c r="K559">
        <f>HYPERLINK("https://nordwestinvest.ru/real-estates/prodaza-sklada-klassa-a-novyi-teplyi-gaz","ссылка")</f>
        <v/>
      </c>
      <c r="L559" t="inlineStr"/>
    </row>
    <row r="560">
      <c r="A560" t="n">
        <v>546</v>
      </c>
      <c r="B560" t="inlineStr"/>
      <c r="C560" t="inlineStr">
        <is>
          <t>Санкт-Петербург г, Ленина (Сергиево тер) пр-кт, 39стр1</t>
        </is>
      </c>
      <c r="D560" t="n">
        <v>604.6</v>
      </c>
      <c r="E560" t="inlineStr"/>
      <c r="F560" t="inlineStr"/>
      <c r="G560" t="inlineStr">
        <is>
          <t>168 000 000</t>
        </is>
      </c>
      <c r="H560" t="inlineStr"/>
      <c r="I560" t="inlineStr">
        <is>
          <t>Нет у нас</t>
        </is>
      </c>
      <c r="J560" t="inlineStr"/>
      <c r="K560">
        <f>HYPERLINK("https://nordwestinvest.ru/real-estates/prodaza-605m2","ссылка")</f>
        <v/>
      </c>
      <c r="L560" t="inlineStr"/>
    </row>
    <row r="561">
      <c r="A561" t="n">
        <v>547</v>
      </c>
      <c r="B561" t="inlineStr"/>
      <c r="C561" t="inlineStr">
        <is>
          <t>Санкт-Петербург г, Лидии Зверевой ул, 9к1стр1</t>
        </is>
      </c>
      <c r="D561" t="n">
        <v>80.09999999999999</v>
      </c>
      <c r="E561" t="inlineStr"/>
      <c r="F561" t="inlineStr"/>
      <c r="G561" t="inlineStr">
        <is>
          <t>13 500 000</t>
        </is>
      </c>
      <c r="H561" t="inlineStr"/>
      <c r="I561" t="inlineStr">
        <is>
          <t>Нет у нас</t>
        </is>
      </c>
      <c r="J561" t="inlineStr"/>
      <c r="K561">
        <f>HYPERLINK("https://nordwestinvest.ru/real-estates/prodaza-80-m2-s-arendatorom","ссылка")</f>
        <v/>
      </c>
      <c r="L561" t="inlineStr"/>
    </row>
    <row r="562">
      <c r="A562" t="n">
        <v>549</v>
      </c>
      <c r="B562" t="inlineStr"/>
      <c r="C562" t="inlineStr">
        <is>
          <t>Санкт-Петербург г, Канала Грибоедова наб, 166стр1</t>
        </is>
      </c>
      <c r="D562" t="n">
        <v>1122.2</v>
      </c>
      <c r="E562" t="inlineStr"/>
      <c r="F562" t="inlineStr"/>
      <c r="G562" t="inlineStr">
        <is>
          <t>240 000 000</t>
        </is>
      </c>
      <c r="H562" t="inlineStr"/>
      <c r="I562" t="inlineStr">
        <is>
          <t>Нет у нас</t>
        </is>
      </c>
      <c r="J562" t="inlineStr"/>
      <c r="K562">
        <f>HYPERLINK("https://nordwestinvest.ru/real-estates/prodaza-osz-posle-zagsa-11222-m2-1","ссылка")</f>
        <v/>
      </c>
      <c r="L562" t="inlineStr"/>
    </row>
    <row r="563">
      <c r="A563" t="n">
        <v>550</v>
      </c>
      <c r="B563" t="inlineStr"/>
      <c r="C563" t="inlineStr">
        <is>
          <t>Санкт-Петербург г, Караваевская ул, 23 А</t>
        </is>
      </c>
      <c r="D563" t="n">
        <v>4596</v>
      </c>
      <c r="E563" t="inlineStr"/>
      <c r="F563" t="inlineStr"/>
      <c r="G563" t="inlineStr">
        <is>
          <t>450 000 000</t>
        </is>
      </c>
      <c r="H563" t="inlineStr"/>
      <c r="I563" t="inlineStr">
        <is>
          <t>Нет у нас</t>
        </is>
      </c>
      <c r="J563" t="inlineStr"/>
      <c r="K563">
        <f>HYPERLINK("https://nordwestinvest.ru/real-estates/prodaza-zdaniia-okolo-metro-4596-m2","ссылка")</f>
        <v/>
      </c>
      <c r="L563" t="inlineStr"/>
    </row>
    <row r="564">
      <c r="A564" t="n">
        <v>551</v>
      </c>
      <c r="B564" t="inlineStr"/>
      <c r="C564" t="inlineStr">
        <is>
          <t>Санкт-Петербург г, Синопская наб, 30</t>
        </is>
      </c>
      <c r="D564" t="n">
        <v>1070</v>
      </c>
      <c r="E564" t="inlineStr"/>
      <c r="F564" t="inlineStr"/>
      <c r="G564" t="inlineStr">
        <is>
          <t>100 000 000</t>
        </is>
      </c>
      <c r="H564" t="inlineStr"/>
      <c r="I564" t="inlineStr">
        <is>
          <t>Нет у нас</t>
        </is>
      </c>
      <c r="J564" t="inlineStr"/>
      <c r="K564">
        <f>HYPERLINK("https://nordwestinvest.ru/real-estates/prodaza-zdaniia-osz-v-centrae-goroda-1070-m2","ссылка")</f>
        <v/>
      </c>
      <c r="L564" t="inlineStr"/>
    </row>
    <row r="565">
      <c r="A565" t="n">
        <v>552</v>
      </c>
      <c r="B565" t="inlineStr"/>
      <c r="C565" t="inlineStr">
        <is>
          <t>Санкт-Петербург г, Витебская ул, 31 А</t>
        </is>
      </c>
      <c r="D565" t="n">
        <v>40</v>
      </c>
      <c r="E565" t="inlineStr"/>
      <c r="F565" t="inlineStr"/>
      <c r="G565" t="inlineStr">
        <is>
          <t>6 850 000</t>
        </is>
      </c>
      <c r="H565" t="inlineStr"/>
      <c r="I565" t="inlineStr">
        <is>
          <t>Нет у нас</t>
        </is>
      </c>
      <c r="J565" t="inlineStr"/>
      <c r="K565">
        <f>HYPERLINK("https://nordwestinvest.ru/real-estates/prodaza-40m-s-sikarnym-remontom","ссылка")</f>
        <v/>
      </c>
      <c r="L565" t="inlineStr"/>
    </row>
    <row r="566">
      <c r="A566" t="n">
        <v>553</v>
      </c>
      <c r="B566" t="inlineStr"/>
      <c r="C566" t="inlineStr">
        <is>
          <t>Санкт-Петербург г, Серпуховская ул, 5</t>
        </is>
      </c>
      <c r="D566" t="n">
        <v>50.4</v>
      </c>
      <c r="E566" t="inlineStr"/>
      <c r="F566" t="inlineStr"/>
      <c r="G566" t="inlineStr">
        <is>
          <t>14 750 000</t>
        </is>
      </c>
      <c r="H566" t="inlineStr"/>
      <c r="I566" t="inlineStr">
        <is>
          <t>Нет у нас</t>
        </is>
      </c>
      <c r="J566" t="inlineStr"/>
      <c r="K566">
        <f>HYPERLINK("https://nordwestinvest.ru/real-estates/prodaza-pomeshheniia-v-2-x-minutax-ot-metro-50m2","ссылка")</f>
        <v/>
      </c>
      <c r="L566" t="inlineStr"/>
    </row>
    <row r="567">
      <c r="A567" t="n">
        <v>554</v>
      </c>
      <c r="B567" t="inlineStr"/>
      <c r="C567" t="inlineStr">
        <is>
          <t>Санкт-Петербург г, Революции ш, 69 А</t>
        </is>
      </c>
      <c r="D567" t="n">
        <v>353.3</v>
      </c>
      <c r="E567" t="inlineStr"/>
      <c r="F567" t="inlineStr"/>
      <c r="G567" t="inlineStr">
        <is>
          <t>42 396 000</t>
        </is>
      </c>
      <c r="H567" t="inlineStr"/>
      <c r="I567" t="inlineStr">
        <is>
          <t>Нет у нас</t>
        </is>
      </c>
      <c r="J567" t="inlineStr"/>
      <c r="K567">
        <f>HYPERLINK("https://nordwestinvest.ru/real-estates/prodaza-pomeshheniia-3533-m2-v-bc-reforma","ссылка")</f>
        <v/>
      </c>
      <c r="L567" t="inlineStr"/>
    </row>
    <row r="568">
      <c r="A568" t="n">
        <v>555</v>
      </c>
      <c r="B568" t="inlineStr"/>
      <c r="C568" t="inlineStr">
        <is>
          <t>Санкт-Петербург г, Энергетиков пр-кт, 50</t>
        </is>
      </c>
      <c r="D568" t="n">
        <v>942</v>
      </c>
      <c r="E568" t="inlineStr"/>
      <c r="F568" t="inlineStr"/>
      <c r="G568" t="inlineStr">
        <is>
          <t>185 000 000</t>
        </is>
      </c>
      <c r="H568" t="inlineStr"/>
      <c r="I568" t="inlineStr">
        <is>
          <t>Нет у нас</t>
        </is>
      </c>
      <c r="J568" t="inlineStr"/>
      <c r="K568">
        <f>HYPERLINK("https://nordwestinvest.ru/real-estates/prodaza-piaterocki-s-okupaemostiu-86-let","ссылка")</f>
        <v/>
      </c>
      <c r="L568" t="inlineStr"/>
    </row>
    <row r="569">
      <c r="A569" t="n">
        <v>556</v>
      </c>
      <c r="B569" t="inlineStr"/>
      <c r="C569" t="inlineStr">
        <is>
          <t>Санкт-Петербург г, Ивана Черных ул, 27</t>
        </is>
      </c>
      <c r="D569" t="n">
        <v>1000</v>
      </c>
      <c r="E569" t="inlineStr"/>
      <c r="F569" t="inlineStr"/>
      <c r="G569" t="inlineStr">
        <is>
          <t>75 000 000</t>
        </is>
      </c>
      <c r="H569" t="inlineStr"/>
      <c r="I569" t="inlineStr">
        <is>
          <t>Нет у нас</t>
        </is>
      </c>
      <c r="J569" t="inlineStr"/>
      <c r="K569">
        <f>HYPERLINK("https://nordwestinvest.ru/real-estates/prodaza-osz-1000m2-na-ucastke-11-sotok","ссылка")</f>
        <v/>
      </c>
      <c r="L569" t="inlineStr"/>
    </row>
    <row r="570">
      <c r="A570" t="n">
        <v>557</v>
      </c>
      <c r="B570" t="inlineStr"/>
      <c r="C570" t="inlineStr">
        <is>
          <t>Санкт-Петербург г, 13-я В.О. линия, 78 А</t>
        </is>
      </c>
      <c r="D570" t="n">
        <v>560</v>
      </c>
      <c r="E570" t="inlineStr"/>
      <c r="F570" t="inlineStr"/>
      <c r="G570" t="inlineStr">
        <is>
          <t>35 000 000</t>
        </is>
      </c>
      <c r="H570" t="inlineStr"/>
      <c r="I570" t="inlineStr">
        <is>
          <t>Нет у нас</t>
        </is>
      </c>
      <c r="J570" t="inlineStr"/>
      <c r="K570">
        <f>HYPERLINK("https://nordwestinvest.ru/real-estates/prodaza-proizvodstvennyi-cex-ppa","ссылка")</f>
        <v/>
      </c>
      <c r="L570" t="inlineStr"/>
    </row>
    <row r="571">
      <c r="A571" t="n">
        <v>558</v>
      </c>
      <c r="B571" t="inlineStr"/>
      <c r="C571" t="inlineStr">
        <is>
          <t>Санкт-Петербург г, Наставников пр-кт, 25к1 А</t>
        </is>
      </c>
      <c r="D571" t="n">
        <v>50</v>
      </c>
      <c r="E571" t="inlineStr"/>
      <c r="F571" t="inlineStr"/>
      <c r="G571" t="inlineStr">
        <is>
          <t>18 500 000</t>
        </is>
      </c>
      <c r="H571" t="inlineStr"/>
      <c r="I571" t="inlineStr">
        <is>
          <t>Нет у нас</t>
        </is>
      </c>
      <c r="J571" t="inlineStr"/>
      <c r="K571">
        <f>HYPERLINK("https://nordwestinvest.ru/real-estates/prodaza-pomeshheniia-na-xorosem-trafike-s-arendatorom","ссылка")</f>
        <v/>
      </c>
      <c r="L571" t="inlineStr"/>
    </row>
    <row r="572">
      <c r="A572" t="n">
        <v>559</v>
      </c>
      <c r="B572" t="inlineStr"/>
      <c r="C572" t="inlineStr">
        <is>
          <t>Ленинградская обл, Мурино г, Петровский б-р, 5</t>
        </is>
      </c>
      <c r="D572" t="n">
        <v>38.4</v>
      </c>
      <c r="E572" t="inlineStr"/>
      <c r="F572" t="inlineStr"/>
      <c r="G572" t="inlineStr">
        <is>
          <t>10 700 000</t>
        </is>
      </c>
      <c r="H572" t="inlineStr"/>
      <c r="I572" t="inlineStr">
        <is>
          <t>Нет у нас</t>
        </is>
      </c>
      <c r="J572" t="inlineStr"/>
      <c r="K572">
        <f>HYPERLINK("https://nordwestinvest.ru/real-estates/prodaza-pomeshheniia-s-xorosei-okupaemostiu","ссылка")</f>
        <v/>
      </c>
      <c r="L572" t="inlineStr"/>
    </row>
    <row r="573">
      <c r="A573" t="n">
        <v>560</v>
      </c>
      <c r="B573" t="inlineStr"/>
      <c r="C573" t="inlineStr">
        <is>
          <t>Санкт-Петербург г, Ленинский пр-кт, 64к1 А</t>
        </is>
      </c>
      <c r="D573" t="n">
        <v>313</v>
      </c>
      <c r="E573" t="inlineStr"/>
      <c r="F573" t="inlineStr"/>
      <c r="G573" t="inlineStr">
        <is>
          <t>51 000 000</t>
        </is>
      </c>
      <c r="H573" t="inlineStr"/>
      <c r="I573" t="inlineStr">
        <is>
          <t>Нет у нас</t>
        </is>
      </c>
      <c r="J573" t="inlineStr"/>
      <c r="K573">
        <f>HYPERLINK("https://nordwestinvest.ru/real-estates/prodaza-uglovoe-na-trafike","ссылка")</f>
        <v/>
      </c>
      <c r="L573" t="inlineStr"/>
    </row>
    <row r="574">
      <c r="A574" t="n">
        <v>562</v>
      </c>
      <c r="B574" t="inlineStr"/>
      <c r="C574" t="inlineStr">
        <is>
          <t>Санкт-Петербург г, Есенина ул, 6к1 А</t>
        </is>
      </c>
      <c r="D574" t="n">
        <v>310</v>
      </c>
      <c r="E574" t="inlineStr"/>
      <c r="F574" t="inlineStr"/>
      <c r="G574" t="inlineStr">
        <is>
          <t>85 000 000</t>
        </is>
      </c>
      <c r="H574" t="inlineStr"/>
      <c r="I574" t="inlineStr">
        <is>
          <t>Нет у нас</t>
        </is>
      </c>
      <c r="J574" t="inlineStr"/>
      <c r="K574">
        <f>HYPERLINK("https://nordwestinvest.ru/real-estates/prodaza-arendator-sberbank-vyborgskii-raion","ссылка")</f>
        <v/>
      </c>
      <c r="L574" t="inlineStr"/>
    </row>
    <row r="575">
      <c r="A575" t="n">
        <v>564</v>
      </c>
      <c r="B575" t="inlineStr"/>
      <c r="C575" t="inlineStr">
        <is>
          <t>Красное Село г, Ленина пр-кт, 77к1</t>
        </is>
      </c>
      <c r="D575" t="n">
        <v>60</v>
      </c>
      <c r="E575" t="inlineStr"/>
      <c r="F575" t="inlineStr"/>
      <c r="G575" t="inlineStr">
        <is>
          <t>11 400 000</t>
        </is>
      </c>
      <c r="H575" t="inlineStr"/>
      <c r="I575" t="inlineStr">
        <is>
          <t>Нет у нас</t>
        </is>
      </c>
      <c r="J575" t="inlineStr"/>
      <c r="K575">
        <f>HYPERLINK("https://nordwestinvest.ru/real-estates/prodaza-v-tc-arendator-optika-7-let-okupaemosti","ссылка")</f>
        <v/>
      </c>
      <c r="L575" t="inlineStr"/>
    </row>
    <row r="576">
      <c r="A576" t="n">
        <v>565</v>
      </c>
      <c r="B576" t="inlineStr"/>
      <c r="C576" t="inlineStr">
        <is>
          <t>Санкт-Петербург г, Партизана Германа ул, 47</t>
        </is>
      </c>
      <c r="D576" t="n">
        <v>364</v>
      </c>
      <c r="E576" t="inlineStr"/>
      <c r="F576" t="inlineStr"/>
      <c r="G576" t="inlineStr">
        <is>
          <t>69 160 000</t>
        </is>
      </c>
      <c r="H576" t="inlineStr"/>
      <c r="I576" t="inlineStr">
        <is>
          <t>Нет у нас</t>
        </is>
      </c>
      <c r="J576" t="inlineStr"/>
      <c r="K576">
        <f>HYPERLINK("https://nordwestinvest.ru/real-estates/zakrytaia-prodaza-v-tc-s-arendatorom-burger-king","ссылка")</f>
        <v/>
      </c>
      <c r="L576" t="inlineStr"/>
    </row>
    <row r="577">
      <c r="A577" t="n">
        <v>566</v>
      </c>
      <c r="B577" t="inlineStr"/>
      <c r="C577" t="inlineStr">
        <is>
          <t>Санкт-Петербург г, Петергофское ш, 51</t>
        </is>
      </c>
      <c r="D577" t="n">
        <v>39</v>
      </c>
      <c r="E577" t="inlineStr"/>
      <c r="F577" t="inlineStr"/>
      <c r="G577" t="inlineStr">
        <is>
          <t>8 569 000</t>
        </is>
      </c>
      <c r="H577" t="inlineStr"/>
      <c r="I577" t="inlineStr">
        <is>
          <t>Нет у нас</t>
        </is>
      </c>
      <c r="J577" t="inlineStr"/>
      <c r="K577">
        <f>HYPERLINK("https://nordwestinvest.ru/real-estates/zakrytaia-prodaza-v-tc-s-arendatorom-ikra-i-ryba","ссылка")</f>
        <v/>
      </c>
      <c r="L577" t="inlineStr"/>
    </row>
    <row r="578">
      <c r="A578" t="n">
        <v>567</v>
      </c>
      <c r="B578" t="inlineStr"/>
      <c r="C578" t="inlineStr">
        <is>
          <t>Санкт-Петербург г, Лифляндская ул, 6 М</t>
        </is>
      </c>
      <c r="D578" t="n">
        <v>2012</v>
      </c>
      <c r="E578" t="inlineStr"/>
      <c r="F578" t="inlineStr"/>
      <c r="G578" t="inlineStr">
        <is>
          <t>71 640 000</t>
        </is>
      </c>
      <c r="H578" t="inlineStr"/>
      <c r="I578" t="inlineStr">
        <is>
          <t>Нет у нас</t>
        </is>
      </c>
      <c r="J578" t="inlineStr"/>
      <c r="K578">
        <f>HYPERLINK("https://nordwestinvest.ru/real-estates/prodaza-bc-s-arendatorami-okupaemost-9-let","ссылка")</f>
        <v/>
      </c>
      <c r="L578" t="inlineStr"/>
    </row>
    <row r="579">
      <c r="A579" t="n">
        <v>568</v>
      </c>
      <c r="B579" t="inlineStr"/>
      <c r="C579" t="inlineStr">
        <is>
          <t>Санкт-Петербург г, Выборгское ш, 12 А</t>
        </is>
      </c>
      <c r="D579" t="n">
        <v>5925.9</v>
      </c>
      <c r="E579" t="inlineStr"/>
      <c r="F579" t="inlineStr"/>
      <c r="G579" t="inlineStr">
        <is>
          <t>889 950 000</t>
        </is>
      </c>
      <c r="H579" t="inlineStr"/>
      <c r="I579" t="inlineStr">
        <is>
          <t>Нет у нас</t>
        </is>
      </c>
      <c r="J579" t="inlineStr"/>
      <c r="K579">
        <f>HYPERLINK("https://nordwestinvest.ru/real-estates/prodaza-osz-v-otlicnoi-lokacii-592594-m2","ссылка")</f>
        <v/>
      </c>
      <c r="L579" t="inlineStr"/>
    </row>
    <row r="580">
      <c r="A580" t="n">
        <v>569</v>
      </c>
      <c r="B580" t="inlineStr"/>
      <c r="C580" t="inlineStr">
        <is>
          <t>Ленинградская обл, Всеволожск г, Колтушское ш, 298А</t>
        </is>
      </c>
      <c r="D580" t="n">
        <v>1382</v>
      </c>
      <c r="E580" t="inlineStr"/>
      <c r="F580" t="inlineStr"/>
      <c r="G580" t="inlineStr">
        <is>
          <t>110 000 000</t>
        </is>
      </c>
      <c r="H580" t="inlineStr"/>
      <c r="I580" t="inlineStr">
        <is>
          <t>Нет у нас</t>
        </is>
      </c>
      <c r="J580" t="inlineStr"/>
      <c r="K580">
        <f>HYPERLINK("https://nordwestinvest.ru/real-estates/prodaza-zdaniia-1382-m2-s-arendatorami","ссылка")</f>
        <v/>
      </c>
      <c r="L580" t="inlineStr"/>
    </row>
    <row r="581">
      <c r="A581" t="n">
        <v>570</v>
      </c>
      <c r="B581" t="inlineStr"/>
      <c r="C581" t="inlineStr">
        <is>
          <t>Санкт-Петербург г, Синопская наб, 32/35</t>
        </is>
      </c>
      <c r="D581" t="n">
        <v>167.8</v>
      </c>
      <c r="E581" t="inlineStr"/>
      <c r="F581" t="inlineStr"/>
      <c r="G581" t="inlineStr">
        <is>
          <t>20 000 000</t>
        </is>
      </c>
      <c r="H581" t="inlineStr"/>
      <c r="I581" t="inlineStr">
        <is>
          <t>Нет у нас</t>
        </is>
      </c>
      <c r="J581" t="inlineStr"/>
      <c r="K581">
        <f>HYPERLINK("https://nordwestinvest.ru/real-estates/prodaza-pomeshheniia-s-kaliannoi-167-m2","ссылка")</f>
        <v/>
      </c>
      <c r="L581" t="inlineStr"/>
    </row>
    <row r="582">
      <c r="A582" t="n">
        <v>571</v>
      </c>
      <c r="B582" t="inlineStr"/>
      <c r="C582" t="inlineStr">
        <is>
          <t>Санкт-Петербург г, Гражданский пр-кт, 9</t>
        </is>
      </c>
      <c r="D582" t="n">
        <v>238.1</v>
      </c>
      <c r="E582" t="inlineStr"/>
      <c r="F582" t="inlineStr"/>
      <c r="G582" t="inlineStr">
        <is>
          <t>34 500 000</t>
        </is>
      </c>
      <c r="H582" t="inlineStr"/>
      <c r="I582" t="inlineStr">
        <is>
          <t>Нет у нас</t>
        </is>
      </c>
      <c r="J582" t="inlineStr"/>
      <c r="K582">
        <f>HYPERLINK("https://nordwestinvest.ru/real-estates/prodaza-s-arendatorom-vozle-pesexodnogo-238-m2","ссылка")</f>
        <v/>
      </c>
      <c r="L582" t="inlineStr"/>
    </row>
    <row r="583">
      <c r="A583" t="n">
        <v>572</v>
      </c>
      <c r="B583" t="inlineStr"/>
      <c r="C583" t="inlineStr">
        <is>
          <t>Санкт-Петербург г, Синопская наб, 66</t>
        </is>
      </c>
      <c r="D583" t="n">
        <v>4000</v>
      </c>
      <c r="E583" t="inlineStr"/>
      <c r="F583" t="inlineStr"/>
      <c r="G583" t="inlineStr">
        <is>
          <t>960 000 000</t>
        </is>
      </c>
      <c r="H583" t="inlineStr"/>
      <c r="I583" t="inlineStr">
        <is>
          <t>Нет у нас</t>
        </is>
      </c>
      <c r="J583" t="inlineStr"/>
      <c r="K583">
        <f>HYPERLINK("https://nordwestinvest.ru/real-estates/prodaza-znakovogo-otelia-kompleks-zdanii","ссылка")</f>
        <v/>
      </c>
      <c r="L583" t="inlineStr"/>
    </row>
    <row r="584">
      <c r="A584" t="n">
        <v>574</v>
      </c>
      <c r="B584" t="inlineStr"/>
      <c r="C584" t="inlineStr">
        <is>
          <t>Ленинградская обл, Сосновый Бор г, Мира ул, 1</t>
        </is>
      </c>
      <c r="D584" t="n">
        <v>5500</v>
      </c>
      <c r="E584" t="inlineStr"/>
      <c r="F584" t="inlineStr"/>
      <c r="G584" t="inlineStr">
        <is>
          <t>59 000 000</t>
        </is>
      </c>
      <c r="H584" t="inlineStr"/>
      <c r="I584" t="inlineStr">
        <is>
          <t>Нет у нас</t>
        </is>
      </c>
      <c r="J584" t="inlineStr"/>
      <c r="K584">
        <f>HYPERLINK("https://nordwestinvest.ru/real-estates/prodaza-zdaniia-5500-m2-s-arendatorami","ссылка")</f>
        <v/>
      </c>
      <c r="L584" t="inlineStr"/>
    </row>
    <row r="585">
      <c r="A585" t="n">
        <v>576</v>
      </c>
      <c r="B585" t="inlineStr"/>
      <c r="C585" t="inlineStr">
        <is>
          <t>Ленинградская обл, Шлиссельбург, Комсомольская улица, 16</t>
        </is>
      </c>
      <c r="D585" t="n">
        <v>1600</v>
      </c>
      <c r="E585" t="inlineStr"/>
      <c r="F585" t="inlineStr"/>
      <c r="G585" t="inlineStr">
        <is>
          <t>50 000 000</t>
        </is>
      </c>
      <c r="H585" t="inlineStr"/>
      <c r="I585" t="inlineStr">
        <is>
          <t>Нет у нас</t>
        </is>
      </c>
      <c r="J585" t="inlineStr"/>
      <c r="K585">
        <f>HYPERLINK("https://nordwestinvest.ru/real-estates/prodaza-gostinicy-s-zemelnym-ucastkom","ссылка")</f>
        <v/>
      </c>
      <c r="L585" t="inlineStr"/>
    </row>
    <row r="586">
      <c r="A586" t="n">
        <v>578</v>
      </c>
      <c r="B586" t="inlineStr"/>
      <c r="C586" t="inlineStr">
        <is>
          <t>Санкт-Петербург г, Маршака пр-кт, 10</t>
        </is>
      </c>
      <c r="D586" t="n">
        <v>32.7</v>
      </c>
      <c r="E586" t="inlineStr"/>
      <c r="F586" t="inlineStr"/>
      <c r="G586" t="inlineStr">
        <is>
          <t>21 700 000</t>
        </is>
      </c>
      <c r="H586" t="inlineStr"/>
      <c r="I586" t="inlineStr">
        <is>
          <t>Нет у нас</t>
        </is>
      </c>
      <c r="J586" t="inlineStr"/>
      <c r="K586">
        <f>HYPERLINK("https://nordwestinvest.ru/real-estates/prodaza-32m2-v-tc-s-arendatorami","ссылка")</f>
        <v/>
      </c>
      <c r="L586" t="inlineStr"/>
    </row>
    <row r="587">
      <c r="A587" t="n">
        <v>579</v>
      </c>
      <c r="B587" t="inlineStr"/>
      <c r="C587" t="inlineStr">
        <is>
          <t>Шушары п, Муромская (Детскосельский) ул, 5 к 1</t>
        </is>
      </c>
      <c r="D587" t="n">
        <v>36.3</v>
      </c>
      <c r="E587" t="inlineStr"/>
      <c r="F587" t="inlineStr"/>
      <c r="G587" t="inlineStr">
        <is>
          <t>3 699 000</t>
        </is>
      </c>
      <c r="H587" t="inlineStr"/>
      <c r="I587" t="inlineStr">
        <is>
          <t>Нет у нас</t>
        </is>
      </c>
      <c r="J587" t="inlineStr"/>
      <c r="K587">
        <f>HYPERLINK("https://nordwestinvest.ru/real-estates/pomeshhenie-s-arendatorom-ozon-okupaemost-8-let","ссылка")</f>
        <v/>
      </c>
      <c r="L587" t="inlineStr"/>
    </row>
    <row r="588">
      <c r="A588" t="n">
        <v>583</v>
      </c>
      <c r="B588" t="inlineStr"/>
      <c r="C588" t="inlineStr">
        <is>
          <t>Санкт-Петербург г, Обуховской Обороны пр-кт, 243 А</t>
        </is>
      </c>
      <c r="D588" t="n">
        <v>112</v>
      </c>
      <c r="E588" t="inlineStr"/>
      <c r="F588" t="inlineStr"/>
      <c r="G588" t="inlineStr">
        <is>
          <t>24 000 000</t>
        </is>
      </c>
      <c r="H588" t="inlineStr"/>
      <c r="I588" t="inlineStr">
        <is>
          <t>Нет у нас</t>
        </is>
      </c>
      <c r="J588" t="inlineStr"/>
      <c r="K588">
        <f>HYPERLINK("https://nordwestinvest.ru/real-estates/prodaza-pomeshheniia-s-arendatorom-trafik-112-m2","ссылка")</f>
        <v/>
      </c>
      <c r="L588" t="inlineStr"/>
    </row>
    <row r="589">
      <c r="A589" t="n">
        <v>586</v>
      </c>
      <c r="B589" t="inlineStr"/>
      <c r="C589" t="inlineStr">
        <is>
          <t>Шушары п, Колпинское ш, 32</t>
        </is>
      </c>
      <c r="D589" t="n">
        <v>18485</v>
      </c>
      <c r="E589" t="inlineStr"/>
      <c r="F589" t="inlineStr"/>
      <c r="G589" t="inlineStr">
        <is>
          <t>1 500 000 000</t>
        </is>
      </c>
      <c r="H589" t="inlineStr"/>
      <c r="I589" t="inlineStr">
        <is>
          <t>Нет у нас</t>
        </is>
      </c>
      <c r="J589" t="inlineStr"/>
      <c r="K589">
        <f>HYPERLINK("https://nordwestinvest.ru/real-estates/prodaza-trc-s-arendatorami-lenta-dns-kfs","ссылка")</f>
        <v/>
      </c>
      <c r="L58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Всего объектов конкурента</t>
        </is>
      </c>
      <c r="B2" t="n">
        <v>588</v>
      </c>
    </row>
    <row r="3">
      <c r="A3" t="inlineStr">
        <is>
          <t>Совпали адрес+площадь (±3 м2)</t>
        </is>
      </c>
      <c r="B3" t="n">
        <v>48</v>
      </c>
    </row>
    <row r="4">
      <c r="A4" t="inlineStr">
        <is>
          <t>У конкурента дешевле (при совпадении ±3)</t>
        </is>
      </c>
      <c r="B4" t="n">
        <v>8</v>
      </c>
    </row>
    <row r="5">
      <c r="A5" t="inlineStr">
        <is>
          <t>У нас дешевле (при совпадении ±3)</t>
        </is>
      </c>
      <c r="B5" t="n">
        <v>21</v>
      </c>
    </row>
    <row r="6">
      <c r="A6" t="inlineStr">
        <is>
          <t>У нас другая сделка</t>
        </is>
      </c>
      <c r="B6" t="n">
        <v>46</v>
      </c>
    </row>
    <row r="7">
      <c r="A7" t="inlineStr">
        <is>
          <t>Спарсили с Н ПРО</t>
        </is>
      </c>
      <c r="B7" t="n">
        <v>0</v>
      </c>
    </row>
    <row r="8">
      <c r="A8" t="inlineStr">
        <is>
          <t>Нет у нас</t>
        </is>
      </c>
      <c r="B8" t="n">
        <v>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2026-02-15T19:44:44Z</dcterms:created>
  <dcterms:modified xmlns:dcterms="http://purl.org/dc/terms/" xmlns:xsi="http://www.w3.org/2001/XMLSchema-instance" xsi:type="dcterms:W3CDTF">2026-02-15T19:44:44Z</dcterms:modified>
</cp:coreProperties>
</file>